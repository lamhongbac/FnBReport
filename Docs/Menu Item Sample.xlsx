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GIT PROJECT\FnBReport\Docs\"/>
    </mc:Choice>
  </mc:AlternateContent>
  <bookViews>
    <workbookView xWindow="-120" yWindow="-120" windowWidth="29040" windowHeight="15720" tabRatio="920" firstSheet="1" activeTab="1"/>
  </bookViews>
  <sheets>
    <sheet name="Control" sheetId="19" state="hidden" r:id="rId1"/>
    <sheet name="Product" sheetId="5" r:id="rId2"/>
    <sheet name="ProductGroup" sheetId="25" r:id="rId3"/>
    <sheet name="SG04" sheetId="8" state="hidden" r:id="rId4"/>
    <sheet name="SG05" sheetId="15" state="hidden" r:id="rId5"/>
    <sheet name="SG06" sheetId="14" state="hidden" r:id="rId6"/>
    <sheet name="SG07" sheetId="13" state="hidden" r:id="rId7"/>
    <sheet name="SG08" sheetId="12" state="hidden" r:id="rId8"/>
    <sheet name="SG09" sheetId="11" state="hidden" r:id="rId9"/>
    <sheet name="SG10" sheetId="10" state="hidden" r:id="rId10"/>
    <sheet name="SG11" sheetId="20" state="hidden" r:id="rId11"/>
    <sheet name="SG12" sheetId="21" state="hidden" r:id="rId12"/>
    <sheet name="SG13" sheetId="22" state="hidden" r:id="rId13"/>
    <sheet name="SG14" sheetId="23" state="hidden" r:id="rId14"/>
    <sheet name="SG15" sheetId="24" state="hidden" r:id="rId15"/>
    <sheet name="Menu Projection" sheetId="3" state="hidden" r:id="rId16"/>
    <sheet name="Chuẩn Bị Đầu Ca" sheetId="4" state="hidden" r:id="rId17"/>
  </sheets>
  <definedNames>
    <definedName name="_xlnm._FilterDatabase" localSheetId="3" hidden="1">'SG04'!$A$10:$T$176</definedName>
    <definedName name="_xlnm._FilterDatabase" localSheetId="4" hidden="1">'SG05'!$A$10:$T$176</definedName>
    <definedName name="_xlnm._FilterDatabase" localSheetId="5" hidden="1">'SG06'!$B$10:$T$289</definedName>
    <definedName name="_xlnm._FilterDatabase" localSheetId="6" hidden="1">'SG07'!$A$10:$T$176</definedName>
    <definedName name="_xlnm._FilterDatabase" localSheetId="7" hidden="1">'SG08'!$A$10:$T$175</definedName>
    <definedName name="_xlnm._FilterDatabase" localSheetId="8" hidden="1">'SG09'!$A$10:$T$176</definedName>
    <definedName name="_xlnm._FilterDatabase" localSheetId="9" hidden="1">'SG10'!$A$10:$T$176</definedName>
    <definedName name="_xlnm._FilterDatabase" localSheetId="10" hidden="1">'SG11'!$A$10:$T$260</definedName>
    <definedName name="_xlnm._FilterDatabase" localSheetId="11" hidden="1">'SG12'!$A$10:$T$179</definedName>
    <definedName name="SG01_">Control!$B$2</definedName>
    <definedName name="SG02_">Control!$B$3</definedName>
    <definedName name="SG03_">Control!$B$4</definedName>
    <definedName name="SG04_">Control!$B$5</definedName>
    <definedName name="SG05_">Control!$B$6</definedName>
    <definedName name="SG06_">Control!$B$7</definedName>
    <definedName name="SG07_">Control!$B$8</definedName>
    <definedName name="SG08_">Control!$B$9</definedName>
    <definedName name="SG09_">Control!$B$10</definedName>
    <definedName name="SG10_">Control!$B$11</definedName>
    <definedName name="SG11_">Control!$B$12</definedName>
    <definedName name="SG12_">Control!$B$13</definedName>
    <definedName name="SG13_">Control!$B$14</definedName>
    <definedName name="SG14_">Control!$B$15</definedName>
    <definedName name="SG15_">Control!$B$16</definedName>
  </definedNames>
  <calcPr calcId="162913"/>
  <pivotCaches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7" i="5" l="1"/>
  <c r="A128" i="5" s="1"/>
  <c r="A129" i="5" s="1"/>
  <c r="A130" i="5" s="1"/>
  <c r="A123" i="5"/>
  <c r="A124" i="5" s="1"/>
  <c r="A106" i="5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02" i="5"/>
  <c r="A103" i="5" s="1"/>
  <c r="A104" i="5" s="1"/>
  <c r="A95" i="5"/>
  <c r="A96" i="5" s="1"/>
  <c r="A97" i="5" s="1"/>
  <c r="A98" i="5" s="1"/>
  <c r="A99" i="5" s="1"/>
  <c r="A88" i="5"/>
  <c r="A89" i="5" s="1"/>
  <c r="A90" i="5" s="1"/>
  <c r="A91" i="5" s="1"/>
  <c r="A92" i="5" s="1"/>
  <c r="A81" i="5"/>
  <c r="A82" i="5" s="1"/>
  <c r="A83" i="5" s="1"/>
  <c r="A84" i="5" s="1"/>
  <c r="A85" i="5" s="1"/>
  <c r="A86" i="5" s="1"/>
  <c r="A74" i="5"/>
  <c r="A75" i="5" s="1"/>
  <c r="A76" i="5" s="1"/>
  <c r="A77" i="5" s="1"/>
  <c r="A78" i="5" s="1"/>
  <c r="A79" i="5" s="1"/>
  <c r="A68" i="5"/>
  <c r="A69" i="5" s="1"/>
  <c r="A70" i="5" s="1"/>
  <c r="A71" i="5" s="1"/>
  <c r="A72" i="5" s="1"/>
  <c r="A52" i="5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28" i="5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19" i="5"/>
  <c r="A20" i="5" s="1"/>
  <c r="A21" i="5" s="1"/>
  <c r="A22" i="5" s="1"/>
  <c r="A23" i="5" s="1"/>
  <c r="A24" i="5" s="1"/>
  <c r="A25" i="5" s="1"/>
  <c r="A26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C13" i="19" l="1"/>
  <c r="C14" i="19"/>
  <c r="C15" i="19"/>
  <c r="C16" i="19"/>
  <c r="C12" i="19"/>
  <c r="D16" i="19"/>
  <c r="D13" i="19"/>
  <c r="D15" i="19"/>
  <c r="D14" i="19"/>
  <c r="D12" i="19"/>
  <c r="B16" i="19" l="1"/>
  <c r="B13" i="19"/>
  <c r="B15" i="19"/>
  <c r="B14" i="19"/>
  <c r="B12" i="19"/>
  <c r="C3" i="19" l="1"/>
  <c r="C4" i="19"/>
  <c r="C5" i="19"/>
  <c r="C6" i="19"/>
  <c r="C7" i="19"/>
  <c r="C8" i="19"/>
  <c r="C9" i="19"/>
  <c r="C10" i="19"/>
  <c r="C11" i="19"/>
  <c r="C2" i="19"/>
  <c r="D3" i="19"/>
  <c r="D9" i="19"/>
  <c r="D2" i="19"/>
  <c r="D5" i="19"/>
  <c r="D6" i="19"/>
  <c r="D11" i="19"/>
  <c r="D8" i="19"/>
  <c r="D7" i="19"/>
  <c r="D10" i="19"/>
  <c r="B10" i="19" l="1"/>
  <c r="B9" i="19"/>
  <c r="B8" i="19"/>
  <c r="B7" i="19"/>
  <c r="B6" i="19"/>
  <c r="B5" i="19"/>
  <c r="B11" i="19"/>
  <c r="B3" i="19"/>
  <c r="B2" i="19"/>
  <c r="D4" i="19"/>
  <c r="B4" i="19" l="1"/>
  <c r="G13" i="4" l="1"/>
  <c r="G53" i="4"/>
  <c r="A50" i="4"/>
  <c r="A46" i="4"/>
  <c r="A47" i="4" s="1"/>
  <c r="A48" i="4" s="1"/>
  <c r="A43" i="4"/>
  <c r="A40" i="4"/>
  <c r="A41" i="4" s="1"/>
  <c r="A42" i="4" s="1"/>
  <c r="A44" i="4" s="1"/>
  <c r="A45" i="4" s="1"/>
  <c r="A37" i="4"/>
  <c r="A34" i="4"/>
  <c r="A35" i="4" s="1"/>
  <c r="A36" i="4" s="1"/>
  <c r="A38" i="4" s="1"/>
  <c r="A39" i="4" s="1"/>
  <c r="A31" i="4"/>
  <c r="A28" i="4"/>
  <c r="A29" i="4" s="1"/>
  <c r="A30" i="4" s="1"/>
  <c r="A32" i="4" s="1"/>
  <c r="A33" i="4" s="1"/>
  <c r="A25" i="4"/>
  <c r="A22" i="4"/>
  <c r="A23" i="4" s="1"/>
  <c r="A24" i="4" s="1"/>
  <c r="A26" i="4" s="1"/>
  <c r="A27" i="4" s="1"/>
  <c r="A19" i="4"/>
  <c r="A16" i="4"/>
  <c r="A17" i="4" s="1"/>
  <c r="A18" i="4" s="1"/>
  <c r="A20" i="4" s="1"/>
  <c r="A21" i="4" s="1"/>
  <c r="A59" i="4"/>
  <c r="A58" i="4"/>
  <c r="A61" i="4" s="1"/>
  <c r="A57" i="4"/>
  <c r="A60" i="4" s="1"/>
  <c r="A56" i="4"/>
  <c r="A49" i="4"/>
  <c r="G6" i="4"/>
  <c r="K42" i="4" s="1"/>
  <c r="G6" i="3"/>
  <c r="K50" i="4" l="1"/>
  <c r="I20" i="4"/>
  <c r="J39" i="4"/>
  <c r="K25" i="4"/>
  <c r="K26" i="4"/>
  <c r="J44" i="4"/>
  <c r="I50" i="4"/>
  <c r="J50" i="4"/>
  <c r="K34" i="4"/>
  <c r="J16" i="4"/>
  <c r="K21" i="4"/>
  <c r="K35" i="4"/>
  <c r="I44" i="4"/>
  <c r="K17" i="4"/>
  <c r="I31" i="4"/>
  <c r="J36" i="4"/>
  <c r="J40" i="4"/>
  <c r="K45" i="4"/>
  <c r="K27" i="4"/>
  <c r="J31" i="4"/>
  <c r="I36" i="4"/>
  <c r="K41" i="4"/>
  <c r="K18" i="4"/>
  <c r="K23" i="4"/>
  <c r="J32" i="4"/>
  <c r="J23" i="4"/>
  <c r="K28" i="4"/>
  <c r="K33" i="4"/>
  <c r="K37" i="4"/>
  <c r="I47" i="4"/>
  <c r="K19" i="4"/>
  <c r="J24" i="4"/>
  <c r="I28" i="4"/>
  <c r="J47" i="4"/>
  <c r="K20" i="4"/>
  <c r="K29" i="4"/>
  <c r="I39" i="4"/>
  <c r="K43" i="4"/>
  <c r="J48" i="4"/>
  <c r="I17" i="4"/>
  <c r="J20" i="4"/>
  <c r="I25" i="4"/>
  <c r="J28" i="4"/>
  <c r="K31" i="4"/>
  <c r="I33" i="4"/>
  <c r="K39" i="4"/>
  <c r="I41" i="4"/>
  <c r="K47" i="4"/>
  <c r="J17" i="4"/>
  <c r="I22" i="4"/>
  <c r="J25" i="4"/>
  <c r="I30" i="4"/>
  <c r="J33" i="4"/>
  <c r="K36" i="4"/>
  <c r="I38" i="4"/>
  <c r="J41" i="4"/>
  <c r="K44" i="4"/>
  <c r="I46" i="4"/>
  <c r="I19" i="4"/>
  <c r="J22" i="4"/>
  <c r="I27" i="4"/>
  <c r="J30" i="4"/>
  <c r="I35" i="4"/>
  <c r="J38" i="4"/>
  <c r="I43" i="4"/>
  <c r="J46" i="4"/>
  <c r="I16" i="4"/>
  <c r="J19" i="4"/>
  <c r="K22" i="4"/>
  <c r="I24" i="4"/>
  <c r="J27" i="4"/>
  <c r="K30" i="4"/>
  <c r="I32" i="4"/>
  <c r="J35" i="4"/>
  <c r="K38" i="4"/>
  <c r="I40" i="4"/>
  <c r="J43" i="4"/>
  <c r="K46" i="4"/>
  <c r="I48" i="4"/>
  <c r="I21" i="4"/>
  <c r="I29" i="4"/>
  <c r="I37" i="4"/>
  <c r="I45" i="4"/>
  <c r="K16" i="4"/>
  <c r="I18" i="4"/>
  <c r="J21" i="4"/>
  <c r="K24" i="4"/>
  <c r="I26" i="4"/>
  <c r="J29" i="4"/>
  <c r="K32" i="4"/>
  <c r="I34" i="4"/>
  <c r="J37" i="4"/>
  <c r="K40" i="4"/>
  <c r="I42" i="4"/>
  <c r="J45" i="4"/>
  <c r="K48" i="4"/>
  <c r="J18" i="4"/>
  <c r="I23" i="4"/>
  <c r="J26" i="4"/>
  <c r="J34" i="4"/>
  <c r="J42" i="4"/>
  <c r="J52" i="4"/>
  <c r="I57" i="4"/>
  <c r="K62" i="4"/>
  <c r="K55" i="4"/>
  <c r="K60" i="4"/>
  <c r="J56" i="4"/>
  <c r="A51" i="4"/>
  <c r="A52" i="4" s="1"/>
  <c r="K58" i="4"/>
  <c r="I51" i="4"/>
  <c r="K15" i="4"/>
  <c r="K51" i="4"/>
  <c r="I49" i="4"/>
  <c r="J15" i="4"/>
  <c r="I52" i="4"/>
  <c r="J55" i="4"/>
  <c r="K49" i="4"/>
  <c r="I58" i="4"/>
  <c r="I15" i="4"/>
  <c r="J58" i="4"/>
  <c r="K56" i="4"/>
  <c r="K61" i="4"/>
  <c r="J61" i="4"/>
  <c r="I61" i="4"/>
  <c r="J49" i="4"/>
  <c r="K52" i="4"/>
  <c r="J59" i="4"/>
  <c r="I56" i="4"/>
  <c r="J62" i="4"/>
  <c r="J60" i="4"/>
  <c r="I60" i="4"/>
  <c r="J51" i="4"/>
  <c r="I55" i="4"/>
  <c r="K59" i="4"/>
  <c r="I62" i="4"/>
  <c r="K57" i="4"/>
  <c r="J57" i="4"/>
  <c r="I59" i="4"/>
  <c r="G228" i="3"/>
  <c r="G224" i="3"/>
  <c r="G192" i="3"/>
  <c r="G191" i="3"/>
  <c r="G173" i="3"/>
  <c r="G96" i="3"/>
  <c r="G95" i="3"/>
  <c r="J228" i="3" l="1"/>
  <c r="I228" i="3"/>
  <c r="K228" i="3"/>
  <c r="J95" i="3"/>
  <c r="K95" i="3"/>
  <c r="I95" i="3"/>
  <c r="K191" i="3"/>
  <c r="J191" i="3"/>
  <c r="I191" i="3"/>
  <c r="I96" i="3"/>
  <c r="J96" i="3"/>
  <c r="K96" i="3"/>
  <c r="I192" i="3"/>
  <c r="K192" i="3"/>
  <c r="J192" i="3"/>
  <c r="J224" i="3"/>
  <c r="I224" i="3"/>
  <c r="K224" i="3"/>
  <c r="A220" i="3"/>
  <c r="A221" i="3" s="1"/>
  <c r="A217" i="3"/>
  <c r="A218" i="3" s="1"/>
  <c r="A219" i="3" s="1"/>
  <c r="A209" i="3"/>
  <c r="A210" i="3" s="1"/>
  <c r="A211" i="3" s="1"/>
  <c r="A205" i="3"/>
  <c r="A206" i="3" s="1"/>
  <c r="A202" i="3"/>
  <c r="A203" i="3" s="1"/>
  <c r="A197" i="3"/>
  <c r="A198" i="3" s="1"/>
  <c r="A199" i="3" s="1"/>
  <c r="A195" i="3"/>
  <c r="A196" i="3" s="1"/>
  <c r="A188" i="3"/>
  <c r="A189" i="3" s="1"/>
  <c r="A179" i="3"/>
  <c r="A178" i="3"/>
  <c r="A182" i="3" s="1"/>
  <c r="A177" i="3"/>
  <c r="A181" i="3" s="1"/>
  <c r="A185" i="3" s="1"/>
  <c r="A186" i="3" s="1"/>
  <c r="A187" i="3" s="1"/>
  <c r="A176" i="3"/>
  <c r="A180" i="3" s="1"/>
  <c r="A166" i="3"/>
  <c r="A167" i="3" s="1"/>
  <c r="A170" i="3" s="1"/>
  <c r="A171" i="3" s="1"/>
  <c r="A164" i="3"/>
  <c r="A165" i="3" s="1"/>
  <c r="A168" i="3" s="1"/>
  <c r="A169" i="3" s="1"/>
  <c r="A152" i="3"/>
  <c r="A153" i="3" s="1"/>
  <c r="A154" i="3" s="1"/>
  <c r="A155" i="3" s="1"/>
  <c r="A156" i="3" s="1"/>
  <c r="A157" i="3" s="1"/>
  <c r="A158" i="3" s="1"/>
  <c r="A159" i="3" s="1"/>
  <c r="A99" i="3"/>
  <c r="A100" i="3" s="1"/>
  <c r="A101" i="3" s="1"/>
  <c r="A102" i="3" s="1"/>
  <c r="A84" i="3"/>
  <c r="A85" i="3" s="1"/>
  <c r="A86" i="3" s="1"/>
  <c r="A80" i="3"/>
  <c r="A81" i="3" s="1"/>
  <c r="A82" i="3" s="1"/>
  <c r="A83" i="3" s="1"/>
  <c r="A73" i="3"/>
  <c r="A74" i="3" s="1"/>
  <c r="A75" i="3" s="1"/>
  <c r="A76" i="3" s="1"/>
  <c r="A122" i="3" s="1"/>
  <c r="A123" i="3" s="1"/>
  <c r="A124" i="3" s="1"/>
  <c r="A125" i="3" s="1"/>
  <c r="A126" i="3" s="1"/>
  <c r="A127" i="3" s="1"/>
  <c r="A128" i="3" s="1"/>
  <c r="A129" i="3" s="1"/>
  <c r="A65" i="3"/>
  <c r="A66" i="3" s="1"/>
  <c r="A67" i="3" s="1"/>
  <c r="A68" i="3" s="1"/>
  <c r="A57" i="3"/>
  <c r="A58" i="3" s="1"/>
  <c r="A59" i="3" s="1"/>
  <c r="A60" i="3" s="1"/>
  <c r="A55" i="3"/>
  <c r="A56" i="3" s="1"/>
  <c r="A51" i="3"/>
  <c r="A52" i="3" s="1"/>
  <c r="A53" i="3" s="1"/>
  <c r="A54" i="3" s="1"/>
  <c r="A47" i="3"/>
  <c r="A48" i="3" s="1"/>
  <c r="A49" i="3" s="1"/>
  <c r="A50" i="3" s="1"/>
  <c r="A43" i="3"/>
  <c r="A44" i="3" s="1"/>
  <c r="A45" i="3" s="1"/>
  <c r="A46" i="3" s="1"/>
  <c r="A34" i="3"/>
  <c r="A77" i="3" s="1"/>
  <c r="A24" i="3"/>
  <c r="A25" i="3" s="1"/>
  <c r="A26" i="3" s="1"/>
  <c r="A20" i="3"/>
  <c r="A17" i="3"/>
  <c r="A222" i="3" l="1"/>
  <c r="A226" i="3" s="1"/>
  <c r="A227" i="3" s="1"/>
  <c r="A223" i="3"/>
  <c r="A18" i="3"/>
  <c r="A19" i="3" s="1"/>
  <c r="A21" i="3" s="1"/>
  <c r="A22" i="3" s="1"/>
  <c r="A61" i="3"/>
  <c r="A107" i="3" s="1"/>
  <c r="A108" i="3" s="1"/>
  <c r="A109" i="3" s="1"/>
  <c r="A110" i="3" s="1"/>
  <c r="A111" i="3" s="1"/>
  <c r="A112" i="3" s="1"/>
  <c r="A113" i="3" s="1"/>
  <c r="A114" i="3" s="1"/>
  <c r="A35" i="3"/>
  <c r="A36" i="3" s="1"/>
  <c r="A37" i="3" s="1"/>
  <c r="A38" i="3" s="1"/>
  <c r="A39" i="3" s="1"/>
  <c r="A87" i="3"/>
  <c r="A89" i="3" s="1"/>
  <c r="A91" i="3" s="1"/>
  <c r="A88" i="3"/>
  <c r="A27" i="3"/>
  <c r="A69" i="3"/>
  <c r="A70" i="3" s="1"/>
  <c r="A71" i="3" s="1"/>
  <c r="A72" i="3" s="1"/>
  <c r="A191" i="3"/>
  <c r="A190" i="3"/>
  <c r="A192" i="3" s="1"/>
  <c r="A204" i="3"/>
  <c r="A212" i="3"/>
  <c r="A213" i="3" s="1"/>
  <c r="A224" i="3" l="1"/>
  <c r="A62" i="3"/>
  <c r="A63" i="3" s="1"/>
  <c r="A64" i="3" s="1"/>
  <c r="A137" i="3"/>
  <c r="A138" i="3" s="1"/>
  <c r="A139" i="3" s="1"/>
  <c r="A140" i="3" s="1"/>
  <c r="A141" i="3" s="1"/>
  <c r="A142" i="3" s="1"/>
  <c r="A143" i="3" s="1"/>
  <c r="A144" i="3" s="1"/>
  <c r="A92" i="3"/>
  <c r="A93" i="3" s="1"/>
  <c r="A94" i="3" s="1"/>
  <c r="A214" i="3"/>
  <c r="A216" i="3" s="1"/>
  <c r="A215" i="3"/>
  <c r="G120" i="3" l="1"/>
  <c r="G57" i="3"/>
  <c r="G71" i="3"/>
  <c r="G59" i="3"/>
  <c r="G30" i="3"/>
  <c r="G20" i="3"/>
  <c r="G51" i="3"/>
  <c r="G65" i="3"/>
  <c r="G69" i="3"/>
  <c r="G90" i="3"/>
  <c r="G53" i="3"/>
  <c r="G176" i="3"/>
  <c r="G170" i="3"/>
  <c r="G67" i="3"/>
  <c r="G28" i="3"/>
  <c r="G146" i="3"/>
  <c r="G132" i="3"/>
  <c r="G178" i="3"/>
  <c r="G29" i="3"/>
  <c r="G141" i="3"/>
  <c r="G127" i="3"/>
  <c r="G113" i="3"/>
  <c r="G198" i="3"/>
  <c r="G171" i="3"/>
  <c r="G83" i="3"/>
  <c r="G110" i="3"/>
  <c r="G149" i="3"/>
  <c r="G226" i="3"/>
  <c r="G77" i="3"/>
  <c r="G44" i="3"/>
  <c r="G148" i="3"/>
  <c r="G134" i="3"/>
  <c r="G199" i="3"/>
  <c r="G166" i="3"/>
  <c r="G177" i="3"/>
  <c r="G143" i="3"/>
  <c r="G129" i="3"/>
  <c r="G115" i="3"/>
  <c r="G119" i="3"/>
  <c r="G58" i="3"/>
  <c r="G180" i="3"/>
  <c r="G81" i="3"/>
  <c r="G138" i="3"/>
  <c r="G43" i="3"/>
  <c r="G61" i="3"/>
  <c r="G140" i="3"/>
  <c r="G54" i="3"/>
  <c r="G46" i="3"/>
  <c r="G150" i="3"/>
  <c r="G136" i="3"/>
  <c r="G31" i="3"/>
  <c r="G66" i="3"/>
  <c r="G40" i="3"/>
  <c r="G145" i="3"/>
  <c r="G131" i="3"/>
  <c r="G117" i="3"/>
  <c r="G74" i="3"/>
  <c r="G60" i="3"/>
  <c r="G182" i="3"/>
  <c r="G124" i="3"/>
  <c r="G72" i="3"/>
  <c r="G135" i="3"/>
  <c r="G64" i="3"/>
  <c r="G112" i="3"/>
  <c r="G151" i="3"/>
  <c r="G107" i="3"/>
  <c r="G104" i="3"/>
  <c r="G122" i="3"/>
  <c r="G108" i="3"/>
  <c r="G73" i="3"/>
  <c r="G70" i="3"/>
  <c r="G63" i="3"/>
  <c r="G147" i="3"/>
  <c r="G133" i="3"/>
  <c r="G181" i="3"/>
  <c r="G76" i="3"/>
  <c r="G62" i="3"/>
  <c r="G118" i="3"/>
  <c r="G75" i="3"/>
  <c r="G126" i="3"/>
  <c r="G45" i="3"/>
  <c r="G47" i="3"/>
  <c r="G142" i="3"/>
  <c r="G128" i="3"/>
  <c r="G114" i="3"/>
  <c r="G48" i="3"/>
  <c r="G137" i="3"/>
  <c r="G123" i="3"/>
  <c r="G109" i="3"/>
  <c r="G52" i="3"/>
  <c r="G49" i="3"/>
  <c r="G88" i="3"/>
  <c r="G82" i="3"/>
  <c r="G80" i="3"/>
  <c r="G167" i="3"/>
  <c r="G55" i="3"/>
  <c r="G144" i="3"/>
  <c r="G130" i="3"/>
  <c r="G116" i="3"/>
  <c r="G50" i="3"/>
  <c r="G121" i="3"/>
  <c r="G139" i="3"/>
  <c r="G125" i="3"/>
  <c r="G111" i="3"/>
  <c r="G56" i="3"/>
  <c r="G179" i="3"/>
  <c r="G68" i="3"/>
  <c r="G157" i="3"/>
  <c r="G37" i="3"/>
  <c r="G159" i="3"/>
  <c r="G93" i="3"/>
  <c r="G204" i="3"/>
  <c r="G190" i="3"/>
  <c r="G185" i="3"/>
  <c r="G175" i="3"/>
  <c r="G168" i="3"/>
  <c r="G87" i="3"/>
  <c r="G79" i="3"/>
  <c r="G39" i="3"/>
  <c r="G26" i="3"/>
  <c r="G152" i="3"/>
  <c r="G27" i="3"/>
  <c r="G197" i="3"/>
  <c r="G187" i="3"/>
  <c r="G91" i="3"/>
  <c r="G34" i="3"/>
  <c r="G38" i="3"/>
  <c r="G165" i="3"/>
  <c r="G86" i="3"/>
  <c r="G222" i="3"/>
  <c r="G205" i="3"/>
  <c r="G186" i="3"/>
  <c r="G158" i="3"/>
  <c r="G102" i="3"/>
  <c r="G98" i="3"/>
  <c r="G84" i="3"/>
  <c r="G22" i="3"/>
  <c r="G17" i="3"/>
  <c r="G201" i="3"/>
  <c r="G160" i="3"/>
  <c r="G153" i="3"/>
  <c r="G106" i="3"/>
  <c r="G92" i="3"/>
  <c r="G35" i="3"/>
  <c r="G33" i="3"/>
  <c r="G24" i="3"/>
  <c r="G225" i="3"/>
  <c r="G25" i="3"/>
  <c r="G32" i="3"/>
  <c r="G188" i="3"/>
  <c r="G163" i="3"/>
  <c r="G208" i="3"/>
  <c r="G196" i="3"/>
  <c r="G212" i="3"/>
  <c r="G101" i="3"/>
  <c r="G206" i="3"/>
  <c r="G211" i="3"/>
  <c r="G215" i="3"/>
  <c r="G209" i="3"/>
  <c r="G154" i="3"/>
  <c r="G210" i="3"/>
  <c r="G16" i="3"/>
  <c r="G156" i="3"/>
  <c r="G100" i="3"/>
  <c r="G202" i="3"/>
  <c r="G155" i="3"/>
  <c r="G169" i="3"/>
  <c r="G214" i="3"/>
  <c r="G203" i="3"/>
  <c r="G216" i="3"/>
  <c r="G220" i="3"/>
  <c r="G97" i="3"/>
  <c r="G189" i="3"/>
  <c r="G227" i="3"/>
  <c r="G223" i="3"/>
  <c r="G217" i="3"/>
  <c r="G21" i="3"/>
  <c r="G183" i="3"/>
  <c r="G194" i="3"/>
  <c r="G195" i="3"/>
  <c r="G103" i="3"/>
  <c r="G94" i="3"/>
  <c r="G219" i="3"/>
  <c r="G18" i="3"/>
  <c r="G36" i="3"/>
  <c r="G99" i="3"/>
  <c r="G85" i="3"/>
  <c r="G42" i="3"/>
  <c r="G161" i="3"/>
  <c r="G19" i="3"/>
  <c r="G213" i="3"/>
  <c r="G164" i="3"/>
  <c r="G23" i="3"/>
  <c r="G184" i="3"/>
  <c r="G89" i="3"/>
  <c r="G218" i="3"/>
  <c r="G221" i="3"/>
  <c r="G105" i="3"/>
  <c r="G162" i="3"/>
  <c r="G193" i="3"/>
  <c r="G207" i="3"/>
  <c r="G41" i="3"/>
  <c r="G15" i="3"/>
  <c r="G174" i="3"/>
  <c r="G200" i="3"/>
  <c r="G172" i="3"/>
  <c r="G78" i="3"/>
  <c r="G13" i="3"/>
  <c r="G11" i="3" l="1"/>
  <c r="K42" i="3"/>
  <c r="J42" i="3"/>
  <c r="I42" i="3"/>
  <c r="I25" i="3"/>
  <c r="J25" i="3"/>
  <c r="K25" i="3"/>
  <c r="I160" i="3"/>
  <c r="K160" i="3"/>
  <c r="J160" i="3"/>
  <c r="K186" i="3"/>
  <c r="I186" i="3"/>
  <c r="J186" i="3"/>
  <c r="J187" i="3"/>
  <c r="I187" i="3"/>
  <c r="K187" i="3"/>
  <c r="J168" i="3"/>
  <c r="I168" i="3"/>
  <c r="K168" i="3"/>
  <c r="I157" i="3"/>
  <c r="J157" i="3"/>
  <c r="K157" i="3"/>
  <c r="K50" i="3"/>
  <c r="I50" i="3"/>
  <c r="J50" i="3"/>
  <c r="I88" i="3"/>
  <c r="K88" i="3"/>
  <c r="J88" i="3"/>
  <c r="K114" i="3"/>
  <c r="J114" i="3"/>
  <c r="I114" i="3"/>
  <c r="I62" i="3"/>
  <c r="K62" i="3"/>
  <c r="J62" i="3"/>
  <c r="K108" i="3"/>
  <c r="I108" i="3"/>
  <c r="J108" i="3"/>
  <c r="K72" i="3"/>
  <c r="J72" i="3"/>
  <c r="I72" i="3"/>
  <c r="I40" i="3"/>
  <c r="J40" i="3"/>
  <c r="K40" i="3"/>
  <c r="I61" i="3"/>
  <c r="K61" i="3"/>
  <c r="J61" i="3"/>
  <c r="J129" i="3"/>
  <c r="I129" i="3"/>
  <c r="K129" i="3"/>
  <c r="K77" i="3"/>
  <c r="I77" i="3"/>
  <c r="J77" i="3"/>
  <c r="I113" i="3"/>
  <c r="J113" i="3"/>
  <c r="K113" i="3"/>
  <c r="K28" i="3"/>
  <c r="J28" i="3"/>
  <c r="I28" i="3"/>
  <c r="J65" i="3"/>
  <c r="I65" i="3"/>
  <c r="K65" i="3"/>
  <c r="J89" i="3"/>
  <c r="K89" i="3"/>
  <c r="I89" i="3"/>
  <c r="J85" i="3"/>
  <c r="K85" i="3"/>
  <c r="I85" i="3"/>
  <c r="I194" i="3"/>
  <c r="J194" i="3"/>
  <c r="K194" i="3"/>
  <c r="I220" i="3"/>
  <c r="K220" i="3"/>
  <c r="J220" i="3"/>
  <c r="I156" i="3"/>
  <c r="J156" i="3"/>
  <c r="K156" i="3"/>
  <c r="I101" i="3"/>
  <c r="K101" i="3"/>
  <c r="J101" i="3"/>
  <c r="K201" i="3"/>
  <c r="J201" i="3"/>
  <c r="I201" i="3"/>
  <c r="J205" i="3"/>
  <c r="K205" i="3"/>
  <c r="I205" i="3"/>
  <c r="I197" i="3"/>
  <c r="J197" i="3"/>
  <c r="K197" i="3"/>
  <c r="K175" i="3"/>
  <c r="I175" i="3"/>
  <c r="J175" i="3"/>
  <c r="K68" i="3"/>
  <c r="I68" i="3"/>
  <c r="J68" i="3"/>
  <c r="I116" i="3"/>
  <c r="K116" i="3"/>
  <c r="J116" i="3"/>
  <c r="J49" i="3"/>
  <c r="K49" i="3"/>
  <c r="I49" i="3"/>
  <c r="I128" i="3"/>
  <c r="J128" i="3"/>
  <c r="K128" i="3"/>
  <c r="J76" i="3"/>
  <c r="I76" i="3"/>
  <c r="K76" i="3"/>
  <c r="J122" i="3"/>
  <c r="I122" i="3"/>
  <c r="K122" i="3"/>
  <c r="I124" i="3"/>
  <c r="K124" i="3"/>
  <c r="J124" i="3"/>
  <c r="I66" i="3"/>
  <c r="J66" i="3"/>
  <c r="K66" i="3"/>
  <c r="J43" i="3"/>
  <c r="I43" i="3"/>
  <c r="K43" i="3"/>
  <c r="I143" i="3"/>
  <c r="K143" i="3"/>
  <c r="J143" i="3"/>
  <c r="J226" i="3"/>
  <c r="K226" i="3"/>
  <c r="I226" i="3"/>
  <c r="J127" i="3"/>
  <c r="I127" i="3"/>
  <c r="K127" i="3"/>
  <c r="J51" i="3"/>
  <c r="I51" i="3"/>
  <c r="K51" i="3"/>
  <c r="J218" i="3"/>
  <c r="I218" i="3"/>
  <c r="K218" i="3"/>
  <c r="I184" i="3"/>
  <c r="K184" i="3"/>
  <c r="J184" i="3"/>
  <c r="I16" i="3"/>
  <c r="J16" i="3"/>
  <c r="K16" i="3"/>
  <c r="J222" i="3"/>
  <c r="I222" i="3"/>
  <c r="K222" i="3"/>
  <c r="K130" i="3"/>
  <c r="J130" i="3"/>
  <c r="I130" i="3"/>
  <c r="K104" i="3"/>
  <c r="J104" i="3"/>
  <c r="I104" i="3"/>
  <c r="J31" i="3"/>
  <c r="K31" i="3"/>
  <c r="I31" i="3"/>
  <c r="J20" i="3"/>
  <c r="I20" i="3"/>
  <c r="K20" i="3"/>
  <c r="J36" i="3"/>
  <c r="I36" i="3"/>
  <c r="K36" i="3"/>
  <c r="J21" i="3"/>
  <c r="K21" i="3"/>
  <c r="I21" i="3"/>
  <c r="J203" i="3"/>
  <c r="I203" i="3"/>
  <c r="K203" i="3"/>
  <c r="I210" i="3"/>
  <c r="J210" i="3"/>
  <c r="K210" i="3"/>
  <c r="K196" i="3"/>
  <c r="J196" i="3"/>
  <c r="I196" i="3"/>
  <c r="K33" i="3"/>
  <c r="J33" i="3"/>
  <c r="I33" i="3"/>
  <c r="J22" i="3"/>
  <c r="I22" i="3"/>
  <c r="K22" i="3"/>
  <c r="K86" i="3"/>
  <c r="J86" i="3"/>
  <c r="I86" i="3"/>
  <c r="K152" i="3"/>
  <c r="J152" i="3"/>
  <c r="I152" i="3"/>
  <c r="K190" i="3"/>
  <c r="J190" i="3"/>
  <c r="I190" i="3"/>
  <c r="J56" i="3"/>
  <c r="I56" i="3"/>
  <c r="K56" i="3"/>
  <c r="J144" i="3"/>
  <c r="I144" i="3"/>
  <c r="K144" i="3"/>
  <c r="K109" i="3"/>
  <c r="I109" i="3"/>
  <c r="J109" i="3"/>
  <c r="J47" i="3"/>
  <c r="I47" i="3"/>
  <c r="K47" i="3"/>
  <c r="J133" i="3"/>
  <c r="I133" i="3"/>
  <c r="K133" i="3"/>
  <c r="I107" i="3"/>
  <c r="K107" i="3"/>
  <c r="J107" i="3"/>
  <c r="I60" i="3"/>
  <c r="K60" i="3"/>
  <c r="J60" i="3"/>
  <c r="I136" i="3"/>
  <c r="J136" i="3"/>
  <c r="K136" i="3"/>
  <c r="K81" i="3"/>
  <c r="I81" i="3"/>
  <c r="J81" i="3"/>
  <c r="J166" i="3"/>
  <c r="K166" i="3"/>
  <c r="I166" i="3"/>
  <c r="I110" i="3"/>
  <c r="J110" i="3"/>
  <c r="K110" i="3"/>
  <c r="J29" i="3"/>
  <c r="I29" i="3"/>
  <c r="K29" i="3"/>
  <c r="J170" i="3"/>
  <c r="K170" i="3"/>
  <c r="I170" i="3"/>
  <c r="K30" i="3"/>
  <c r="I30" i="3"/>
  <c r="J30" i="3"/>
  <c r="J99" i="3"/>
  <c r="I99" i="3"/>
  <c r="K99" i="3"/>
  <c r="I212" i="3"/>
  <c r="K212" i="3"/>
  <c r="J212" i="3"/>
  <c r="K27" i="3"/>
  <c r="J27" i="3"/>
  <c r="I27" i="3"/>
  <c r="I181" i="3"/>
  <c r="J181" i="3"/>
  <c r="K181" i="3"/>
  <c r="I67" i="3"/>
  <c r="K67" i="3"/>
  <c r="J67" i="3"/>
  <c r="K164" i="3"/>
  <c r="J164" i="3"/>
  <c r="I164" i="3"/>
  <c r="J18" i="3"/>
  <c r="I18" i="3"/>
  <c r="K18" i="3"/>
  <c r="I217" i="3"/>
  <c r="K217" i="3"/>
  <c r="J217" i="3"/>
  <c r="J214" i="3"/>
  <c r="I214" i="3"/>
  <c r="K214" i="3"/>
  <c r="K154" i="3"/>
  <c r="J154" i="3"/>
  <c r="I154" i="3"/>
  <c r="I208" i="3"/>
  <c r="K208" i="3"/>
  <c r="J208" i="3"/>
  <c r="K35" i="3"/>
  <c r="J35" i="3"/>
  <c r="I35" i="3"/>
  <c r="J84" i="3"/>
  <c r="K84" i="3"/>
  <c r="I84" i="3"/>
  <c r="K165" i="3"/>
  <c r="J165" i="3"/>
  <c r="I165" i="3"/>
  <c r="I26" i="3"/>
  <c r="K26" i="3"/>
  <c r="J26" i="3"/>
  <c r="I204" i="3"/>
  <c r="K204" i="3"/>
  <c r="J204" i="3"/>
  <c r="I111" i="3"/>
  <c r="K111" i="3"/>
  <c r="J111" i="3"/>
  <c r="I55" i="3"/>
  <c r="K55" i="3"/>
  <c r="J55" i="3"/>
  <c r="K123" i="3"/>
  <c r="J123" i="3"/>
  <c r="I123" i="3"/>
  <c r="J45" i="3"/>
  <c r="I45" i="3"/>
  <c r="K45" i="3"/>
  <c r="K147" i="3"/>
  <c r="J147" i="3"/>
  <c r="I147" i="3"/>
  <c r="K151" i="3"/>
  <c r="J151" i="3"/>
  <c r="I151" i="3"/>
  <c r="J74" i="3"/>
  <c r="I74" i="3"/>
  <c r="K74" i="3"/>
  <c r="K150" i="3"/>
  <c r="J150" i="3"/>
  <c r="I150" i="3"/>
  <c r="J180" i="3"/>
  <c r="I180" i="3"/>
  <c r="K180" i="3"/>
  <c r="K199" i="3"/>
  <c r="J199" i="3"/>
  <c r="I199" i="3"/>
  <c r="I83" i="3"/>
  <c r="K83" i="3"/>
  <c r="J83" i="3"/>
  <c r="K176" i="3"/>
  <c r="J176" i="3"/>
  <c r="I176" i="3"/>
  <c r="J59" i="3"/>
  <c r="I59" i="3"/>
  <c r="K59" i="3"/>
  <c r="I100" i="3"/>
  <c r="K100" i="3"/>
  <c r="J100" i="3"/>
  <c r="K216" i="3"/>
  <c r="J216" i="3"/>
  <c r="I216" i="3"/>
  <c r="K17" i="3"/>
  <c r="J17" i="3"/>
  <c r="I17" i="3"/>
  <c r="J179" i="3"/>
  <c r="K179" i="3"/>
  <c r="I179" i="3"/>
  <c r="K142" i="3"/>
  <c r="J142" i="3"/>
  <c r="I142" i="3"/>
  <c r="J149" i="3"/>
  <c r="K149" i="3"/>
  <c r="I149" i="3"/>
  <c r="I213" i="3"/>
  <c r="K213" i="3"/>
  <c r="J213" i="3"/>
  <c r="K219" i="3"/>
  <c r="J219" i="3"/>
  <c r="I219" i="3"/>
  <c r="I223" i="3"/>
  <c r="K223" i="3"/>
  <c r="J223" i="3"/>
  <c r="J169" i="3"/>
  <c r="I169" i="3"/>
  <c r="K169" i="3"/>
  <c r="K209" i="3"/>
  <c r="J209" i="3"/>
  <c r="I209" i="3"/>
  <c r="I163" i="3"/>
  <c r="K163" i="3"/>
  <c r="J163" i="3"/>
  <c r="I92" i="3"/>
  <c r="J92" i="3"/>
  <c r="K92" i="3"/>
  <c r="K98" i="3"/>
  <c r="I98" i="3"/>
  <c r="J98" i="3"/>
  <c r="J38" i="3"/>
  <c r="I38" i="3"/>
  <c r="K38" i="3"/>
  <c r="J39" i="3"/>
  <c r="I39" i="3"/>
  <c r="K39" i="3"/>
  <c r="J93" i="3"/>
  <c r="I93" i="3"/>
  <c r="K93" i="3"/>
  <c r="K125" i="3"/>
  <c r="I125" i="3"/>
  <c r="J125" i="3"/>
  <c r="I167" i="3"/>
  <c r="K167" i="3"/>
  <c r="J167" i="3"/>
  <c r="K137" i="3"/>
  <c r="I137" i="3"/>
  <c r="J137" i="3"/>
  <c r="J126" i="3"/>
  <c r="K126" i="3"/>
  <c r="I126" i="3"/>
  <c r="K63" i="3"/>
  <c r="J63" i="3"/>
  <c r="I63" i="3"/>
  <c r="I112" i="3"/>
  <c r="K112" i="3"/>
  <c r="J112" i="3"/>
  <c r="J117" i="3"/>
  <c r="I117" i="3"/>
  <c r="K117" i="3"/>
  <c r="J46" i="3"/>
  <c r="I46" i="3"/>
  <c r="K46" i="3"/>
  <c r="I58" i="3"/>
  <c r="K58" i="3"/>
  <c r="J58" i="3"/>
  <c r="J134" i="3"/>
  <c r="K134" i="3"/>
  <c r="I134" i="3"/>
  <c r="J171" i="3"/>
  <c r="I171" i="3"/>
  <c r="K171" i="3"/>
  <c r="I178" i="3"/>
  <c r="J178" i="3"/>
  <c r="K178" i="3"/>
  <c r="J53" i="3"/>
  <c r="I53" i="3"/>
  <c r="K53" i="3"/>
  <c r="K71" i="3"/>
  <c r="J71" i="3"/>
  <c r="I71" i="3"/>
  <c r="K195" i="3"/>
  <c r="J195" i="3"/>
  <c r="I195" i="3"/>
  <c r="K24" i="3"/>
  <c r="I24" i="3"/>
  <c r="J24" i="3"/>
  <c r="J185" i="3"/>
  <c r="I185" i="3"/>
  <c r="K185" i="3"/>
  <c r="J52" i="3"/>
  <c r="K52" i="3"/>
  <c r="I52" i="3"/>
  <c r="I182" i="3"/>
  <c r="K182" i="3"/>
  <c r="J182" i="3"/>
  <c r="K138" i="3"/>
  <c r="I138" i="3"/>
  <c r="J138" i="3"/>
  <c r="K141" i="3"/>
  <c r="I141" i="3"/>
  <c r="J141" i="3"/>
  <c r="K19" i="3"/>
  <c r="I19" i="3"/>
  <c r="J19" i="3"/>
  <c r="J94" i="3"/>
  <c r="K94" i="3"/>
  <c r="I94" i="3"/>
  <c r="I227" i="3"/>
  <c r="J227" i="3"/>
  <c r="K227" i="3"/>
  <c r="J155" i="3"/>
  <c r="K155" i="3"/>
  <c r="I155" i="3"/>
  <c r="J215" i="3"/>
  <c r="K215" i="3"/>
  <c r="I215" i="3"/>
  <c r="I188" i="3"/>
  <c r="J188" i="3"/>
  <c r="K188" i="3"/>
  <c r="I106" i="3"/>
  <c r="K106" i="3"/>
  <c r="J106" i="3"/>
  <c r="K102" i="3"/>
  <c r="J102" i="3"/>
  <c r="I102" i="3"/>
  <c r="K34" i="3"/>
  <c r="J34" i="3"/>
  <c r="I34" i="3"/>
  <c r="J79" i="3"/>
  <c r="I79" i="3"/>
  <c r="K79" i="3"/>
  <c r="J159" i="3"/>
  <c r="I159" i="3"/>
  <c r="K159" i="3"/>
  <c r="K139" i="3"/>
  <c r="J139" i="3"/>
  <c r="I139" i="3"/>
  <c r="J80" i="3"/>
  <c r="I80" i="3"/>
  <c r="K80" i="3"/>
  <c r="J75" i="3"/>
  <c r="K75" i="3"/>
  <c r="I75" i="3"/>
  <c r="K70" i="3"/>
  <c r="J70" i="3"/>
  <c r="I70" i="3"/>
  <c r="K64" i="3"/>
  <c r="J64" i="3"/>
  <c r="I64" i="3"/>
  <c r="J131" i="3"/>
  <c r="I131" i="3"/>
  <c r="K131" i="3"/>
  <c r="I54" i="3"/>
  <c r="J54" i="3"/>
  <c r="K54" i="3"/>
  <c r="K119" i="3"/>
  <c r="J119" i="3"/>
  <c r="I119" i="3"/>
  <c r="J148" i="3"/>
  <c r="K148" i="3"/>
  <c r="I148" i="3"/>
  <c r="I198" i="3"/>
  <c r="J198" i="3"/>
  <c r="K198" i="3"/>
  <c r="J132" i="3"/>
  <c r="K132" i="3"/>
  <c r="I132" i="3"/>
  <c r="K57" i="3"/>
  <c r="I57" i="3"/>
  <c r="J57" i="3"/>
  <c r="K206" i="3"/>
  <c r="J206" i="3"/>
  <c r="I206" i="3"/>
  <c r="I177" i="3"/>
  <c r="J177" i="3"/>
  <c r="K177" i="3"/>
  <c r="I221" i="3"/>
  <c r="K221" i="3"/>
  <c r="J221" i="3"/>
  <c r="K161" i="3"/>
  <c r="J161" i="3"/>
  <c r="I161" i="3"/>
  <c r="I103" i="3"/>
  <c r="K103" i="3"/>
  <c r="J103" i="3"/>
  <c r="J189" i="3"/>
  <c r="K189" i="3"/>
  <c r="I189" i="3"/>
  <c r="J202" i="3"/>
  <c r="I202" i="3"/>
  <c r="K202" i="3"/>
  <c r="K211" i="3"/>
  <c r="J211" i="3"/>
  <c r="I211" i="3"/>
  <c r="K153" i="3"/>
  <c r="J153" i="3"/>
  <c r="I153" i="3"/>
  <c r="J158" i="3"/>
  <c r="I158" i="3"/>
  <c r="K158" i="3"/>
  <c r="I91" i="3"/>
  <c r="K91" i="3"/>
  <c r="J91" i="3"/>
  <c r="K87" i="3"/>
  <c r="J87" i="3"/>
  <c r="I87" i="3"/>
  <c r="J37" i="3"/>
  <c r="K37" i="3"/>
  <c r="I37" i="3"/>
  <c r="J121" i="3"/>
  <c r="K121" i="3"/>
  <c r="I121" i="3"/>
  <c r="K82" i="3"/>
  <c r="J82" i="3"/>
  <c r="I82" i="3"/>
  <c r="I48" i="3"/>
  <c r="J48" i="3"/>
  <c r="K48" i="3"/>
  <c r="K118" i="3"/>
  <c r="J118" i="3"/>
  <c r="I118" i="3"/>
  <c r="K73" i="3"/>
  <c r="I73" i="3"/>
  <c r="J73" i="3"/>
  <c r="I135" i="3"/>
  <c r="K135" i="3"/>
  <c r="J135" i="3"/>
  <c r="J145" i="3"/>
  <c r="I145" i="3"/>
  <c r="K145" i="3"/>
  <c r="K140" i="3"/>
  <c r="I140" i="3"/>
  <c r="J140" i="3"/>
  <c r="K115" i="3"/>
  <c r="J115" i="3"/>
  <c r="I115" i="3"/>
  <c r="K44" i="3"/>
  <c r="J44" i="3"/>
  <c r="I44" i="3"/>
  <c r="K146" i="3"/>
  <c r="I146" i="3"/>
  <c r="J146" i="3"/>
  <c r="K69" i="3"/>
  <c r="I69" i="3"/>
  <c r="J69" i="3"/>
  <c r="I120" i="3"/>
  <c r="K120" i="3"/>
  <c r="J120" i="3"/>
</calcChain>
</file>

<file path=xl/sharedStrings.xml><?xml version="1.0" encoding="utf-8"?>
<sst xmlns="http://schemas.openxmlformats.org/spreadsheetml/2006/main" count="990" uniqueCount="672">
  <si>
    <t>BÁO CÁO MENU MIX (PRODUCT MIX) ĐỊNH KỲ</t>
  </si>
  <si>
    <t>MÃ HÀNG</t>
  </si>
  <si>
    <t>TÊN HÀNG</t>
  </si>
  <si>
    <t>Đơn Vị Tính</t>
  </si>
  <si>
    <t>Per 100 TC</t>
  </si>
  <si>
    <t>Cost Price</t>
  </si>
  <si>
    <t>Selling Price</t>
  </si>
  <si>
    <t>TỔNG MENU</t>
  </si>
  <si>
    <t>TRÁNG MIỆNG</t>
  </si>
  <si>
    <t>TC</t>
  </si>
  <si>
    <t>SALES</t>
  </si>
  <si>
    <t>MÓN ĂN</t>
  </si>
  <si>
    <t>THỨC UỐNG / BEVERAGES</t>
  </si>
  <si>
    <t>RƯỢU / WINE</t>
  </si>
  <si>
    <t>BIA / BEER</t>
  </si>
  <si>
    <t>NƯỚC GIẢI KHÁT / SOFT DRINK</t>
  </si>
  <si>
    <t>NƯỚC QUẢ / JUICE</t>
  </si>
  <si>
    <t>NƯỚC PHA CHẾ / COCKTAIL - MOOCKTAIL</t>
  </si>
  <si>
    <t>KHÁC</t>
  </si>
  <si>
    <t>AN05</t>
  </si>
  <si>
    <t>Khoai lang kén</t>
  </si>
  <si>
    <t>Đĩa</t>
  </si>
  <si>
    <t>AN06</t>
  </si>
  <si>
    <t>Khoai tây chiên</t>
  </si>
  <si>
    <t>DB19B</t>
  </si>
  <si>
    <t>Nem bò nấm (6c/đĩa)</t>
  </si>
  <si>
    <t>NN20</t>
  </si>
  <si>
    <t>Bò khô</t>
  </si>
  <si>
    <t>Gói</t>
  </si>
  <si>
    <t>ĂN NO - BÒ SÀI GÒN</t>
  </si>
  <si>
    <t>BVO027</t>
  </si>
  <si>
    <t>Bò Sốt Tiêu Đen + Bánh Bao</t>
  </si>
  <si>
    <t>Suất</t>
  </si>
  <si>
    <t>BVO039</t>
  </si>
  <si>
    <t>Bánh Bao Chiên</t>
  </si>
  <si>
    <t>CMTD45</t>
  </si>
  <si>
    <t>Cháo tim bò</t>
  </si>
  <si>
    <t>Nồi</t>
  </si>
  <si>
    <t>CMTD56</t>
  </si>
  <si>
    <t>Xôi chiên lệ phố</t>
  </si>
  <si>
    <t>CMTD60</t>
  </si>
  <si>
    <t>Cơm Trắng</t>
  </si>
  <si>
    <t>Bát</t>
  </si>
  <si>
    <t>CMTD64</t>
  </si>
  <si>
    <t>Cơm bò sốt tiêu đen</t>
  </si>
  <si>
    <t>Thố</t>
  </si>
  <si>
    <t>RAU SALAD - BÒ SÀI GÒN</t>
  </si>
  <si>
    <t>BVO049</t>
  </si>
  <si>
    <t>Salad Rau Trộn</t>
  </si>
  <si>
    <t>RR03</t>
  </si>
  <si>
    <t>Củ quả luộc chấm kho quẹt</t>
  </si>
  <si>
    <t>RR07</t>
  </si>
  <si>
    <t>Măng trúc Yên Tử xào nấm</t>
  </si>
  <si>
    <t>RR23</t>
  </si>
  <si>
    <t>Nộm bắp bò rau tiến vua</t>
  </si>
  <si>
    <t>RR30</t>
  </si>
  <si>
    <t>Nộm bắp bò rau càng cua</t>
  </si>
  <si>
    <t>RR32</t>
  </si>
  <si>
    <t>Salad rau vườn</t>
  </si>
  <si>
    <t>LẨU NGON &amp; NHÚNG LẨU - BÒ SÀI GÒN</t>
  </si>
  <si>
    <t>LN13</t>
  </si>
  <si>
    <t>Lẩu cua đồng - Thập cẩm</t>
  </si>
  <si>
    <t>LN42</t>
  </si>
  <si>
    <t>Lẩu bò miền Tây thập cẩm</t>
  </si>
  <si>
    <t>LN43</t>
  </si>
  <si>
    <t>Lẩu bò nấm</t>
  </si>
  <si>
    <t>LN45</t>
  </si>
  <si>
    <t>Lẩu Thái  bò đặc biệt</t>
  </si>
  <si>
    <t>LN46</t>
  </si>
  <si>
    <t>Lẩu riêu cua bắp bò đặc biệt</t>
  </si>
  <si>
    <t>LN47</t>
  </si>
  <si>
    <t>Lẩu Tứ Xuyên</t>
  </si>
  <si>
    <t>DNL02</t>
  </si>
  <si>
    <t>Gà tươi cả con</t>
  </si>
  <si>
    <t>DNL03</t>
  </si>
  <si>
    <t>Gầu bò</t>
  </si>
  <si>
    <t>DNL06</t>
  </si>
  <si>
    <t>Bắp bò</t>
  </si>
  <si>
    <t>DNL07</t>
  </si>
  <si>
    <t>Mỳ thêm</t>
  </si>
  <si>
    <t>DNL08</t>
  </si>
  <si>
    <t>Bún thêm</t>
  </si>
  <si>
    <t>DNL12</t>
  </si>
  <si>
    <t>Thịt bò tơ</t>
  </si>
  <si>
    <t>DNL19</t>
  </si>
  <si>
    <t>Gân bò</t>
  </si>
  <si>
    <t>DNL21</t>
  </si>
  <si>
    <t>Đậu phụ thêm</t>
  </si>
  <si>
    <t>DNL22</t>
  </si>
  <si>
    <t>Gạch cua thêm</t>
  </si>
  <si>
    <t>DNL28</t>
  </si>
  <si>
    <t>Tim bò</t>
  </si>
  <si>
    <t>DNL33</t>
  </si>
  <si>
    <t>Ba chỉ bò Mỹ</t>
  </si>
  <si>
    <t>DNL39</t>
  </si>
  <si>
    <t>Viên bò (10 viên/đĩa)</t>
  </si>
  <si>
    <t>DNL42</t>
  </si>
  <si>
    <t>Sách đen nhúng lẩu</t>
  </si>
  <si>
    <t>DNL43</t>
  </si>
  <si>
    <t>Nấm kim châm nhúng lẩu</t>
  </si>
  <si>
    <t>DNL44</t>
  </si>
  <si>
    <t>Nấm tuyết nhĩ nhúng lẩu</t>
  </si>
  <si>
    <t>DNL45</t>
  </si>
  <si>
    <t>Váng đậu chiên nhúng lẩu</t>
  </si>
  <si>
    <t>DNL46</t>
  </si>
  <si>
    <t>Cải xanh nhúng lẩu</t>
  </si>
  <si>
    <t>DNL47</t>
  </si>
  <si>
    <t>Rau lẩu cua</t>
  </si>
  <si>
    <t>DNL48</t>
  </si>
  <si>
    <t>Hoa chuối thái nhúng lẩu</t>
  </si>
  <si>
    <t>DNL49</t>
  </si>
  <si>
    <t>Ngô ngọt nhúng lẩu</t>
  </si>
  <si>
    <t>DNL50</t>
  </si>
  <si>
    <t>Cải thảo nhúng lẩu</t>
  </si>
  <si>
    <t>DNL56</t>
  </si>
  <si>
    <t>Nấm tươi (gọi thêm)</t>
  </si>
  <si>
    <t>DNL57</t>
  </si>
  <si>
    <t>Kim chi (gọi thêm)</t>
  </si>
  <si>
    <t>DNL58</t>
  </si>
  <si>
    <t>Đậu hũ pho mai</t>
  </si>
  <si>
    <t>DNL59</t>
  </si>
  <si>
    <t>Viên tôm hùm</t>
  </si>
  <si>
    <t>DNL60</t>
  </si>
  <si>
    <t>Thanh cua</t>
  </si>
  <si>
    <t>NƯỚNG CHẦN / CHAO</t>
  </si>
  <si>
    <t>DNL13</t>
  </si>
  <si>
    <t>Bò tơ nhúng</t>
  </si>
  <si>
    <t>DNL14</t>
  </si>
  <si>
    <t>Gầu bò nhúng</t>
  </si>
  <si>
    <t>DNL15</t>
  </si>
  <si>
    <t>Bắp bò nhúng</t>
  </si>
  <si>
    <t>CMR01</t>
  </si>
  <si>
    <t>Bê chao Mộc Châu</t>
  </si>
  <si>
    <t>CMTD34</t>
  </si>
  <si>
    <t>Dồi bò chiên giòn</t>
  </si>
  <si>
    <t>CMTD46</t>
  </si>
  <si>
    <t>Bò tơ cháy tỏi</t>
  </si>
  <si>
    <t>DB25</t>
  </si>
  <si>
    <t>Fuji Steak Thượng hạng</t>
  </si>
  <si>
    <t>NTH01</t>
  </si>
  <si>
    <t>Dẻ sườn bò Mỹ nướng</t>
  </si>
  <si>
    <t>NTH07</t>
  </si>
  <si>
    <t>Bò nướng tảng</t>
  </si>
  <si>
    <t>KHAI VỊ / ĂN KÈM</t>
  </si>
  <si>
    <t>CMR02</t>
  </si>
  <si>
    <t>Bò tơ  cuốn bánh tráng</t>
  </si>
  <si>
    <t>CMR12</t>
  </si>
  <si>
    <t>Dẻ sườn hấp nấm</t>
  </si>
  <si>
    <t>CMTD17</t>
  </si>
  <si>
    <t>Bò tơ tái chanh</t>
  </si>
  <si>
    <t>CMTD22</t>
  </si>
  <si>
    <t>Bò tơ xông hơi</t>
  </si>
  <si>
    <t>HẤP CUỐN</t>
  </si>
  <si>
    <t>GÀ / CÁ / MÓN XÀO</t>
  </si>
  <si>
    <t>BVO029</t>
  </si>
  <si>
    <t>Cá Saba Nướng Nhật Bản</t>
  </si>
  <si>
    <t>CMTD29</t>
  </si>
  <si>
    <t>Gà ri chiên mắm (1/2 con)</t>
  </si>
  <si>
    <t>Con</t>
  </si>
  <si>
    <t>CMTD30</t>
  </si>
  <si>
    <t>Gà chiên mắm cả con</t>
  </si>
  <si>
    <t>CMTD20</t>
  </si>
  <si>
    <t>Sách đen xào khế</t>
  </si>
  <si>
    <t>CMTD36</t>
  </si>
  <si>
    <t>Bắp bò xào măng trúc</t>
  </si>
  <si>
    <t>MANG VỀ</t>
  </si>
  <si>
    <t>MV0004</t>
  </si>
  <si>
    <t>Bò Tơ Cuốn Bánh Tráng (MV)</t>
  </si>
  <si>
    <t>MV0006</t>
  </si>
  <si>
    <t>Bê Chao Mộc Châu (MV)</t>
  </si>
  <si>
    <t>MV0007</t>
  </si>
  <si>
    <t>Bò Tơ Tái Chanh (MV)</t>
  </si>
  <si>
    <t>MV0008</t>
  </si>
  <si>
    <t>Dồi Bò Chiên (MV)</t>
  </si>
  <si>
    <t>MV0009</t>
  </si>
  <si>
    <t>Dẻ Sườn Bò Mỹ Nướng (MV)</t>
  </si>
  <si>
    <t>MV0010</t>
  </si>
  <si>
    <t>Bò Nướng Tảng (MV)</t>
  </si>
  <si>
    <t>MV0011</t>
  </si>
  <si>
    <t>Bò Sốt Tiêu Đen + Bánh Bao (MV)</t>
  </si>
  <si>
    <t>MV0020</t>
  </si>
  <si>
    <t>Cá Saba Nhật Bản Nướng (MV)</t>
  </si>
  <si>
    <t>MV0025</t>
  </si>
  <si>
    <t>Salad Rau Trộn (MV)</t>
  </si>
  <si>
    <t>MV0027</t>
  </si>
  <si>
    <t>Nộm Bắp Bò Rau Tiến Vua (MV)</t>
  </si>
  <si>
    <t>MV0029</t>
  </si>
  <si>
    <t>Củ Quả Luộc Chấm Kho Quẹt (MV)</t>
  </si>
  <si>
    <t>MV0030</t>
  </si>
  <si>
    <t>Măng Trúc Yến Tử Xào Nấm (MV)</t>
  </si>
  <si>
    <t>MV0031</t>
  </si>
  <si>
    <t>Khoai Tây Chiên (MV)</t>
  </si>
  <si>
    <t>MV0032</t>
  </si>
  <si>
    <t>Khoai Lang Kén (MV)</t>
  </si>
  <si>
    <t>MV0040</t>
  </si>
  <si>
    <t>Xôi Chiên Phồng (MV)</t>
  </si>
  <si>
    <t>MV0041</t>
  </si>
  <si>
    <t>Bánh Bao Chiên (MV)</t>
  </si>
  <si>
    <t>MV0047</t>
  </si>
  <si>
    <t>Bò Tơ Nhúng (MV)</t>
  </si>
  <si>
    <t>MV0048</t>
  </si>
  <si>
    <t>Gầu bò nhúng (MV)</t>
  </si>
  <si>
    <t>MV0049</t>
  </si>
  <si>
    <t>Bắp bò nhúng (MV)</t>
  </si>
  <si>
    <t>MV0052</t>
  </si>
  <si>
    <t>Cháo Tim Bò (MV)</t>
  </si>
  <si>
    <t>MV0056</t>
  </si>
  <si>
    <t>Bắp Bò Xào Măng Trúc (MV)</t>
  </si>
  <si>
    <t>MV0064</t>
  </si>
  <si>
    <t>Gà Ri Chiên Mắm Cả Con (MV)</t>
  </si>
  <si>
    <t>MV0065</t>
  </si>
  <si>
    <t>Gà Ri Chiên Mắm 1/2 Con (MV)</t>
  </si>
  <si>
    <t>MV0095</t>
  </si>
  <si>
    <t>Bò Tơ Cuốn Bánh Tráng_6 cuốn (MV)</t>
  </si>
  <si>
    <t>MV0096</t>
  </si>
  <si>
    <t xml:space="preserve">Bánh Mỳ Sốt Vang ( 2-3 Người) (MV) </t>
  </si>
  <si>
    <t>MV0130</t>
  </si>
  <si>
    <t>Nem Bò Nấm (6c/đĩa) (MV)</t>
  </si>
  <si>
    <t>MV0142</t>
  </si>
  <si>
    <t>Bò Tơ Cháy Tỏi (MV)</t>
  </si>
  <si>
    <t>MV0143</t>
  </si>
  <si>
    <t>Bò tơ tái chanh 1/2  (MV)</t>
  </si>
  <si>
    <t>MV0144</t>
  </si>
  <si>
    <t>Bò tơ cuốn bánh tráng_4 cuốn (MV)</t>
  </si>
  <si>
    <t>MV0145</t>
  </si>
  <si>
    <t>Nem bò nấm 4c/đĩa (MV)</t>
  </si>
  <si>
    <t>MV0102</t>
  </si>
  <si>
    <t>Lẩu Cua Đồng Đặc Biệt (MV)</t>
  </si>
  <si>
    <t>MV0126</t>
  </si>
  <si>
    <t>Lẩu Bò Miền Tây Thập Cẩm (MV)</t>
  </si>
  <si>
    <t>MV0127</t>
  </si>
  <si>
    <t>Lẩu Bò Miền Tây Đặc Biệt (MV)</t>
  </si>
  <si>
    <t>MV0129</t>
  </si>
  <si>
    <t>Lẩu Bò Nấm Đặc Biệt (MV)</t>
  </si>
  <si>
    <t>MV0134</t>
  </si>
  <si>
    <t>Lẩu Thái Bò Đặc Biệt (MV)</t>
  </si>
  <si>
    <t>MV0147</t>
  </si>
  <si>
    <t>Lẩu bò tứ xuyên đặc biệt (MV)</t>
  </si>
  <si>
    <t>MV0070</t>
  </si>
  <si>
    <t>Ba Chỉ Bò Mỹ (MV)</t>
  </si>
  <si>
    <t>MV0071</t>
  </si>
  <si>
    <t>Gầu Bò (MV)</t>
  </si>
  <si>
    <t>MV0072</t>
  </si>
  <si>
    <t>Thịt Ba Chỉ Bò Tơ (MV)</t>
  </si>
  <si>
    <t>MV0073</t>
  </si>
  <si>
    <t>Bắp Bò (MV)</t>
  </si>
  <si>
    <t>MV0074</t>
  </si>
  <si>
    <t>Tim Bò (MV)</t>
  </si>
  <si>
    <t>MV0075</t>
  </si>
  <si>
    <t>Gân Bò (MV)</t>
  </si>
  <si>
    <t>MV0078</t>
  </si>
  <si>
    <t>Sách Đen (MV)</t>
  </si>
  <si>
    <t>MV0079</t>
  </si>
  <si>
    <t>Bò Viên Nhúng Lẩu (10 viên/đĩa) (MV)</t>
  </si>
  <si>
    <t>MV0080</t>
  </si>
  <si>
    <t>Nấm Kim Châm (MV)</t>
  </si>
  <si>
    <t>MV0081</t>
  </si>
  <si>
    <t>Nấm Tuyết Nhĩ (MV)</t>
  </si>
  <si>
    <t>MV0082</t>
  </si>
  <si>
    <t>Váng Đậu Chiên (MV)</t>
  </si>
  <si>
    <t>MV0084</t>
  </si>
  <si>
    <t>Bún (MV)</t>
  </si>
  <si>
    <t>MV0085</t>
  </si>
  <si>
    <t>Cải Thảo (MV)</t>
  </si>
  <si>
    <t>MV0086</t>
  </si>
  <si>
    <t>Cải Xanh (MV)</t>
  </si>
  <si>
    <t>MV0087</t>
  </si>
  <si>
    <t>Rau Lẩu Cua (MV)</t>
  </si>
  <si>
    <t>MV0089</t>
  </si>
  <si>
    <t>Đậu Phụ (MV)</t>
  </si>
  <si>
    <t>MV0136</t>
  </si>
  <si>
    <t>Nấm Tươi (MV)</t>
  </si>
  <si>
    <t>MV0137</t>
  </si>
  <si>
    <t>Đậu Hũ Pho Mai (MV)</t>
  </si>
  <si>
    <t>NN14</t>
  </si>
  <si>
    <t>Hoa quả tráng miệng thập cẩm</t>
  </si>
  <si>
    <t>NN15</t>
  </si>
  <si>
    <t>Bưởi da xanh tráng miệng</t>
  </si>
  <si>
    <t>NN27</t>
  </si>
  <si>
    <t>Trái cây tươi Califonia</t>
  </si>
  <si>
    <t>NN28</t>
  </si>
  <si>
    <t>Trái cây tươi Califonia (size nhỏ)</t>
  </si>
  <si>
    <t>NN29</t>
  </si>
  <si>
    <t>Chè dưỡng nhan</t>
  </si>
  <si>
    <t>NN31</t>
  </si>
  <si>
    <t>Hoa quả tráng miệng ( Táo envy)</t>
  </si>
  <si>
    <t>NN23</t>
  </si>
  <si>
    <t xml:space="preserve">Dưa Hấu Tráng Miệng </t>
  </si>
  <si>
    <t>LST05</t>
  </si>
  <si>
    <t>Rượu Vodka cá sấu đen</t>
  </si>
  <si>
    <t>Chai</t>
  </si>
  <si>
    <t>LST11</t>
  </si>
  <si>
    <t>Rượu vang-Reserva Cabernet Sauvigvon 13.5%vol</t>
  </si>
  <si>
    <t>LST12</t>
  </si>
  <si>
    <t>Rượu vang-Estate Merlot13%vol</t>
  </si>
  <si>
    <t>LST20</t>
  </si>
  <si>
    <t>Rượu Vodka cá sấu xanh (300ml)</t>
  </si>
  <si>
    <t>LST25</t>
  </si>
  <si>
    <t>Rượu vang-MOYE Reserva Cabernet Sauvignon 14%</t>
  </si>
  <si>
    <t>VRM16</t>
  </si>
  <si>
    <t>Rượu vang- Cantine Cupid-14.5%</t>
  </si>
  <si>
    <t>BIA22</t>
  </si>
  <si>
    <t>Bia Sài Gòn Lager</t>
  </si>
  <si>
    <t>Lon</t>
  </si>
  <si>
    <t>BIA23</t>
  </si>
  <si>
    <t>Bia Tiger bạc (Lon)</t>
  </si>
  <si>
    <t>BIA24</t>
  </si>
  <si>
    <t>Bia Heineken Silver bạc (Lon)</t>
  </si>
  <si>
    <t>BIA25</t>
  </si>
  <si>
    <t>Bia Bubweiser (Lon)</t>
  </si>
  <si>
    <t>BIA26</t>
  </si>
  <si>
    <t>Bia Sapporo (Lon)</t>
  </si>
  <si>
    <t>BIA27</t>
  </si>
  <si>
    <t>Bia Sài gòn Special (Lon)</t>
  </si>
  <si>
    <t>BIA28</t>
  </si>
  <si>
    <t>Bia Tiger Nâu</t>
  </si>
  <si>
    <t>NN01</t>
  </si>
  <si>
    <t>Pepsi</t>
  </si>
  <si>
    <t>NN07</t>
  </si>
  <si>
    <t>Khăn lạnh</t>
  </si>
  <si>
    <t>Chiếc</t>
  </si>
  <si>
    <t>NN09</t>
  </si>
  <si>
    <t>Twister cam</t>
  </si>
  <si>
    <t>NN21</t>
  </si>
  <si>
    <t>Nước lọc Aquafina</t>
  </si>
  <si>
    <t>NN25</t>
  </si>
  <si>
    <t>Pepsi Black lon 330ml</t>
  </si>
  <si>
    <t>NHQ03</t>
  </si>
  <si>
    <t>Nước chanh tươi</t>
  </si>
  <si>
    <t>Cốc</t>
  </si>
  <si>
    <t>NHQ04</t>
  </si>
  <si>
    <t>Nước ép cam tươi</t>
  </si>
  <si>
    <t>NHQ05</t>
  </si>
  <si>
    <t>Trà táo đỏ tứ quý</t>
  </si>
  <si>
    <t>NHQ06</t>
  </si>
  <si>
    <t>Trà đào cam sả</t>
  </si>
  <si>
    <t>NGÀY</t>
  </si>
  <si>
    <t>THỨ</t>
  </si>
  <si>
    <t>Ghi Chú BÁN THÀNH PHẨM</t>
  </si>
  <si>
    <t>Ca Trưa</t>
  </si>
  <si>
    <t>Giữa</t>
  </si>
  <si>
    <t>Ca Tối</t>
  </si>
  <si>
    <t>CHUỖI NHÀ HÀNG BÒ TƠ QUÁN MỘC . . .</t>
  </si>
  <si>
    <t>% ĐẶT HÀNG DỰ TRÙ</t>
  </si>
  <si>
    <t>BẢY</t>
  </si>
  <si>
    <t>Ghi Chú THÀNH PHẨM CHUNG</t>
  </si>
  <si>
    <t>Ba chỉ bò sống (lẩu)</t>
  </si>
  <si>
    <t>Cuộn ba chỉ bò chín</t>
  </si>
  <si>
    <t>Vụn bò chín</t>
  </si>
  <si>
    <t>Tim bò xào chín</t>
  </si>
  <si>
    <t>Bắp bò xào chín</t>
  </si>
  <si>
    <t>Dồi bò hấp chín</t>
  </si>
  <si>
    <t>Nem bò nấm</t>
  </si>
  <si>
    <t>Gân bò làm sạch</t>
  </si>
  <si>
    <t>Cháo đặc</t>
  </si>
  <si>
    <t>Gạch cua chưng</t>
  </si>
  <si>
    <t>Viên mọc bò đã chín</t>
  </si>
  <si>
    <t>Bột tổng hợp</t>
  </si>
  <si>
    <t>Dầu điều</t>
  </si>
  <si>
    <t>Mắm nêm chế biến</t>
  </si>
  <si>
    <t>Sốt Thái Mực</t>
  </si>
  <si>
    <t>Sốt Chao</t>
  </si>
  <si>
    <t>Bột Muối Tôm</t>
  </si>
  <si>
    <t>Nước me ngâm</t>
  </si>
  <si>
    <t>Nước cốt me</t>
  </si>
  <si>
    <t>Sốt Má Heo</t>
  </si>
  <si>
    <t>Thính gạo</t>
  </si>
  <si>
    <t>Sốt phô mai</t>
  </si>
  <si>
    <t>Sốt dầu hành</t>
  </si>
  <si>
    <t>Nước lẩu tứ xuyên</t>
  </si>
  <si>
    <t>Nước lẩu thái mới</t>
  </si>
  <si>
    <t>Nước lẩu nấm mới</t>
  </si>
  <si>
    <t>Nước lẩu chua mới</t>
  </si>
  <si>
    <t>Nước lẩu cua tổng</t>
  </si>
  <si>
    <t>Nước lẩu xin thêm</t>
  </si>
  <si>
    <t>Nước chanh Knorr</t>
  </si>
  <si>
    <t xml:space="preserve">Nước nộm salad </t>
  </si>
  <si>
    <t>Sốt chấm thái đỏ</t>
  </si>
  <si>
    <t>Nước ngâm rau tiến vua</t>
  </si>
  <si>
    <t>Kho quẹt</t>
  </si>
  <si>
    <t>Siro đường - Bar</t>
  </si>
  <si>
    <t>Nước cốt trà đào - Bar</t>
  </si>
  <si>
    <t>Nước cốt trà tứ quý - Bar</t>
  </si>
  <si>
    <t>Sữa chua handmade - Bar</t>
  </si>
  <si>
    <t>Lít</t>
  </si>
  <si>
    <t>SG10</t>
  </si>
  <si>
    <t>Row Labels</t>
  </si>
  <si>
    <t>Grand Total</t>
  </si>
  <si>
    <t>Cửa hàng</t>
  </si>
  <si>
    <t>Check</t>
  </si>
  <si>
    <t>Sum of Check</t>
  </si>
  <si>
    <t>SG01</t>
  </si>
  <si>
    <t>SG02</t>
  </si>
  <si>
    <t>SG03</t>
  </si>
  <si>
    <t>SG04</t>
  </si>
  <si>
    <t>SG05</t>
  </si>
  <si>
    <t>SG06</t>
  </si>
  <si>
    <t>SG07</t>
  </si>
  <si>
    <t>SG08</t>
  </si>
  <si>
    <t>SG09</t>
  </si>
  <si>
    <t>Cái</t>
  </si>
  <si>
    <t>DK1</t>
  </si>
  <si>
    <t>DK2</t>
  </si>
  <si>
    <t>Phần</t>
  </si>
  <si>
    <t>HSNGK001</t>
  </si>
  <si>
    <t>HSNGK004</t>
  </si>
  <si>
    <t>DỊCH VỤ/SERVICE</t>
  </si>
  <si>
    <t>Phí Đồ Ăn</t>
  </si>
  <si>
    <t>CPL.BAR</t>
  </si>
  <si>
    <t>CHI PHÍ QUẦY LINE BAR</t>
  </si>
  <si>
    <t>Chi phí quầy line bar</t>
  </si>
  <si>
    <t>LINEBAR</t>
  </si>
  <si>
    <t>SG11</t>
  </si>
  <si>
    <t>SG12</t>
  </si>
  <si>
    <t>SG13</t>
  </si>
  <si>
    <t>SG14</t>
  </si>
  <si>
    <t>SG15</t>
  </si>
  <si>
    <t>HẢI SẢN</t>
  </si>
  <si>
    <t>KHAI VỊ</t>
  </si>
  <si>
    <t>Nước Ép Ổi</t>
  </si>
  <si>
    <t>Nước Ngọt Pepsi</t>
  </si>
  <si>
    <t>Ly</t>
  </si>
  <si>
    <t>KVI.GSG</t>
  </si>
  <si>
    <t>XIENRCN.GSG</t>
  </si>
  <si>
    <t>XIÊN RAU - CỦ - NẤM NƯỚNG</t>
  </si>
  <si>
    <t>XIENTHIT.GSG</t>
  </si>
  <si>
    <t>XIÊN THỊT NƯỚNG</t>
  </si>
  <si>
    <t>THITBO.GSG</t>
  </si>
  <si>
    <t>THỊT BÒ</t>
  </si>
  <si>
    <t>THITHEO.GSG</t>
  </si>
  <si>
    <t>THỊT HEO</t>
  </si>
  <si>
    <t>HSAN.GSG</t>
  </si>
  <si>
    <t>ANKEM.GSG</t>
  </si>
  <si>
    <t>CÁC MÓN DÙNG KÈM</t>
  </si>
  <si>
    <t>DUPC.GSG</t>
  </si>
  <si>
    <t>ĐỒ UỐNG PHA CHẾ</t>
  </si>
  <si>
    <t>NGK.GSG</t>
  </si>
  <si>
    <t>NƯỚC GIẢI KHÁT</t>
  </si>
  <si>
    <t>GSKVI002</t>
  </si>
  <si>
    <t>RBIA.GSG</t>
  </si>
  <si>
    <t>RƯỢU BIA</t>
  </si>
  <si>
    <t>DVU.GSG</t>
  </si>
  <si>
    <t>GSTBO001</t>
  </si>
  <si>
    <t>GSTBO002</t>
  </si>
  <si>
    <t>GSTBO003</t>
  </si>
  <si>
    <t>GSTBO004</t>
  </si>
  <si>
    <t>GSTBO005</t>
  </si>
  <si>
    <t>GSTBO007</t>
  </si>
  <si>
    <t>GSTBO008</t>
  </si>
  <si>
    <t>GSTBO009</t>
  </si>
  <si>
    <t>GSTBO010</t>
  </si>
  <si>
    <t>GSTBO011</t>
  </si>
  <si>
    <t>GSHAS001</t>
  </si>
  <si>
    <t>GSHAS002</t>
  </si>
  <si>
    <t>GSHAS003</t>
  </si>
  <si>
    <t>GSAKN001</t>
  </si>
  <si>
    <t>GSAKN006</t>
  </si>
  <si>
    <t>GSHQU004</t>
  </si>
  <si>
    <t>GSHQU005</t>
  </si>
  <si>
    <t>GSHQU006</t>
  </si>
  <si>
    <t>GSHQU008</t>
  </si>
  <si>
    <t>HSNGK007</t>
  </si>
  <si>
    <t>HSNGK002</t>
  </si>
  <si>
    <t>HSBIA014</t>
  </si>
  <si>
    <t>GSDVU002</t>
  </si>
  <si>
    <t>GSDVU003</t>
  </si>
  <si>
    <t>GSDVU004</t>
  </si>
  <si>
    <t>GSDVU005</t>
  </si>
  <si>
    <t>Khoai Tây Lắc Phô Mai</t>
  </si>
  <si>
    <t>Ngô Ngọt Nướng</t>
  </si>
  <si>
    <t>Đậu Bắp Nướng</t>
  </si>
  <si>
    <t>Khoai Tây Nướng</t>
  </si>
  <si>
    <t>Bí Ngòi Nướng</t>
  </si>
  <si>
    <t>Bí Đỏ Nướng</t>
  </si>
  <si>
    <t>Khoai Lang Nướng</t>
  </si>
  <si>
    <t>Nấm Đùi Gà Nướng</t>
  </si>
  <si>
    <t>Nấm Đông Cô Nướng</t>
  </si>
  <si>
    <t>Sườn Bò Hoàng Đế Xốt G.Master</t>
  </si>
  <si>
    <t>Sườn Bò Hoàng Đế Xốt Tare</t>
  </si>
  <si>
    <t>Thăn Ngoại Bò Hoàng Đế Nguyên Vị</t>
  </si>
  <si>
    <t>Dẻ Sườn Bò Mỹ Nguyên Vị</t>
  </si>
  <si>
    <t>Thăn Vai Bò Mỹ Nguyên Vị</t>
  </si>
  <si>
    <t>Thăn Vai Bò Mỹ Xốt G.Master</t>
  </si>
  <si>
    <t>Lưỡi Bò Mỹ Nguyên Vị</t>
  </si>
  <si>
    <t>Thăn Bò Hoàng Đế Thượng Hạng</t>
  </si>
  <si>
    <t>Hàu Nướng Mỡ Hành</t>
  </si>
  <si>
    <t>Mực Ống Nướng</t>
  </si>
  <si>
    <t>Cơm Trộn G.Master</t>
  </si>
  <si>
    <t>Nước Ép Dưa Hấu</t>
  </si>
  <si>
    <t>Nước Ép Chanh Dây</t>
  </si>
  <si>
    <t>Nước Soda Citrus Tropical Blue</t>
  </si>
  <si>
    <t>Nước Lọc Aquafina</t>
  </si>
  <si>
    <t>Nước ngọt Pepsi đen lon 330ml</t>
  </si>
  <si>
    <t>Nước Ngọt 7Up</t>
  </si>
  <si>
    <t>Bia Tiger</t>
  </si>
  <si>
    <t>Phí Rượu Vang Ngoại</t>
  </si>
  <si>
    <t>Phí Rượu Mạnh Ngoại, Bia &amp; Nước Ngọt</t>
  </si>
  <si>
    <t>Chai/Thùng/Két</t>
  </si>
  <si>
    <t>Phí Rượu Thủ Công</t>
  </si>
  <si>
    <t>GSTBO012</t>
  </si>
  <si>
    <t>HSBIA006</t>
  </si>
  <si>
    <t>COMBO.GSG</t>
  </si>
  <si>
    <t>COMBO HONG KONG</t>
  </si>
  <si>
    <t>GSHGC006</t>
  </si>
  <si>
    <t>GSAKN007</t>
  </si>
  <si>
    <t>GSAKN009</t>
  </si>
  <si>
    <t>Cá Hồi Xốt Miso Vang Đỏ</t>
  </si>
  <si>
    <t>Cơm Trộn Cá Hồi</t>
  </si>
  <si>
    <t>Canh Rong Biển</t>
  </si>
  <si>
    <t>Khoai Lang Nướng Phô Mai</t>
  </si>
  <si>
    <t>BSDVU009</t>
  </si>
  <si>
    <t>GSNCD017</t>
  </si>
  <si>
    <t>GSTBO017</t>
  </si>
  <si>
    <t>GSTBO018</t>
  </si>
  <si>
    <t>GSHGC011</t>
  </si>
  <si>
    <t>HSRUO017</t>
  </si>
  <si>
    <t>HSRUO018</t>
  </si>
  <si>
    <t>Sườn Bò Nướng Thượng Hạng</t>
  </si>
  <si>
    <t>Lõi Vai Xốt BBQ</t>
  </si>
  <si>
    <t>Má Heo Xốt BBQ</t>
  </si>
  <si>
    <t>Sò Điệp Bơ Tỏi</t>
  </si>
  <si>
    <t>GSKVI005</t>
  </si>
  <si>
    <t>GSKVI006</t>
  </si>
  <si>
    <t>GSKVI007</t>
  </si>
  <si>
    <t>GSKVI008</t>
  </si>
  <si>
    <t>GSKVI009</t>
  </si>
  <si>
    <t>GSKVI010</t>
  </si>
  <si>
    <t>GSKVI011</t>
  </si>
  <si>
    <t>GSKVI012</t>
  </si>
  <si>
    <t>GSKVI013</t>
  </si>
  <si>
    <t>GSKVI014</t>
  </si>
  <si>
    <t>GSKVI015</t>
  </si>
  <si>
    <t>GSKVI016</t>
  </si>
  <si>
    <t>GSKVI017</t>
  </si>
  <si>
    <t>GSRAU009</t>
  </si>
  <si>
    <t>GSRAU010</t>
  </si>
  <si>
    <t>GSRAU011</t>
  </si>
  <si>
    <t>GSRAU012</t>
  </si>
  <si>
    <t>GSRAU013</t>
  </si>
  <si>
    <t>GSRAU014</t>
  </si>
  <si>
    <t>GSRAU015</t>
  </si>
  <si>
    <t>GSRAU016</t>
  </si>
  <si>
    <t>GSRAU017</t>
  </si>
  <si>
    <t>GSNCD018</t>
  </si>
  <si>
    <t>GSNCD019</t>
  </si>
  <si>
    <t>GSNCD020</t>
  </si>
  <si>
    <t>GSNCD021</t>
  </si>
  <si>
    <t>GSNCD022</t>
  </si>
  <si>
    <t>GSNCD023</t>
  </si>
  <si>
    <t>GSNCD026</t>
  </si>
  <si>
    <t>GSNCD027</t>
  </si>
  <si>
    <t>GSNCD028</t>
  </si>
  <si>
    <t>GSNCD029</t>
  </si>
  <si>
    <t>GSNCD030</t>
  </si>
  <si>
    <t>GSNCD031</t>
  </si>
  <si>
    <t>GSNCD032</t>
  </si>
  <si>
    <t>GSNCD033</t>
  </si>
  <si>
    <t>GSNCD034</t>
  </si>
  <si>
    <t>GSNCD035</t>
  </si>
  <si>
    <t>GSNCD036</t>
  </si>
  <si>
    <t>GSNCD037</t>
  </si>
  <si>
    <t>GSNCD038</t>
  </si>
  <si>
    <t>GSNCD039</t>
  </si>
  <si>
    <t>GSNCD041</t>
  </si>
  <si>
    <t>GSNCD042</t>
  </si>
  <si>
    <t>GSNCD043</t>
  </si>
  <si>
    <t>GSHGC012</t>
  </si>
  <si>
    <t>GSHGC013</t>
  </si>
  <si>
    <t>GSHGC014</t>
  </si>
  <si>
    <t>GSHGC015</t>
  </si>
  <si>
    <t>GSHGC016</t>
  </si>
  <si>
    <t>GSHAS004</t>
  </si>
  <si>
    <t>GSAKN012</t>
  </si>
  <si>
    <t>GSCBO005</t>
  </si>
  <si>
    <t>GSCBO006</t>
  </si>
  <si>
    <t>GSCBO007</t>
  </si>
  <si>
    <t>GSCBO008</t>
  </si>
  <si>
    <t>Rau Salad Hải Sản</t>
  </si>
  <si>
    <t>Rau Salad Rong Biển</t>
  </si>
  <si>
    <t>Rau Salad Bơ Xốt Mè Rang</t>
  </si>
  <si>
    <t>Rau Củ Muối Chua Ngọt</t>
  </si>
  <si>
    <t>Bạch Quả</t>
  </si>
  <si>
    <t>Đậu Nành Nhật</t>
  </si>
  <si>
    <t>Bò Tái Xốt Ponzu</t>
  </si>
  <si>
    <t>Khoai Lang Chiên Rong Biển</t>
  </si>
  <si>
    <t>Sụn Gà Chiên</t>
  </si>
  <si>
    <t>Gà Chiên Karaage</t>
  </si>
  <si>
    <t>Cánh Gà Chiên Tebasaki</t>
  </si>
  <si>
    <t>Lưỡi Bò Hầm Oden</t>
  </si>
  <si>
    <t>Cà Chua Bi</t>
  </si>
  <si>
    <t>Phần Combo Xiên Nướng 1</t>
  </si>
  <si>
    <t>Phần Combo Xiên Nướng 2</t>
  </si>
  <si>
    <t>Xiên Sụn Gà Xốt Tare</t>
  </si>
  <si>
    <t>Xiên Sụn Gà Xốt Muối</t>
  </si>
  <si>
    <t>Xiên Cánh Gà Khúc Giữa Xốt Tare</t>
  </si>
  <si>
    <t>Xiên Cánh Gà Khúc Giữa Xốt Muối</t>
  </si>
  <si>
    <t>Xiên Chẳng Dừng Xốt Tare</t>
  </si>
  <si>
    <t>Xiên Chẳng Dừng Xốt Muối</t>
  </si>
  <si>
    <t>Xiên Ba Chỉ Heo Xốt Tare</t>
  </si>
  <si>
    <t>Xiên Ba Chỉ Heo Xốt Muối</t>
  </si>
  <si>
    <t>Xiên Bò Viên Xốt Tare</t>
  </si>
  <si>
    <t>Xiên Bò Viên Xốt Muối</t>
  </si>
  <si>
    <t>Xiên Dẻ Sườn Bò Xốt Tare</t>
  </si>
  <si>
    <t>Xiên Dẻ Sườn Bò Xốt Muối</t>
  </si>
  <si>
    <t>Xiên Gà Hành Baro Xốt Tare</t>
  </si>
  <si>
    <t>Xiên Gà Hành Baro Xốt Muối</t>
  </si>
  <si>
    <t>Xiên Mề Gà Xốt Muối</t>
  </si>
  <si>
    <t>Xiên Tim Gà Xốt Tare</t>
  </si>
  <si>
    <t>Xiên Tim Gà Xốt Muối</t>
  </si>
  <si>
    <t>Xiên Trứng Cút Xốt Muối</t>
  </si>
  <si>
    <t>Xiên Cá Hồi</t>
  </si>
  <si>
    <t>Cá Thu Đao Nướng Muối</t>
  </si>
  <si>
    <t>Chẳng Dừng Xốt Shio</t>
  </si>
  <si>
    <t>Ba Chỉ Heo Xốt Shio</t>
  </si>
  <si>
    <t>Ba Chỉ Heo Xốt Trái Cây</t>
  </si>
  <si>
    <t>Má Heo Xốt Trái Cây</t>
  </si>
  <si>
    <t>Hàu Nướng Giấy Bạc</t>
  </si>
  <si>
    <t>Mỳ Udon Thịt Bò</t>
  </si>
  <si>
    <t>PHẦN COMBO GINZA (SÀNH ĐIỆU)</t>
  </si>
  <si>
    <t>PHẦN COMBO GENKI (NĂNG LƯỢNG)</t>
  </si>
  <si>
    <t>PHẦN COMBO GOKUJO (THƯỢNG ĐỈNH)</t>
  </si>
  <si>
    <t>HSBIA008</t>
  </si>
  <si>
    <t>HSRUO021</t>
  </si>
  <si>
    <t>Bia Sapporo</t>
  </si>
  <si>
    <t>HSRUO013</t>
  </si>
  <si>
    <t>HSRUO022</t>
  </si>
  <si>
    <t>HSRUO024</t>
  </si>
  <si>
    <t>GSCBO009</t>
  </si>
  <si>
    <t>PHẦN SET MENU GORO</t>
  </si>
  <si>
    <t>GSHQU016</t>
  </si>
  <si>
    <t>Rượu Kumquat Sour</t>
  </si>
  <si>
    <t>Rượu Mơ Sapa 370ML</t>
  </si>
  <si>
    <t>GSHQU015</t>
  </si>
  <si>
    <t>Trà Gạo Rang</t>
  </si>
  <si>
    <t>GSHQU017</t>
  </si>
  <si>
    <t>Rượu Highball Táo</t>
  </si>
  <si>
    <t>HSRUO023</t>
  </si>
  <si>
    <t>HSRUO020</t>
  </si>
  <si>
    <t>PHẦN SET MENU GISHIKI (TINH HOA)</t>
  </si>
  <si>
    <t>Rượu Umeshu Yuzu 500ML</t>
  </si>
  <si>
    <t>Rượu Sake Chotokusen Osakaya Chobei Daiginjo 15% 500ML</t>
  </si>
  <si>
    <t>Rượu Mùa Craft Sake Vị Chanh Dây &amp; Tiêu Thất 300ML</t>
  </si>
  <si>
    <t xml:space="preserve">Xiên Mề Gà Xốt Tare </t>
  </si>
  <si>
    <t>Sườn Bò Wagyu Nhật A4</t>
  </si>
  <si>
    <t>Sườn Bò Wagyu Nhật Thượng Hạng Otoro A5</t>
  </si>
  <si>
    <t>Lưỡi Bò Xốt Hành Baro</t>
  </si>
  <si>
    <t>Lõi Vai Xốt Trái Cây</t>
  </si>
  <si>
    <t>Tôm Nướng Xốt Bơ Tỏi</t>
  </si>
  <si>
    <t>Nước Táo Lên Men Strongbow Vị Thơm Và Lựu</t>
  </si>
  <si>
    <t>Rượu Sake Ozeki Honjozo Karatamba 300ML</t>
  </si>
  <si>
    <t>Rượu Sake Ozeki Namachozo 300ML</t>
  </si>
  <si>
    <t>Rượu Mơ Hoa Thông 500ML</t>
  </si>
  <si>
    <t>Rượu Sake Ozeki One Cup 14% 180ML</t>
  </si>
  <si>
    <t>Khăn Ướt</t>
  </si>
  <si>
    <t>GSKVI018</t>
  </si>
  <si>
    <t>Đậu Nành Nhật (Tặng)</t>
  </si>
  <si>
    <t>GSHQU018</t>
  </si>
  <si>
    <t>Rượu Sake Ozeki Traditional (Size S)</t>
  </si>
  <si>
    <t>Bình</t>
  </si>
  <si>
    <t>GSHQU019</t>
  </si>
  <si>
    <t>Rượu Sake Ozeki One Cup 14% 180ML (Size S)</t>
  </si>
  <si>
    <t>GSTMI001</t>
  </si>
  <si>
    <t>Bánh Mochi trà xanh</t>
  </si>
  <si>
    <t>GSTBO006</t>
  </si>
  <si>
    <t>GSAKN002</t>
  </si>
  <si>
    <t>Dẻ Sườn Bò Đặc Biệt Xốt Galbi</t>
  </si>
  <si>
    <t>Canh Há Cảo Tôm Thịt</t>
  </si>
  <si>
    <t>Unit</t>
  </si>
  <si>
    <t>Name</t>
  </si>
  <si>
    <t>Number</t>
  </si>
  <si>
    <t>GroupId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</si>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</sst>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_-* #,##0\ _₫_-;\-* #,##0\ _₫_-;_-* &quot;-&quot;??\ _₫_-;_-@_-"/>
    <numFmt numFmtId="168" formatCode="0.0%"/>
    <numFmt numFmtId="169" formatCode="_-* #,##0_-;\-* #,##0_-;_-* &quot;-&quot;??_-;_-@_-"/>
    <numFmt numFmtId="170" formatCode="[$-1010000]d/m/yyyy;@"/>
    <numFmt numFmtId="171" formatCode="_-* #,##0.0_-;\-* #,##0.0_-;_-* &quot;-&quot;??_-;_-@"/>
    <numFmt numFmtId="172" formatCode="_-* #,##0.00\ _₫_-;\-* #,##0.00\ _₫_-;_-* &quot;-&quot;??\ _₫_-;_-@"/>
    <numFmt numFmtId="173" formatCode="_-* #,##0_-;\-* #,##0_-;_-* &quot;-&quot;??_-;_-@"/>
    <numFmt numFmtId="174" formatCode="_-* #,##0\ _₫_-;\-* #,##0\ _₫_-;_-* &quot;-&quot;??\ _₫_-;_-@"/>
    <numFmt numFmtId="175" formatCode="_(* #,##0.0_);_(* \(#,##0.0\);_(* &quot;-&quot;??_);_(@_)"/>
    <numFmt numFmtId="176" formatCode="_-* #,##0.0\ _₫_-;\-* #,##0.0\ _₫_-;_-* &quot;-&quot;??\ _₫_-;_-@"/>
  </numFmts>
  <fonts count="6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color rgb="FFC00000"/>
      <name val="Tahoma"/>
      <family val="2"/>
    </font>
    <font>
      <sz val="12"/>
      <color theme="1"/>
      <name val="Tahoma"/>
      <family val="2"/>
    </font>
    <font>
      <b/>
      <sz val="12.5"/>
      <name val="Tahoma"/>
      <family val="2"/>
    </font>
    <font>
      <sz val="12"/>
      <name val="Tahoma"/>
      <family val="2"/>
    </font>
    <font>
      <b/>
      <sz val="12"/>
      <color theme="1"/>
      <name val="Tahoma"/>
      <family val="2"/>
    </font>
    <font>
      <sz val="12"/>
      <color rgb="FFC00000"/>
      <name val="Tahoma"/>
      <family val="2"/>
    </font>
    <font>
      <sz val="20"/>
      <color theme="1"/>
      <name val="Tahoma"/>
      <family val="2"/>
    </font>
    <font>
      <b/>
      <sz val="20"/>
      <color rgb="FFC00000"/>
      <name val="Tahoma"/>
      <family val="2"/>
    </font>
    <font>
      <sz val="20"/>
      <name val="Tahoma"/>
      <family val="2"/>
    </font>
    <font>
      <b/>
      <sz val="20"/>
      <color theme="1"/>
      <name val="Tahoma"/>
      <family val="2"/>
    </font>
    <font>
      <b/>
      <u val="singleAccounting"/>
      <sz val="12.5"/>
      <name val="Tahoma"/>
      <family val="2"/>
    </font>
    <font>
      <b/>
      <sz val="10"/>
      <color rgb="FFC00000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b/>
      <sz val="11"/>
      <color rgb="FFC00000"/>
      <name val="Tahoma"/>
      <family val="2"/>
    </font>
    <font>
      <sz val="1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name val="Arial"/>
      <family val="2"/>
    </font>
    <font>
      <b/>
      <sz val="17.5"/>
      <color rgb="FFC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  <charset val="163"/>
    </font>
    <font>
      <b/>
      <u/>
      <sz val="10"/>
      <name val="Tahoma"/>
      <family val="2"/>
    </font>
    <font>
      <b/>
      <sz val="12"/>
      <name val="Calibri"/>
      <family val="2"/>
    </font>
    <font>
      <b/>
      <sz val="12"/>
      <name val="Tahoma"/>
      <family val="2"/>
    </font>
    <font>
      <b/>
      <sz val="1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5"/>
      <name val="Times New Roman"/>
      <family val="1"/>
    </font>
    <font>
      <sz val="10"/>
      <color theme="5"/>
      <name val="Tahoma"/>
      <family val="2"/>
    </font>
    <font>
      <sz val="10"/>
      <name val="Microsoft Sans Serif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1"/>
      <name val="Calibri"/>
      <family val="2"/>
      <scheme val="minor"/>
    </font>
    <font>
      <sz val="10"/>
      <color rgb="FFFF0000"/>
      <name val="Tahoma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u/>
      <sz val="10"/>
      <name val="Times New Roman"/>
      <family val="1"/>
      <charset val="163"/>
    </font>
    <font>
      <sz val="10"/>
      <name val="Tahoma"/>
      <family val="2"/>
      <charset val="163"/>
    </font>
    <font>
      <i/>
      <sz val="10"/>
      <name val="Times New Roman"/>
      <family val="1"/>
      <charset val="163"/>
    </font>
    <font>
      <b/>
      <u val="singleAccounting"/>
      <sz val="10.5"/>
      <color theme="1"/>
      <name val="Times New Roman"/>
      <family val="1"/>
    </font>
    <font>
      <b/>
      <sz val="12.5"/>
      <color rgb="FFC00000"/>
      <name val="Times New Roman"/>
      <family val="1"/>
    </font>
    <font>
      <b/>
      <sz val="10"/>
      <color theme="4" tint="-0.249977111117893"/>
      <name val="Times New Roman"/>
      <family val="1"/>
    </font>
    <font>
      <sz val="10"/>
      <color theme="4" tint="-0.249977111117893"/>
      <name val="Times New Roman"/>
      <family val="1"/>
    </font>
    <font>
      <b/>
      <sz val="10"/>
      <color theme="4" tint="-0.249977111117893"/>
      <name val="Tahoma"/>
      <family val="2"/>
    </font>
    <font>
      <sz val="10"/>
      <color theme="4" tint="-0.249977111117893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FFFCC"/>
        <bgColor rgb="FFFFFFCC"/>
      </patternFill>
    </fill>
    <fill>
      <patternFill patternType="solid">
        <fgColor rgb="FF757070"/>
        <bgColor rgb="FF75707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AEABAB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AEABAB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rgb="FFAEABAB"/>
      </patternFill>
    </fill>
    <fill>
      <patternFill patternType="solid">
        <fgColor rgb="FFFFFF00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29">
    <xf numFmtId="0" fontId="0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42" fillId="0" borderId="0"/>
    <xf numFmtId="0" fontId="6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8" fillId="0" borderId="0"/>
    <xf numFmtId="9" fontId="46" fillId="0" borderId="0" applyFont="0" applyFill="0" applyBorder="0" applyAlignment="0" applyProtection="0"/>
    <xf numFmtId="0" fontId="46" fillId="0" borderId="0"/>
    <xf numFmtId="0" fontId="4" fillId="0" borderId="0"/>
    <xf numFmtId="43" fontId="28" fillId="0" borderId="0" applyFill="0" applyBorder="0" applyAlignment="0" applyProtection="0"/>
    <xf numFmtId="164" fontId="28" fillId="0" borderId="0" applyFont="0" applyFill="0" applyBorder="0" applyAlignment="0" applyProtection="0"/>
    <xf numFmtId="0" fontId="4" fillId="0" borderId="0"/>
    <xf numFmtId="0" fontId="28" fillId="0" borderId="0"/>
    <xf numFmtId="43" fontId="46" fillId="0" borderId="0" applyFont="0" applyFill="0" applyBorder="0" applyAlignment="0" applyProtection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8" fillId="0" borderId="0" applyFill="0" applyBorder="0" applyAlignment="0" applyProtection="0"/>
    <xf numFmtId="0" fontId="4" fillId="0" borderId="0"/>
    <xf numFmtId="43" fontId="4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28" fillId="0" borderId="0" applyFont="0" applyFill="0" applyBorder="0" applyAlignment="0" applyProtection="0"/>
    <xf numFmtId="0" fontId="4" fillId="0" borderId="0"/>
    <xf numFmtId="0" fontId="28" fillId="0" borderId="0"/>
    <xf numFmtId="0" fontId="4" fillId="0" borderId="0"/>
    <xf numFmtId="9" fontId="46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164" fontId="28" fillId="0" borderId="0" applyFont="0" applyFill="0" applyBorder="0" applyAlignment="0" applyProtection="0"/>
    <xf numFmtId="0" fontId="4" fillId="0" borderId="0"/>
    <xf numFmtId="0" fontId="28" fillId="0" borderId="0"/>
    <xf numFmtId="43" fontId="46" fillId="0" borderId="0" applyFont="0" applyFill="0" applyBorder="0" applyAlignment="0" applyProtection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43" fontId="28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5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10">
    <xf numFmtId="0" fontId="0" fillId="0" borderId="0" xfId="0"/>
    <xf numFmtId="166" fontId="8" fillId="0" borderId="0" xfId="1" applyNumberFormat="1" applyFont="1" applyAlignment="1">
      <alignment vertical="center"/>
    </xf>
    <xf numFmtId="166" fontId="8" fillId="0" borderId="0" xfId="1" applyNumberFormat="1" applyFont="1" applyAlignment="1">
      <alignment horizontal="center" vertical="center"/>
    </xf>
    <xf numFmtId="165" fontId="10" fillId="0" borderId="0" xfId="1" applyFont="1" applyAlignment="1">
      <alignment horizontal="center" vertical="center"/>
    </xf>
    <xf numFmtId="168" fontId="8" fillId="0" borderId="0" xfId="2" applyNumberFormat="1" applyFont="1" applyAlignment="1">
      <alignment vertical="center"/>
    </xf>
    <xf numFmtId="169" fontId="11" fillId="0" borderId="0" xfId="1" applyNumberFormat="1" applyFont="1" applyAlignment="1">
      <alignment horizontal="left" vertical="center"/>
    </xf>
    <xf numFmtId="167" fontId="12" fillId="0" borderId="0" xfId="1" applyNumberFormat="1" applyFont="1" applyFill="1" applyBorder="1" applyAlignment="1">
      <alignment vertical="center"/>
    </xf>
    <xf numFmtId="169" fontId="13" fillId="0" borderId="0" xfId="1" applyNumberFormat="1" applyFont="1" applyAlignment="1">
      <alignment horizontal="left" vertical="center"/>
    </xf>
    <xf numFmtId="169" fontId="11" fillId="0" borderId="0" xfId="1" applyNumberFormat="1" applyFont="1" applyAlignment="1">
      <alignment horizontal="center" vertical="center"/>
    </xf>
    <xf numFmtId="165" fontId="15" fillId="0" borderId="0" xfId="1" applyFont="1" applyAlignment="1">
      <alignment horizontal="center" vertical="center"/>
    </xf>
    <xf numFmtId="168" fontId="11" fillId="0" borderId="0" xfId="2" applyNumberFormat="1" applyFont="1" applyAlignment="1">
      <alignment horizontal="left" vertical="center"/>
    </xf>
    <xf numFmtId="166" fontId="16" fillId="0" borderId="0" xfId="1" applyNumberFormat="1" applyFont="1" applyAlignment="1">
      <alignment vertical="center"/>
    </xf>
    <xf numFmtId="167" fontId="17" fillId="0" borderId="0" xfId="1" applyNumberFormat="1" applyFont="1" applyFill="1" applyBorder="1" applyAlignment="1">
      <alignment vertical="center"/>
    </xf>
    <xf numFmtId="166" fontId="18" fillId="0" borderId="0" xfId="1" applyNumberFormat="1" applyFont="1" applyAlignment="1">
      <alignment vertical="center"/>
    </xf>
    <xf numFmtId="166" fontId="16" fillId="0" borderId="0" xfId="1" applyNumberFormat="1" applyFont="1" applyAlignment="1">
      <alignment horizontal="center" vertical="center"/>
    </xf>
    <xf numFmtId="168" fontId="16" fillId="0" borderId="0" xfId="2" applyNumberFormat="1" applyFont="1" applyAlignment="1">
      <alignment vertical="center"/>
    </xf>
    <xf numFmtId="166" fontId="20" fillId="0" borderId="0" xfId="1" applyNumberFormat="1" applyFont="1" applyAlignment="1">
      <alignment vertical="center"/>
    </xf>
    <xf numFmtId="168" fontId="21" fillId="0" borderId="0" xfId="2" applyNumberFormat="1" applyFont="1" applyFill="1" applyAlignment="1">
      <alignment horizontal="left" vertical="center"/>
    </xf>
    <xf numFmtId="166" fontId="9" fillId="0" borderId="0" xfId="1" applyNumberFormat="1" applyFont="1" applyAlignment="1">
      <alignment vertical="center"/>
    </xf>
    <xf numFmtId="166" fontId="22" fillId="0" borderId="0" xfId="1" applyNumberFormat="1" applyFont="1" applyAlignment="1">
      <alignment vertical="center"/>
    </xf>
    <xf numFmtId="166" fontId="9" fillId="0" borderId="0" xfId="1" applyNumberFormat="1" applyFont="1" applyAlignment="1">
      <alignment horizontal="center" vertical="center"/>
    </xf>
    <xf numFmtId="168" fontId="22" fillId="0" borderId="0" xfId="2" applyNumberFormat="1" applyFont="1" applyAlignment="1">
      <alignment horizontal="center" vertical="center"/>
    </xf>
    <xf numFmtId="166" fontId="22" fillId="0" borderId="0" xfId="1" applyNumberFormat="1" applyFont="1" applyAlignment="1">
      <alignment vertical="center" wrapText="1"/>
    </xf>
    <xf numFmtId="14" fontId="22" fillId="0" borderId="0" xfId="1" applyNumberFormat="1" applyFont="1" applyAlignment="1">
      <alignment horizontal="center" vertical="center" wrapText="1"/>
    </xf>
    <xf numFmtId="168" fontId="22" fillId="0" borderId="0" xfId="2" applyNumberFormat="1" applyFont="1" applyAlignment="1">
      <alignment horizontal="center" vertical="center" wrapText="1"/>
    </xf>
    <xf numFmtId="14" fontId="22" fillId="0" borderId="0" xfId="1" applyNumberFormat="1" applyFont="1" applyAlignment="1">
      <alignment vertical="center" wrapText="1"/>
    </xf>
    <xf numFmtId="166" fontId="22" fillId="0" borderId="2" xfId="1" applyNumberFormat="1" applyFont="1" applyBorder="1" applyAlignment="1">
      <alignment horizontal="center" vertical="center"/>
    </xf>
    <xf numFmtId="166" fontId="25" fillId="0" borderId="2" xfId="1" applyNumberFormat="1" applyFont="1" applyBorder="1" applyAlignment="1">
      <alignment horizontal="center" vertical="center"/>
    </xf>
    <xf numFmtId="165" fontId="24" fillId="0" borderId="0" xfId="1" applyFont="1" applyAlignment="1">
      <alignment horizontal="center" vertical="center"/>
    </xf>
    <xf numFmtId="168" fontId="22" fillId="0" borderId="0" xfId="2" applyNumberFormat="1" applyFont="1" applyAlignment="1">
      <alignment vertical="center"/>
    </xf>
    <xf numFmtId="166" fontId="21" fillId="0" borderId="0" xfId="1" applyNumberFormat="1" applyFont="1" applyAlignment="1">
      <alignment vertical="center"/>
    </xf>
    <xf numFmtId="168" fontId="21" fillId="0" borderId="0" xfId="2" applyNumberFormat="1" applyFont="1" applyAlignment="1">
      <alignment vertical="center"/>
    </xf>
    <xf numFmtId="168" fontId="21" fillId="0" borderId="0" xfId="2" applyNumberFormat="1" applyFont="1" applyAlignment="1">
      <alignment horizontal="center" vertical="center"/>
    </xf>
    <xf numFmtId="168" fontId="9" fillId="0" borderId="0" xfId="2" applyNumberFormat="1" applyFont="1" applyAlignment="1">
      <alignment vertical="center"/>
    </xf>
    <xf numFmtId="166" fontId="8" fillId="0" borderId="7" xfId="1" applyNumberFormat="1" applyFont="1" applyBorder="1" applyAlignment="1">
      <alignment vertical="center"/>
    </xf>
    <xf numFmtId="165" fontId="10" fillId="0" borderId="7" xfId="1" applyFont="1" applyBorder="1" applyAlignment="1">
      <alignment horizontal="center" vertical="center"/>
    </xf>
    <xf numFmtId="166" fontId="8" fillId="0" borderId="8" xfId="1" applyNumberFormat="1" applyFont="1" applyBorder="1" applyAlignment="1">
      <alignment vertical="center"/>
    </xf>
    <xf numFmtId="165" fontId="10" fillId="0" borderId="8" xfId="1" applyFont="1" applyBorder="1" applyAlignment="1">
      <alignment horizontal="center" vertical="center"/>
    </xf>
    <xf numFmtId="166" fontId="9" fillId="2" borderId="7" xfId="1" applyNumberFormat="1" applyFont="1" applyFill="1" applyBorder="1" applyAlignment="1">
      <alignment vertical="center"/>
    </xf>
    <xf numFmtId="166" fontId="26" fillId="3" borderId="6" xfId="1" applyNumberFormat="1" applyFont="1" applyFill="1" applyBorder="1" applyAlignment="1">
      <alignment vertical="center"/>
    </xf>
    <xf numFmtId="166" fontId="27" fillId="3" borderId="6" xfId="1" applyNumberFormat="1" applyFont="1" applyFill="1" applyBorder="1" applyAlignment="1">
      <alignment vertical="center"/>
    </xf>
    <xf numFmtId="166" fontId="26" fillId="3" borderId="6" xfId="1" applyNumberFormat="1" applyFont="1" applyFill="1" applyBorder="1" applyAlignment="1">
      <alignment horizontal="center" vertical="center"/>
    </xf>
    <xf numFmtId="165" fontId="21" fillId="0" borderId="6" xfId="1" applyFont="1" applyBorder="1" applyAlignment="1">
      <alignment horizontal="center" vertical="center"/>
    </xf>
    <xf numFmtId="166" fontId="21" fillId="0" borderId="7" xfId="1" applyNumberFormat="1" applyFont="1" applyBorder="1" applyAlignment="1">
      <alignment vertical="center"/>
    </xf>
    <xf numFmtId="166" fontId="21" fillId="0" borderId="7" xfId="1" applyNumberFormat="1" applyFont="1" applyBorder="1" applyAlignment="1">
      <alignment horizontal="center" vertical="center"/>
    </xf>
    <xf numFmtId="165" fontId="21" fillId="0" borderId="7" xfId="1" applyFont="1" applyBorder="1" applyAlignment="1">
      <alignment horizontal="center" vertical="center"/>
    </xf>
    <xf numFmtId="166" fontId="26" fillId="5" borderId="7" xfId="1" applyNumberFormat="1" applyFont="1" applyFill="1" applyBorder="1" applyAlignment="1">
      <alignment vertical="center"/>
    </xf>
    <xf numFmtId="166" fontId="8" fillId="5" borderId="7" xfId="1" applyNumberFormat="1" applyFont="1" applyFill="1" applyBorder="1" applyAlignment="1">
      <alignment vertical="center"/>
    </xf>
    <xf numFmtId="166" fontId="8" fillId="5" borderId="7" xfId="1" applyNumberFormat="1" applyFont="1" applyFill="1" applyBorder="1" applyAlignment="1">
      <alignment horizontal="center" vertical="center"/>
    </xf>
    <xf numFmtId="165" fontId="21" fillId="6" borderId="7" xfId="1" applyFont="1" applyFill="1" applyBorder="1" applyAlignment="1">
      <alignment horizontal="center" vertical="center"/>
    </xf>
    <xf numFmtId="166" fontId="8" fillId="2" borderId="7" xfId="1" applyNumberFormat="1" applyFont="1" applyFill="1" applyBorder="1" applyAlignment="1">
      <alignment vertical="center"/>
    </xf>
    <xf numFmtId="166" fontId="8" fillId="2" borderId="7" xfId="1" applyNumberFormat="1" applyFont="1" applyFill="1" applyBorder="1" applyAlignment="1">
      <alignment horizontal="center" vertical="center"/>
    </xf>
    <xf numFmtId="165" fontId="21" fillId="2" borderId="7" xfId="1" applyFont="1" applyFill="1" applyBorder="1" applyAlignment="1">
      <alignment horizontal="center" vertical="center"/>
    </xf>
    <xf numFmtId="166" fontId="8" fillId="0" borderId="7" xfId="1" applyNumberFormat="1" applyFont="1" applyFill="1" applyBorder="1" applyAlignment="1">
      <alignment horizontal="center" vertical="center"/>
    </xf>
    <xf numFmtId="9" fontId="8" fillId="0" borderId="7" xfId="1" applyNumberFormat="1" applyFont="1" applyBorder="1" applyAlignment="1">
      <alignment vertical="center"/>
    </xf>
    <xf numFmtId="166" fontId="8" fillId="0" borderId="7" xfId="1" applyNumberFormat="1" applyFont="1" applyBorder="1" applyAlignment="1">
      <alignment horizontal="center" vertical="center"/>
    </xf>
    <xf numFmtId="166" fontId="8" fillId="0" borderId="8" xfId="1" applyNumberFormat="1" applyFont="1" applyBorder="1" applyAlignment="1">
      <alignment horizontal="center" vertical="center"/>
    </xf>
    <xf numFmtId="166" fontId="22" fillId="0" borderId="0" xfId="1" applyNumberFormat="1" applyFont="1" applyAlignment="1">
      <alignment horizontal="center" vertical="center"/>
    </xf>
    <xf numFmtId="166" fontId="12" fillId="0" borderId="0" xfId="1" applyNumberFormat="1" applyFont="1" applyAlignment="1">
      <alignment vertical="center"/>
    </xf>
    <xf numFmtId="166" fontId="12" fillId="0" borderId="0" xfId="1" applyNumberFormat="1" applyFont="1" applyAlignment="1">
      <alignment horizontal="left" vertical="center"/>
    </xf>
    <xf numFmtId="170" fontId="29" fillId="4" borderId="3" xfId="1" applyNumberFormat="1" applyFont="1" applyFill="1" applyBorder="1" applyAlignment="1">
      <alignment horizontal="center" vertical="center"/>
    </xf>
    <xf numFmtId="166" fontId="29" fillId="4" borderId="3" xfId="1" applyNumberFormat="1" applyFont="1" applyFill="1" applyBorder="1" applyAlignment="1">
      <alignment vertical="center"/>
    </xf>
    <xf numFmtId="166" fontId="29" fillId="4" borderId="3" xfId="1" applyNumberFormat="1" applyFont="1" applyFill="1" applyBorder="1" applyAlignment="1">
      <alignment horizontal="center" vertical="center"/>
    </xf>
    <xf numFmtId="9" fontId="29" fillId="4" borderId="3" xfId="2" applyFont="1" applyFill="1" applyBorder="1" applyAlignment="1">
      <alignment horizontal="center" vertical="center"/>
    </xf>
    <xf numFmtId="166" fontId="9" fillId="0" borderId="6" xfId="1" applyNumberFormat="1" applyFont="1" applyBorder="1" applyAlignment="1">
      <alignment horizontal="center" vertical="center"/>
    </xf>
    <xf numFmtId="166" fontId="9" fillId="0" borderId="7" xfId="1" applyNumberFormat="1" applyFont="1" applyBorder="1" applyAlignment="1">
      <alignment horizontal="center" vertical="center"/>
    </xf>
    <xf numFmtId="9" fontId="21" fillId="4" borderId="3" xfId="2" applyFont="1" applyFill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6" fontId="19" fillId="0" borderId="0" xfId="1" applyNumberFormat="1" applyFont="1" applyAlignment="1">
      <alignment horizontal="center" vertical="center"/>
    </xf>
    <xf numFmtId="166" fontId="9" fillId="0" borderId="8" xfId="1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72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vertical="center"/>
    </xf>
    <xf numFmtId="0" fontId="30" fillId="0" borderId="0" xfId="0" applyFont="1"/>
    <xf numFmtId="173" fontId="8" fillId="0" borderId="0" xfId="0" applyNumberFormat="1" applyFont="1" applyAlignment="1">
      <alignment horizontal="left" vertical="center"/>
    </xf>
    <xf numFmtId="174" fontId="9" fillId="0" borderId="0" xfId="0" applyNumberFormat="1" applyFont="1" applyAlignment="1">
      <alignment vertical="center"/>
    </xf>
    <xf numFmtId="173" fontId="8" fillId="0" borderId="0" xfId="0" applyNumberFormat="1" applyFont="1" applyAlignment="1">
      <alignment horizontal="center" vertical="center"/>
    </xf>
    <xf numFmtId="173" fontId="9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171" fontId="8" fillId="0" borderId="0" xfId="0" applyNumberFormat="1" applyFont="1" applyAlignment="1">
      <alignment horizontal="left" vertical="center"/>
    </xf>
    <xf numFmtId="173" fontId="27" fillId="0" borderId="0" xfId="0" applyNumberFormat="1" applyFont="1" applyAlignment="1">
      <alignment horizontal="left" vertical="center"/>
    </xf>
    <xf numFmtId="173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left" vertical="center"/>
    </xf>
    <xf numFmtId="37" fontId="31" fillId="0" borderId="0" xfId="0" applyNumberFormat="1" applyFont="1" applyAlignment="1">
      <alignment horizontal="right"/>
    </xf>
    <xf numFmtId="166" fontId="32" fillId="0" borderId="0" xfId="0" applyNumberFormat="1" applyFont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165" fontId="8" fillId="0" borderId="0" xfId="1" applyFont="1" applyFill="1" applyAlignment="1">
      <alignment horizontal="center" vertical="center"/>
    </xf>
    <xf numFmtId="166" fontId="32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73" fontId="32" fillId="0" borderId="0" xfId="0" applyNumberFormat="1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66" fontId="33" fillId="8" borderId="11" xfId="0" applyNumberFormat="1" applyFont="1" applyFill="1" applyBorder="1" applyAlignment="1">
      <alignment horizontal="center" vertical="center"/>
    </xf>
    <xf numFmtId="168" fontId="34" fillId="0" borderId="1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 wrapText="1"/>
    </xf>
    <xf numFmtId="171" fontId="9" fillId="0" borderId="3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vertical="center" wrapText="1"/>
    </xf>
    <xf numFmtId="171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vertical="center" wrapText="1"/>
    </xf>
    <xf numFmtId="166" fontId="8" fillId="0" borderId="3" xfId="0" applyNumberFormat="1" applyFont="1" applyBorder="1" applyAlignment="1">
      <alignment horizontal="center" vertical="center"/>
    </xf>
    <xf numFmtId="171" fontId="8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vertical="center"/>
    </xf>
    <xf numFmtId="10" fontId="9" fillId="0" borderId="3" xfId="0" applyNumberFormat="1" applyFont="1" applyBorder="1" applyAlignment="1">
      <alignment horizontal="center" vertical="center"/>
    </xf>
    <xf numFmtId="172" fontId="9" fillId="0" borderId="3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166" fontId="9" fillId="9" borderId="3" xfId="0" applyNumberFormat="1" applyFont="1" applyFill="1" applyBorder="1" applyAlignment="1">
      <alignment vertical="center"/>
    </xf>
    <xf numFmtId="166" fontId="8" fillId="9" borderId="3" xfId="0" applyNumberFormat="1" applyFont="1" applyFill="1" applyBorder="1" applyAlignment="1">
      <alignment vertical="center"/>
    </xf>
    <xf numFmtId="166" fontId="9" fillId="9" borderId="3" xfId="0" applyNumberFormat="1" applyFont="1" applyFill="1" applyBorder="1" applyAlignment="1">
      <alignment horizontal="center" vertical="center"/>
    </xf>
    <xf numFmtId="172" fontId="9" fillId="9" borderId="3" xfId="0" applyNumberFormat="1" applyFont="1" applyFill="1" applyBorder="1" applyAlignment="1">
      <alignment horizontal="right" vertical="center"/>
    </xf>
    <xf numFmtId="173" fontId="9" fillId="10" borderId="3" xfId="0" applyNumberFormat="1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vertical="center"/>
    </xf>
    <xf numFmtId="172" fontId="9" fillId="0" borderId="3" xfId="0" applyNumberFormat="1" applyFont="1" applyBorder="1" applyAlignment="1">
      <alignment horizontal="right" vertical="center"/>
    </xf>
    <xf numFmtId="171" fontId="8" fillId="4" borderId="3" xfId="0" applyNumberFormat="1" applyFont="1" applyFill="1" applyBorder="1" applyAlignment="1">
      <alignment vertical="center"/>
    </xf>
    <xf numFmtId="166" fontId="9" fillId="11" borderId="3" xfId="0" applyNumberFormat="1" applyFont="1" applyFill="1" applyBorder="1" applyAlignment="1">
      <alignment vertical="center"/>
    </xf>
    <xf numFmtId="166" fontId="8" fillId="11" borderId="3" xfId="0" applyNumberFormat="1" applyFont="1" applyFill="1" applyBorder="1" applyAlignment="1">
      <alignment vertical="center"/>
    </xf>
    <xf numFmtId="166" fontId="8" fillId="11" borderId="3" xfId="0" applyNumberFormat="1" applyFont="1" applyFill="1" applyBorder="1" applyAlignment="1">
      <alignment horizontal="center" vertical="center"/>
    </xf>
    <xf numFmtId="166" fontId="9" fillId="11" borderId="3" xfId="0" applyNumberFormat="1" applyFont="1" applyFill="1" applyBorder="1" applyAlignment="1">
      <alignment horizontal="center" vertical="center"/>
    </xf>
    <xf numFmtId="166" fontId="9" fillId="10" borderId="3" xfId="0" applyNumberFormat="1" applyFont="1" applyFill="1" applyBorder="1" applyAlignment="1">
      <alignment vertical="center"/>
    </xf>
    <xf numFmtId="168" fontId="9" fillId="10" borderId="3" xfId="0" applyNumberFormat="1" applyFont="1" applyFill="1" applyBorder="1" applyAlignment="1">
      <alignment horizontal="center" vertical="center"/>
    </xf>
    <xf numFmtId="10" fontId="9" fillId="10" borderId="3" xfId="0" applyNumberFormat="1" applyFont="1" applyFill="1" applyBorder="1" applyAlignment="1">
      <alignment horizontal="center" vertical="center"/>
    </xf>
    <xf numFmtId="172" fontId="9" fillId="10" borderId="3" xfId="0" applyNumberFormat="1" applyFont="1" applyFill="1" applyBorder="1" applyAlignment="1">
      <alignment horizontal="center" vertical="center"/>
    </xf>
    <xf numFmtId="166" fontId="9" fillId="12" borderId="0" xfId="0" applyNumberFormat="1" applyFont="1" applyFill="1" applyAlignment="1">
      <alignment vertical="center"/>
    </xf>
    <xf numFmtId="0" fontId="35" fillId="12" borderId="3" xfId="0" applyFont="1" applyFill="1" applyBorder="1"/>
    <xf numFmtId="166" fontId="9" fillId="13" borderId="3" xfId="0" applyNumberFormat="1" applyFont="1" applyFill="1" applyBorder="1" applyAlignment="1">
      <alignment vertical="center"/>
    </xf>
    <xf numFmtId="166" fontId="9" fillId="13" borderId="3" xfId="0" applyNumberFormat="1" applyFont="1" applyFill="1" applyBorder="1" applyAlignment="1">
      <alignment horizontal="center" vertical="center"/>
    </xf>
    <xf numFmtId="171" fontId="9" fillId="4" borderId="3" xfId="0" applyNumberFormat="1" applyFont="1" applyFill="1" applyBorder="1" applyAlignment="1">
      <alignment horizontal="center" vertical="center"/>
    </xf>
    <xf numFmtId="166" fontId="9" fillId="12" borderId="3" xfId="0" applyNumberFormat="1" applyFont="1" applyFill="1" applyBorder="1" applyAlignment="1">
      <alignment vertical="center"/>
    </xf>
    <xf numFmtId="168" fontId="9" fillId="13" borderId="3" xfId="0" applyNumberFormat="1" applyFont="1" applyFill="1" applyBorder="1" applyAlignment="1">
      <alignment horizontal="center" vertical="center"/>
    </xf>
    <xf numFmtId="10" fontId="9" fillId="13" borderId="3" xfId="0" applyNumberFormat="1" applyFont="1" applyFill="1" applyBorder="1" applyAlignment="1">
      <alignment horizontal="center" vertical="center"/>
    </xf>
    <xf numFmtId="172" fontId="9" fillId="13" borderId="3" xfId="0" applyNumberFormat="1" applyFont="1" applyFill="1" applyBorder="1" applyAlignment="1">
      <alignment horizontal="center" vertical="center"/>
    </xf>
    <xf numFmtId="168" fontId="9" fillId="12" borderId="0" xfId="0" applyNumberFormat="1" applyFont="1" applyFill="1" applyAlignment="1">
      <alignment vertical="center"/>
    </xf>
    <xf numFmtId="0" fontId="35" fillId="12" borderId="0" xfId="0" applyFont="1" applyFill="1"/>
    <xf numFmtId="0" fontId="36" fillId="14" borderId="14" xfId="0" applyFont="1" applyFill="1" applyBorder="1"/>
    <xf numFmtId="0" fontId="36" fillId="14" borderId="14" xfId="0" applyFont="1" applyFill="1" applyBorder="1" applyAlignment="1">
      <alignment horizontal="left" vertical="top" wrapText="1"/>
    </xf>
    <xf numFmtId="171" fontId="8" fillId="15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72" fontId="8" fillId="0" borderId="3" xfId="0" applyNumberFormat="1" applyFont="1" applyBorder="1" applyAlignment="1">
      <alignment horizontal="center" vertical="center"/>
    </xf>
    <xf numFmtId="9" fontId="8" fillId="0" borderId="0" xfId="2" applyFont="1" applyAlignment="1">
      <alignment vertical="center"/>
    </xf>
    <xf numFmtId="0" fontId="36" fillId="14" borderId="0" xfId="0" applyFont="1" applyFill="1"/>
    <xf numFmtId="0" fontId="36" fillId="14" borderId="0" xfId="0" applyFont="1" applyFill="1" applyAlignment="1">
      <alignment horizontal="left" vertical="top" wrapText="1"/>
    </xf>
    <xf numFmtId="166" fontId="9" fillId="12" borderId="3" xfId="0" applyNumberFormat="1" applyFont="1" applyFill="1" applyBorder="1" applyAlignment="1">
      <alignment horizontal="center" vertical="center"/>
    </xf>
    <xf numFmtId="168" fontId="9" fillId="12" borderId="3" xfId="0" applyNumberFormat="1" applyFont="1" applyFill="1" applyBorder="1" applyAlignment="1">
      <alignment horizontal="center" vertical="center"/>
    </xf>
    <xf numFmtId="10" fontId="9" fillId="12" borderId="3" xfId="0" applyNumberFormat="1" applyFont="1" applyFill="1" applyBorder="1" applyAlignment="1">
      <alignment horizontal="center" vertical="center"/>
    </xf>
    <xf numFmtId="172" fontId="9" fillId="12" borderId="3" xfId="0" applyNumberFormat="1" applyFont="1" applyFill="1" applyBorder="1" applyAlignment="1">
      <alignment horizontal="center" vertical="center"/>
    </xf>
    <xf numFmtId="166" fontId="8" fillId="16" borderId="3" xfId="0" applyNumberFormat="1" applyFont="1" applyFill="1" applyBorder="1" applyAlignment="1">
      <alignment vertical="center"/>
    </xf>
    <xf numFmtId="166" fontId="8" fillId="16" borderId="3" xfId="0" applyNumberFormat="1" applyFont="1" applyFill="1" applyBorder="1" applyAlignment="1">
      <alignment horizontal="center" vertical="center"/>
    </xf>
    <xf numFmtId="168" fontId="8" fillId="16" borderId="3" xfId="0" applyNumberFormat="1" applyFont="1" applyFill="1" applyBorder="1" applyAlignment="1">
      <alignment horizontal="center" vertical="center"/>
    </xf>
    <xf numFmtId="10" fontId="8" fillId="16" borderId="3" xfId="0" applyNumberFormat="1" applyFont="1" applyFill="1" applyBorder="1" applyAlignment="1">
      <alignment horizontal="center" vertical="center"/>
    </xf>
    <xf numFmtId="172" fontId="8" fillId="16" borderId="3" xfId="0" applyNumberFormat="1" applyFont="1" applyFill="1" applyBorder="1" applyAlignment="1">
      <alignment horizontal="center" vertical="center"/>
    </xf>
    <xf numFmtId="166" fontId="36" fillId="14" borderId="14" xfId="0" applyNumberFormat="1" applyFont="1" applyFill="1" applyBorder="1"/>
    <xf numFmtId="9" fontId="8" fillId="16" borderId="3" xfId="0" applyNumberFormat="1" applyFont="1" applyFill="1" applyBorder="1" applyAlignment="1">
      <alignment vertical="center"/>
    </xf>
    <xf numFmtId="0" fontId="36" fillId="17" borderId="14" xfId="0" applyFont="1" applyFill="1" applyBorder="1" applyAlignment="1">
      <alignment horizontal="left" vertical="top" wrapText="1"/>
    </xf>
    <xf numFmtId="0" fontId="36" fillId="14" borderId="14" xfId="0" applyFont="1" applyFill="1" applyBorder="1" applyAlignment="1">
      <alignment wrapText="1"/>
    </xf>
    <xf numFmtId="0" fontId="36" fillId="14" borderId="14" xfId="0" applyFont="1" applyFill="1" applyBorder="1" applyAlignment="1">
      <alignment vertical="top" wrapText="1"/>
    </xf>
    <xf numFmtId="0" fontId="36" fillId="14" borderId="0" xfId="0" applyFont="1" applyFill="1" applyAlignment="1">
      <alignment wrapText="1"/>
    </xf>
    <xf numFmtId="0" fontId="37" fillId="14" borderId="3" xfId="0" applyFont="1" applyFill="1" applyBorder="1"/>
    <xf numFmtId="0" fontId="36" fillId="14" borderId="3" xfId="0" applyFont="1" applyFill="1" applyBorder="1" applyAlignment="1">
      <alignment horizontal="left" wrapText="1"/>
    </xf>
    <xf numFmtId="0" fontId="38" fillId="14" borderId="3" xfId="0" applyFont="1" applyFill="1" applyBorder="1" applyAlignment="1">
      <alignment horizontal="left" wrapText="1"/>
    </xf>
    <xf numFmtId="0" fontId="36" fillId="14" borderId="3" xfId="0" applyFont="1" applyFill="1" applyBorder="1"/>
    <xf numFmtId="0" fontId="39" fillId="14" borderId="3" xfId="0" applyFont="1" applyFill="1" applyBorder="1"/>
    <xf numFmtId="0" fontId="39" fillId="14" borderId="3" xfId="0" applyFont="1" applyFill="1" applyBorder="1" applyAlignment="1">
      <alignment horizontal="left" wrapText="1"/>
    </xf>
    <xf numFmtId="166" fontId="40" fillId="16" borderId="3" xfId="0" applyNumberFormat="1" applyFont="1" applyFill="1" applyBorder="1" applyAlignment="1">
      <alignment vertical="center"/>
    </xf>
    <xf numFmtId="166" fontId="40" fillId="0" borderId="3" xfId="0" applyNumberFormat="1" applyFont="1" applyBorder="1" applyAlignment="1">
      <alignment horizontal="center" vertical="center"/>
    </xf>
    <xf numFmtId="0" fontId="36" fillId="16" borderId="3" xfId="0" applyFont="1" applyFill="1" applyBorder="1"/>
    <xf numFmtId="0" fontId="41" fillId="0" borderId="3" xfId="3" applyFont="1" applyBorder="1" applyAlignment="1">
      <alignment horizontal="left"/>
    </xf>
    <xf numFmtId="0" fontId="30" fillId="0" borderId="3" xfId="0" applyFont="1" applyBorder="1"/>
    <xf numFmtId="0" fontId="36" fillId="14" borderId="3" xfId="0" applyFont="1" applyFill="1" applyBorder="1" applyAlignment="1">
      <alignment wrapText="1"/>
    </xf>
    <xf numFmtId="0" fontId="36" fillId="14" borderId="3" xfId="0" applyFont="1" applyFill="1" applyBorder="1" applyAlignment="1">
      <alignment vertical="top" wrapText="1"/>
    </xf>
    <xf numFmtId="166" fontId="8" fillId="18" borderId="3" xfId="0" applyNumberFormat="1" applyFont="1" applyFill="1" applyBorder="1" applyAlignment="1">
      <alignment vertical="center"/>
    </xf>
    <xf numFmtId="0" fontId="37" fillId="14" borderId="3" xfId="0" applyFont="1" applyFill="1" applyBorder="1" applyAlignment="1">
      <alignment wrapText="1"/>
    </xf>
    <xf numFmtId="166" fontId="9" fillId="18" borderId="3" xfId="0" applyNumberFormat="1" applyFont="1" applyFill="1" applyBorder="1" applyAlignment="1">
      <alignment vertical="center"/>
    </xf>
    <xf numFmtId="0" fontId="35" fillId="0" borderId="0" xfId="0" applyFont="1"/>
    <xf numFmtId="49" fontId="36" fillId="14" borderId="3" xfId="0" applyNumberFormat="1" applyFont="1" applyFill="1" applyBorder="1"/>
    <xf numFmtId="0" fontId="36" fillId="16" borderId="3" xfId="4" applyFont="1" applyFill="1" applyBorder="1" applyAlignment="1">
      <alignment horizontal="left"/>
    </xf>
    <xf numFmtId="0" fontId="41" fillId="16" borderId="3" xfId="3" applyFont="1" applyFill="1" applyBorder="1" applyAlignment="1">
      <alignment horizontal="left"/>
    </xf>
    <xf numFmtId="0" fontId="43" fillId="0" borderId="0" xfId="5" applyFont="1"/>
    <xf numFmtId="0" fontId="28" fillId="0" borderId="15" xfId="0" applyFont="1" applyBorder="1" applyAlignment="1">
      <alignment horizontal="left" vertical="top" wrapText="1"/>
    </xf>
    <xf numFmtId="0" fontId="36" fillId="14" borderId="16" xfId="0" applyFont="1" applyFill="1" applyBorder="1"/>
    <xf numFmtId="0" fontId="36" fillId="14" borderId="16" xfId="0" applyFont="1" applyFill="1" applyBorder="1" applyAlignment="1">
      <alignment horizontal="left" vertical="top" wrapText="1"/>
    </xf>
    <xf numFmtId="166" fontId="40" fillId="18" borderId="3" xfId="0" applyNumberFormat="1" applyFont="1" applyFill="1" applyBorder="1" applyAlignment="1">
      <alignment vertical="center"/>
    </xf>
    <xf numFmtId="166" fontId="8" fillId="19" borderId="3" xfId="0" applyNumberFormat="1" applyFont="1" applyFill="1" applyBorder="1" applyAlignment="1">
      <alignment horizontal="center" vertical="center"/>
    </xf>
    <xf numFmtId="166" fontId="9" fillId="20" borderId="3" xfId="0" applyNumberFormat="1" applyFont="1" applyFill="1" applyBorder="1" applyAlignment="1">
      <alignment vertical="center"/>
    </xf>
    <xf numFmtId="166" fontId="9" fillId="20" borderId="3" xfId="0" applyNumberFormat="1" applyFont="1" applyFill="1" applyBorder="1" applyAlignment="1">
      <alignment horizontal="center" vertical="center"/>
    </xf>
    <xf numFmtId="173" fontId="9" fillId="21" borderId="3" xfId="0" applyNumberFormat="1" applyFont="1" applyFill="1" applyBorder="1" applyAlignment="1">
      <alignment horizontal="center" vertical="center"/>
    </xf>
    <xf numFmtId="166" fontId="9" fillId="21" borderId="3" xfId="0" applyNumberFormat="1" applyFont="1" applyFill="1" applyBorder="1" applyAlignment="1">
      <alignment vertical="center"/>
    </xf>
    <xf numFmtId="168" fontId="9" fillId="21" borderId="3" xfId="0" applyNumberFormat="1" applyFont="1" applyFill="1" applyBorder="1" applyAlignment="1">
      <alignment horizontal="center" vertical="center"/>
    </xf>
    <xf numFmtId="10" fontId="9" fillId="21" borderId="3" xfId="0" applyNumberFormat="1" applyFont="1" applyFill="1" applyBorder="1" applyAlignment="1">
      <alignment horizontal="center" vertical="center"/>
    </xf>
    <xf numFmtId="172" fontId="9" fillId="21" borderId="3" xfId="0" applyNumberFormat="1" applyFont="1" applyFill="1" applyBorder="1" applyAlignment="1">
      <alignment horizontal="center" vertical="center"/>
    </xf>
    <xf numFmtId="168" fontId="9" fillId="21" borderId="0" xfId="0" applyNumberFormat="1" applyFont="1" applyFill="1" applyAlignment="1">
      <alignment vertical="center"/>
    </xf>
    <xf numFmtId="9" fontId="8" fillId="21" borderId="0" xfId="2" applyFont="1" applyFill="1" applyAlignment="1">
      <alignment vertical="center"/>
    </xf>
    <xf numFmtId="0" fontId="37" fillId="14" borderId="14" xfId="0" applyFont="1" applyFill="1" applyBorder="1" applyAlignment="1">
      <alignment vertical="top" wrapText="1"/>
    </xf>
    <xf numFmtId="0" fontId="36" fillId="14" borderId="0" xfId="0" applyFont="1" applyFill="1" applyAlignment="1">
      <alignment vertical="top" wrapText="1"/>
    </xf>
    <xf numFmtId="166" fontId="9" fillId="22" borderId="3" xfId="0" applyNumberFormat="1" applyFont="1" applyFill="1" applyBorder="1" applyAlignment="1">
      <alignment vertical="center"/>
    </xf>
    <xf numFmtId="166" fontId="9" fillId="22" borderId="3" xfId="0" applyNumberFormat="1" applyFont="1" applyFill="1" applyBorder="1" applyAlignment="1">
      <alignment horizontal="center" vertical="center"/>
    </xf>
    <xf numFmtId="0" fontId="30" fillId="16" borderId="3" xfId="0" applyFont="1" applyFill="1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44" fillId="4" borderId="3" xfId="0" applyFont="1" applyFill="1" applyBorder="1"/>
    <xf numFmtId="0" fontId="36" fillId="14" borderId="7" xfId="0" applyFont="1" applyFill="1" applyBorder="1" applyAlignment="1">
      <alignment vertical="center"/>
    </xf>
    <xf numFmtId="0" fontId="36" fillId="14" borderId="7" xfId="0" applyFont="1" applyFill="1" applyBorder="1" applyAlignment="1">
      <alignment horizontal="left" vertical="center" wrapText="1"/>
    </xf>
    <xf numFmtId="0" fontId="49" fillId="12" borderId="7" xfId="0" applyFont="1" applyFill="1" applyBorder="1" applyAlignment="1">
      <alignment vertical="center"/>
    </xf>
    <xf numFmtId="166" fontId="49" fillId="13" borderId="7" xfId="0" applyNumberFormat="1" applyFont="1" applyFill="1" applyBorder="1" applyAlignment="1">
      <alignment vertical="center"/>
    </xf>
    <xf numFmtId="0" fontId="52" fillId="14" borderId="7" xfId="0" applyFont="1" applyFill="1" applyBorder="1" applyAlignment="1">
      <alignment horizontal="left" vertical="center" wrapText="1"/>
    </xf>
    <xf numFmtId="166" fontId="52" fillId="0" borderId="0" xfId="0" applyNumberFormat="1" applyFont="1" applyAlignment="1">
      <alignment vertical="center"/>
    </xf>
    <xf numFmtId="166" fontId="52" fillId="0" borderId="0" xfId="0" applyNumberFormat="1" applyFont="1" applyAlignment="1">
      <alignment horizontal="center" vertical="center"/>
    </xf>
    <xf numFmtId="166" fontId="53" fillId="0" borderId="0" xfId="56" applyNumberFormat="1" applyFont="1" applyAlignment="1">
      <alignment horizontal="center" vertical="center"/>
    </xf>
    <xf numFmtId="173" fontId="52" fillId="0" borderId="0" xfId="0" applyNumberFormat="1" applyFont="1" applyAlignment="1">
      <alignment horizontal="center" vertical="center"/>
    </xf>
    <xf numFmtId="168" fontId="52" fillId="0" borderId="0" xfId="0" applyNumberFormat="1" applyFont="1" applyAlignment="1">
      <alignment horizontal="center" vertical="center"/>
    </xf>
    <xf numFmtId="10" fontId="52" fillId="0" borderId="0" xfId="0" applyNumberFormat="1" applyFont="1" applyAlignment="1">
      <alignment horizontal="center" vertical="center"/>
    </xf>
    <xf numFmtId="172" fontId="52" fillId="0" borderId="0" xfId="0" applyNumberFormat="1" applyFont="1" applyAlignment="1">
      <alignment horizontal="center" vertical="center"/>
    </xf>
    <xf numFmtId="168" fontId="52" fillId="0" borderId="0" xfId="0" applyNumberFormat="1" applyFont="1" applyAlignment="1">
      <alignment vertical="center"/>
    </xf>
    <xf numFmtId="168" fontId="52" fillId="0" borderId="0" xfId="70" applyNumberFormat="1" applyFont="1" applyAlignment="1">
      <alignment vertical="center"/>
    </xf>
    <xf numFmtId="38" fontId="52" fillId="0" borderId="0" xfId="0" applyNumberFormat="1" applyFont="1" applyAlignment="1">
      <alignment vertical="center"/>
    </xf>
    <xf numFmtId="40" fontId="52" fillId="0" borderId="0" xfId="0" applyNumberFormat="1" applyFont="1" applyAlignment="1">
      <alignment vertical="center"/>
    </xf>
    <xf numFmtId="173" fontId="52" fillId="0" borderId="0" xfId="0" applyNumberFormat="1" applyFont="1" applyAlignment="1">
      <alignment horizontal="left" vertical="center"/>
    </xf>
    <xf numFmtId="174" fontId="53" fillId="0" borderId="0" xfId="0" applyNumberFormat="1" applyFont="1" applyAlignment="1">
      <alignment vertical="center"/>
    </xf>
    <xf numFmtId="166" fontId="53" fillId="0" borderId="0" xfId="56" applyNumberFormat="1" applyFont="1" applyAlignment="1">
      <alignment horizontal="left" vertical="center"/>
    </xf>
    <xf numFmtId="166" fontId="52" fillId="0" borderId="0" xfId="0" applyNumberFormat="1" applyFont="1" applyAlignment="1">
      <alignment horizontal="left" vertical="center"/>
    </xf>
    <xf numFmtId="168" fontId="52" fillId="0" borderId="0" xfId="0" applyNumberFormat="1" applyFont="1" applyAlignment="1">
      <alignment horizontal="left" vertical="center"/>
    </xf>
    <xf numFmtId="168" fontId="52" fillId="4" borderId="3" xfId="70" applyNumberFormat="1" applyFont="1" applyFill="1" applyBorder="1" applyAlignment="1" applyProtection="1">
      <alignment horizontal="center" vertical="center"/>
    </xf>
    <xf numFmtId="169" fontId="52" fillId="0" borderId="0" xfId="71" applyNumberFormat="1" applyFont="1" applyAlignment="1">
      <alignment horizontal="left" vertical="center"/>
    </xf>
    <xf numFmtId="38" fontId="52" fillId="0" borderId="0" xfId="0" applyNumberFormat="1" applyFont="1" applyAlignment="1">
      <alignment horizontal="left" vertical="center"/>
    </xf>
    <xf numFmtId="40" fontId="52" fillId="0" borderId="0" xfId="0" applyNumberFormat="1" applyFont="1" applyAlignment="1">
      <alignment horizontal="left" vertical="center"/>
    </xf>
    <xf numFmtId="166" fontId="52" fillId="0" borderId="17" xfId="0" applyNumberFormat="1" applyFont="1" applyBorder="1" applyAlignment="1">
      <alignment vertical="center" wrapText="1"/>
    </xf>
    <xf numFmtId="166" fontId="54" fillId="0" borderId="0" xfId="0" applyNumberFormat="1" applyFont="1" applyAlignment="1">
      <alignment horizontal="left" vertical="center"/>
    </xf>
    <xf numFmtId="166" fontId="52" fillId="0" borderId="0" xfId="56" applyNumberFormat="1" applyFont="1" applyFill="1" applyAlignment="1">
      <alignment vertical="center"/>
    </xf>
    <xf numFmtId="9" fontId="52" fillId="0" borderId="0" xfId="0" applyNumberFormat="1" applyFont="1" applyAlignment="1">
      <alignment horizontal="center" vertical="center"/>
    </xf>
    <xf numFmtId="43" fontId="52" fillId="0" borderId="0" xfId="56" applyFont="1" applyFill="1" applyAlignment="1">
      <alignment horizontal="center" vertical="center"/>
    </xf>
    <xf numFmtId="166" fontId="52" fillId="0" borderId="0" xfId="71" applyNumberFormat="1" applyFont="1" applyAlignment="1">
      <alignment vertical="center"/>
    </xf>
    <xf numFmtId="166" fontId="54" fillId="0" borderId="0" xfId="0" applyNumberFormat="1" applyFont="1" applyAlignment="1">
      <alignment vertical="center"/>
    </xf>
    <xf numFmtId="166" fontId="53" fillId="0" borderId="0" xfId="0" applyNumberFormat="1" applyFont="1" applyAlignment="1">
      <alignment horizontal="center" vertical="center"/>
    </xf>
    <xf numFmtId="10" fontId="54" fillId="0" borderId="0" xfId="0" applyNumberFormat="1" applyFont="1" applyAlignment="1">
      <alignment horizontal="center" vertical="center"/>
    </xf>
    <xf numFmtId="166" fontId="53" fillId="23" borderId="11" xfId="0" applyNumberFormat="1" applyFont="1" applyFill="1" applyBorder="1" applyAlignment="1">
      <alignment horizontal="center" vertical="center"/>
    </xf>
    <xf numFmtId="168" fontId="53" fillId="0" borderId="13" xfId="0" applyNumberFormat="1" applyFont="1" applyBorder="1" applyAlignment="1">
      <alignment horizontal="center" vertical="center"/>
    </xf>
    <xf numFmtId="166" fontId="53" fillId="25" borderId="3" xfId="0" applyNumberFormat="1" applyFont="1" applyFill="1" applyBorder="1" applyAlignment="1">
      <alignment vertical="center"/>
    </xf>
    <xf numFmtId="166" fontId="55" fillId="0" borderId="0" xfId="0" applyNumberFormat="1" applyFont="1" applyAlignment="1">
      <alignment vertical="center"/>
    </xf>
    <xf numFmtId="166" fontId="53" fillId="19" borderId="3" xfId="0" applyNumberFormat="1" applyFont="1" applyFill="1" applyBorder="1" applyAlignment="1">
      <alignment vertical="center"/>
    </xf>
    <xf numFmtId="166" fontId="53" fillId="0" borderId="0" xfId="0" applyNumberFormat="1" applyFont="1" applyAlignment="1">
      <alignment vertical="center"/>
    </xf>
    <xf numFmtId="173" fontId="52" fillId="0" borderId="0" xfId="0" applyNumberFormat="1" applyFont="1" applyAlignment="1">
      <alignment vertical="center"/>
    </xf>
    <xf numFmtId="166" fontId="53" fillId="0" borderId="3" xfId="56" applyNumberFormat="1" applyFont="1" applyBorder="1" applyAlignment="1">
      <alignment horizontal="center" vertical="center"/>
    </xf>
    <xf numFmtId="173" fontId="53" fillId="0" borderId="3" xfId="0" applyNumberFormat="1" applyFont="1" applyBorder="1" applyAlignment="1">
      <alignment horizontal="center" vertical="center"/>
    </xf>
    <xf numFmtId="168" fontId="53" fillId="0" borderId="0" xfId="0" applyNumberFormat="1" applyFont="1" applyAlignment="1">
      <alignment horizontal="center" vertical="center"/>
    </xf>
    <xf numFmtId="168" fontId="53" fillId="0" borderId="0" xfId="70" applyNumberFormat="1" applyFont="1" applyAlignment="1">
      <alignment horizontal="center" vertical="center"/>
    </xf>
    <xf numFmtId="166" fontId="53" fillId="26" borderId="6" xfId="0" applyNumberFormat="1" applyFont="1" applyFill="1" applyBorder="1" applyAlignment="1">
      <alignment horizontal="center" vertical="center"/>
    </xf>
    <xf numFmtId="173" fontId="54" fillId="26" borderId="6" xfId="0" applyNumberFormat="1" applyFont="1" applyFill="1" applyBorder="1" applyAlignment="1">
      <alignment horizontal="center" vertical="center"/>
    </xf>
    <xf numFmtId="38" fontId="53" fillId="26" borderId="5" xfId="0" applyNumberFormat="1" applyFont="1" applyFill="1" applyBorder="1" applyAlignment="1">
      <alignment vertical="center"/>
    </xf>
    <xf numFmtId="40" fontId="53" fillId="26" borderId="5" xfId="0" applyNumberFormat="1" applyFont="1" applyFill="1" applyBorder="1" applyAlignment="1">
      <alignment vertical="center"/>
    </xf>
    <xf numFmtId="166" fontId="53" fillId="0" borderId="0" xfId="0" applyNumberFormat="1" applyFont="1" applyAlignment="1">
      <alignment vertical="center" wrapText="1"/>
    </xf>
    <xf numFmtId="166" fontId="53" fillId="0" borderId="3" xfId="56" applyNumberFormat="1" applyFont="1" applyBorder="1" applyAlignment="1">
      <alignment horizontal="center" vertical="center" wrapText="1"/>
    </xf>
    <xf numFmtId="173" fontId="53" fillId="0" borderId="3" xfId="0" applyNumberFormat="1" applyFont="1" applyBorder="1" applyAlignment="1">
      <alignment horizontal="center" vertical="center" wrapText="1"/>
    </xf>
    <xf numFmtId="14" fontId="53" fillId="0" borderId="3" xfId="0" applyNumberFormat="1" applyFont="1" applyBorder="1" applyAlignment="1">
      <alignment horizontal="center" vertical="center" wrapText="1"/>
    </xf>
    <xf numFmtId="168" fontId="53" fillId="0" borderId="0" xfId="0" applyNumberFormat="1" applyFont="1" applyAlignment="1">
      <alignment horizontal="center" vertical="center" wrapText="1"/>
    </xf>
    <xf numFmtId="168" fontId="53" fillId="0" borderId="0" xfId="70" applyNumberFormat="1" applyFont="1" applyAlignment="1">
      <alignment horizontal="center" vertical="center" wrapText="1"/>
    </xf>
    <xf numFmtId="38" fontId="53" fillId="21" borderId="7" xfId="0" applyNumberFormat="1" applyFont="1" applyFill="1" applyBorder="1" applyAlignment="1">
      <alignment vertical="center"/>
    </xf>
    <xf numFmtId="14" fontId="53" fillId="0" borderId="0" xfId="0" applyNumberFormat="1" applyFont="1" applyAlignment="1">
      <alignment vertical="center" wrapText="1"/>
    </xf>
    <xf numFmtId="166" fontId="52" fillId="0" borderId="3" xfId="0" applyNumberFormat="1" applyFont="1" applyBorder="1" applyAlignment="1">
      <alignment horizontal="center" vertical="center"/>
    </xf>
    <xf numFmtId="173" fontId="52" fillId="0" borderId="3" xfId="0" applyNumberFormat="1" applyFont="1" applyBorder="1" applyAlignment="1">
      <alignment horizontal="center" vertical="center"/>
    </xf>
    <xf numFmtId="166" fontId="53" fillId="0" borderId="3" xfId="0" applyNumberFormat="1" applyFont="1" applyBorder="1" applyAlignment="1">
      <alignment vertical="center"/>
    </xf>
    <xf numFmtId="10" fontId="53" fillId="0" borderId="3" xfId="0" applyNumberFormat="1" applyFont="1" applyBorder="1" applyAlignment="1">
      <alignment horizontal="center" vertical="center"/>
    </xf>
    <xf numFmtId="172" fontId="53" fillId="0" borderId="3" xfId="0" applyNumberFormat="1" applyFont="1" applyBorder="1" applyAlignment="1">
      <alignment horizontal="center" vertical="center"/>
    </xf>
    <xf numFmtId="168" fontId="53" fillId="0" borderId="0" xfId="70" applyNumberFormat="1" applyFont="1" applyAlignment="1">
      <alignment vertical="center"/>
    </xf>
    <xf numFmtId="166" fontId="52" fillId="0" borderId="7" xfId="0" applyNumberFormat="1" applyFont="1" applyBorder="1" applyAlignment="1">
      <alignment vertical="center"/>
    </xf>
    <xf numFmtId="166" fontId="53" fillId="0" borderId="7" xfId="0" applyNumberFormat="1" applyFont="1" applyBorder="1" applyAlignment="1">
      <alignment vertical="center"/>
    </xf>
    <xf numFmtId="43" fontId="52" fillId="0" borderId="7" xfId="0" applyNumberFormat="1" applyFont="1" applyBorder="1" applyAlignment="1">
      <alignment vertical="center"/>
    </xf>
    <xf numFmtId="38" fontId="53" fillId="0" borderId="7" xfId="56" applyNumberFormat="1" applyFont="1" applyBorder="1" applyAlignment="1">
      <alignment vertical="center"/>
    </xf>
    <xf numFmtId="40" fontId="53" fillId="0" borderId="7" xfId="56" applyNumberFormat="1" applyFont="1" applyBorder="1" applyAlignment="1">
      <alignment vertical="center"/>
    </xf>
    <xf numFmtId="166" fontId="53" fillId="9" borderId="3" xfId="0" applyNumberFormat="1" applyFont="1" applyFill="1" applyBorder="1" applyAlignment="1">
      <alignment vertical="center"/>
    </xf>
    <xf numFmtId="166" fontId="52" fillId="9" borderId="3" xfId="0" applyNumberFormat="1" applyFont="1" applyFill="1" applyBorder="1" applyAlignment="1">
      <alignment vertical="center"/>
    </xf>
    <xf numFmtId="166" fontId="53" fillId="9" borderId="3" xfId="0" applyNumberFormat="1" applyFont="1" applyFill="1" applyBorder="1" applyAlignment="1">
      <alignment horizontal="center" vertical="center"/>
    </xf>
    <xf numFmtId="166" fontId="52" fillId="9" borderId="3" xfId="56" applyNumberFormat="1" applyFont="1" applyFill="1" applyBorder="1" applyAlignment="1">
      <alignment vertical="center"/>
    </xf>
    <xf numFmtId="172" fontId="53" fillId="9" borderId="3" xfId="0" applyNumberFormat="1" applyFont="1" applyFill="1" applyBorder="1" applyAlignment="1">
      <alignment horizontal="right" vertical="center"/>
    </xf>
    <xf numFmtId="173" fontId="53" fillId="10" borderId="3" xfId="0" applyNumberFormat="1" applyFont="1" applyFill="1" applyBorder="1" applyAlignment="1">
      <alignment horizontal="center" vertical="center"/>
    </xf>
    <xf numFmtId="167" fontId="53" fillId="4" borderId="3" xfId="71" applyNumberFormat="1" applyFont="1" applyFill="1" applyBorder="1" applyAlignment="1" applyProtection="1">
      <alignment horizontal="center" vertical="center"/>
      <protection locked="0" hidden="1"/>
    </xf>
    <xf numFmtId="175" fontId="52" fillId="0" borderId="0" xfId="56" applyNumberFormat="1" applyFont="1" applyAlignment="1">
      <alignment vertical="center"/>
    </xf>
    <xf numFmtId="168" fontId="53" fillId="0" borderId="0" xfId="0" applyNumberFormat="1" applyFont="1" applyAlignment="1">
      <alignment vertical="center"/>
    </xf>
    <xf numFmtId="166" fontId="52" fillId="0" borderId="3" xfId="0" applyNumberFormat="1" applyFont="1" applyBorder="1" applyAlignment="1">
      <alignment vertical="center"/>
    </xf>
    <xf numFmtId="166" fontId="52" fillId="0" borderId="3" xfId="56" applyNumberFormat="1" applyFont="1" applyBorder="1" applyAlignment="1">
      <alignment vertical="center"/>
    </xf>
    <xf numFmtId="172" fontId="53" fillId="0" borderId="3" xfId="0" applyNumberFormat="1" applyFont="1" applyBorder="1" applyAlignment="1">
      <alignment horizontal="right" vertical="center"/>
    </xf>
    <xf numFmtId="173" fontId="52" fillId="4" borderId="3" xfId="0" applyNumberFormat="1" applyFont="1" applyFill="1" applyBorder="1" applyAlignment="1">
      <alignment vertical="center"/>
    </xf>
    <xf numFmtId="167" fontId="53" fillId="0" borderId="0" xfId="71" applyNumberFormat="1" applyFont="1" applyAlignment="1">
      <alignment vertical="center"/>
    </xf>
    <xf numFmtId="166" fontId="53" fillId="0" borderId="7" xfId="56" applyNumberFormat="1" applyFont="1" applyFill="1" applyBorder="1" applyAlignment="1">
      <alignment vertical="center"/>
    </xf>
    <xf numFmtId="166" fontId="53" fillId="11" borderId="3" xfId="0" applyNumberFormat="1" applyFont="1" applyFill="1" applyBorder="1" applyAlignment="1">
      <alignment vertical="center"/>
    </xf>
    <xf numFmtId="166" fontId="52" fillId="11" borderId="3" xfId="0" applyNumberFormat="1" applyFont="1" applyFill="1" applyBorder="1" applyAlignment="1">
      <alignment vertical="center"/>
    </xf>
    <xf numFmtId="166" fontId="52" fillId="11" borderId="3" xfId="0" applyNumberFormat="1" applyFont="1" applyFill="1" applyBorder="1" applyAlignment="1">
      <alignment horizontal="center" vertical="center"/>
    </xf>
    <xf numFmtId="166" fontId="52" fillId="11" borderId="3" xfId="56" applyNumberFormat="1" applyFont="1" applyFill="1" applyBorder="1" applyAlignment="1">
      <alignment horizontal="center" vertical="center"/>
    </xf>
    <xf numFmtId="166" fontId="53" fillId="11" borderId="3" xfId="0" applyNumberFormat="1" applyFont="1" applyFill="1" applyBorder="1" applyAlignment="1">
      <alignment horizontal="center" vertical="center"/>
    </xf>
    <xf numFmtId="166" fontId="53" fillId="10" borderId="3" xfId="0" applyNumberFormat="1" applyFont="1" applyFill="1" applyBorder="1" applyAlignment="1">
      <alignment vertical="center"/>
    </xf>
    <xf numFmtId="168" fontId="53" fillId="10" borderId="3" xfId="0" applyNumberFormat="1" applyFont="1" applyFill="1" applyBorder="1" applyAlignment="1">
      <alignment horizontal="center" vertical="center"/>
    </xf>
    <xf numFmtId="10" fontId="53" fillId="10" borderId="3" xfId="0" applyNumberFormat="1" applyFont="1" applyFill="1" applyBorder="1" applyAlignment="1">
      <alignment horizontal="center" vertical="center"/>
    </xf>
    <xf numFmtId="172" fontId="53" fillId="10" borderId="3" xfId="0" applyNumberFormat="1" applyFont="1" applyFill="1" applyBorder="1" applyAlignment="1">
      <alignment horizontal="center" vertical="center"/>
    </xf>
    <xf numFmtId="166" fontId="53" fillId="12" borderId="0" xfId="0" applyNumberFormat="1" applyFont="1" applyFill="1" applyAlignment="1">
      <alignment vertical="center"/>
    </xf>
    <xf numFmtId="0" fontId="53" fillId="12" borderId="6" xfId="0" applyFont="1" applyFill="1" applyBorder="1" applyAlignment="1">
      <alignment vertical="center"/>
    </xf>
    <xf numFmtId="166" fontId="53" fillId="13" borderId="6" xfId="0" applyNumberFormat="1" applyFont="1" applyFill="1" applyBorder="1" applyAlignment="1">
      <alignment vertical="center"/>
    </xf>
    <xf numFmtId="166" fontId="53" fillId="13" borderId="6" xfId="0" applyNumberFormat="1" applyFont="1" applyFill="1" applyBorder="1" applyAlignment="1">
      <alignment horizontal="center" vertical="center"/>
    </xf>
    <xf numFmtId="166" fontId="53" fillId="13" borderId="6" xfId="56" applyNumberFormat="1" applyFont="1" applyFill="1" applyBorder="1" applyAlignment="1">
      <alignment horizontal="center" vertical="center"/>
    </xf>
    <xf numFmtId="173" fontId="53" fillId="13" borderId="6" xfId="0" applyNumberFormat="1" applyFont="1" applyFill="1" applyBorder="1" applyAlignment="1">
      <alignment horizontal="center" vertical="center"/>
    </xf>
    <xf numFmtId="166" fontId="53" fillId="12" borderId="6" xfId="0" applyNumberFormat="1" applyFont="1" applyFill="1" applyBorder="1" applyAlignment="1">
      <alignment vertical="center"/>
    </xf>
    <xf numFmtId="168" fontId="53" fillId="13" borderId="6" xfId="0" applyNumberFormat="1" applyFont="1" applyFill="1" applyBorder="1" applyAlignment="1">
      <alignment horizontal="center" vertical="center"/>
    </xf>
    <xf numFmtId="10" fontId="53" fillId="13" borderId="6" xfId="0" applyNumberFormat="1" applyFont="1" applyFill="1" applyBorder="1" applyAlignment="1">
      <alignment horizontal="center" vertical="center"/>
    </xf>
    <xf numFmtId="172" fontId="53" fillId="13" borderId="6" xfId="0" applyNumberFormat="1" applyFont="1" applyFill="1" applyBorder="1" applyAlignment="1">
      <alignment horizontal="center" vertical="center"/>
    </xf>
    <xf numFmtId="168" fontId="53" fillId="0" borderId="6" xfId="70" applyNumberFormat="1" applyFont="1" applyFill="1" applyBorder="1" applyAlignment="1">
      <alignment vertical="center"/>
    </xf>
    <xf numFmtId="168" fontId="53" fillId="0" borderId="0" xfId="70" applyNumberFormat="1" applyFont="1" applyFill="1" applyAlignment="1">
      <alignment vertical="center"/>
    </xf>
    <xf numFmtId="0" fontId="53" fillId="0" borderId="0" xfId="0" applyFont="1" applyAlignment="1">
      <alignment vertical="center"/>
    </xf>
    <xf numFmtId="0" fontId="53" fillId="12" borderId="0" xfId="0" applyFont="1" applyFill="1" applyAlignment="1">
      <alignment vertical="center"/>
    </xf>
    <xf numFmtId="0" fontId="52" fillId="14" borderId="7" xfId="0" applyFont="1" applyFill="1" applyBorder="1" applyAlignment="1">
      <alignment vertical="center"/>
    </xf>
    <xf numFmtId="0" fontId="52" fillId="14" borderId="7" xfId="0" applyFont="1" applyFill="1" applyBorder="1" applyAlignment="1">
      <alignment horizontal="center" vertical="center" wrapText="1"/>
    </xf>
    <xf numFmtId="166" fontId="52" fillId="27" borderId="7" xfId="56" applyNumberFormat="1" applyFont="1" applyFill="1" applyBorder="1" applyAlignment="1">
      <alignment horizontal="center" vertical="center"/>
    </xf>
    <xf numFmtId="166" fontId="52" fillId="0" borderId="7" xfId="0" applyNumberFormat="1" applyFont="1" applyBorder="1" applyAlignment="1">
      <alignment horizontal="center" vertical="center"/>
    </xf>
    <xf numFmtId="173" fontId="52" fillId="15" borderId="7" xfId="0" applyNumberFormat="1" applyFont="1" applyFill="1" applyBorder="1" applyAlignment="1">
      <alignment horizontal="center" vertical="center"/>
    </xf>
    <xf numFmtId="166" fontId="52" fillId="28" borderId="7" xfId="0" applyNumberFormat="1" applyFont="1" applyFill="1" applyBorder="1" applyAlignment="1">
      <alignment vertical="center"/>
    </xf>
    <xf numFmtId="168" fontId="52" fillId="0" borderId="7" xfId="0" applyNumberFormat="1" applyFont="1" applyBorder="1" applyAlignment="1">
      <alignment horizontal="center" vertical="center"/>
    </xf>
    <xf numFmtId="10" fontId="52" fillId="0" borderId="7" xfId="0" applyNumberFormat="1" applyFont="1" applyBorder="1" applyAlignment="1">
      <alignment horizontal="center" vertical="center"/>
    </xf>
    <xf numFmtId="172" fontId="52" fillId="0" borderId="7" xfId="0" applyNumberFormat="1" applyFont="1" applyBorder="1" applyAlignment="1">
      <alignment horizontal="center" vertical="center"/>
    </xf>
    <xf numFmtId="168" fontId="56" fillId="0" borderId="7" xfId="70" applyNumberFormat="1" applyFont="1" applyFill="1" applyBorder="1" applyAlignment="1" applyProtection="1">
      <alignment horizontal="center" vertical="center"/>
    </xf>
    <xf numFmtId="168" fontId="52" fillId="4" borderId="7" xfId="70" applyNumberFormat="1" applyFont="1" applyFill="1" applyBorder="1" applyAlignment="1" applyProtection="1">
      <alignment horizontal="center" vertical="center"/>
    </xf>
    <xf numFmtId="166" fontId="52" fillId="0" borderId="7" xfId="56" applyNumberFormat="1" applyFont="1" applyBorder="1" applyAlignment="1">
      <alignment horizontal="center" vertical="center"/>
    </xf>
    <xf numFmtId="0" fontId="53" fillId="12" borderId="7" xfId="0" applyFont="1" applyFill="1" applyBorder="1" applyAlignment="1">
      <alignment vertical="center"/>
    </xf>
    <xf numFmtId="166" fontId="53" fillId="13" borderId="7" xfId="0" applyNumberFormat="1" applyFont="1" applyFill="1" applyBorder="1" applyAlignment="1">
      <alignment vertical="center"/>
    </xf>
    <xf numFmtId="166" fontId="53" fillId="13" borderId="7" xfId="0" applyNumberFormat="1" applyFont="1" applyFill="1" applyBorder="1" applyAlignment="1">
      <alignment horizontal="center" vertical="center"/>
    </xf>
    <xf numFmtId="166" fontId="53" fillId="13" borderId="7" xfId="56" applyNumberFormat="1" applyFont="1" applyFill="1" applyBorder="1" applyAlignment="1">
      <alignment horizontal="center" vertical="center"/>
    </xf>
    <xf numFmtId="173" fontId="53" fillId="13" borderId="7" xfId="0" applyNumberFormat="1" applyFont="1" applyFill="1" applyBorder="1" applyAlignment="1">
      <alignment horizontal="center" vertical="center"/>
    </xf>
    <xf numFmtId="166" fontId="53" fillId="12" borderId="7" xfId="0" applyNumberFormat="1" applyFont="1" applyFill="1" applyBorder="1" applyAlignment="1">
      <alignment vertical="center"/>
    </xf>
    <xf numFmtId="168" fontId="53" fillId="13" borderId="7" xfId="0" applyNumberFormat="1" applyFont="1" applyFill="1" applyBorder="1" applyAlignment="1">
      <alignment horizontal="center" vertical="center"/>
    </xf>
    <xf numFmtId="10" fontId="53" fillId="13" borderId="7" xfId="0" applyNumberFormat="1" applyFont="1" applyFill="1" applyBorder="1" applyAlignment="1">
      <alignment horizontal="center" vertical="center"/>
    </xf>
    <xf numFmtId="172" fontId="53" fillId="13" borderId="7" xfId="0" applyNumberFormat="1" applyFont="1" applyFill="1" applyBorder="1" applyAlignment="1">
      <alignment horizontal="center" vertical="center"/>
    </xf>
    <xf numFmtId="168" fontId="52" fillId="0" borderId="0" xfId="70" applyNumberFormat="1" applyFont="1" applyFill="1" applyAlignment="1">
      <alignment vertical="center"/>
    </xf>
    <xf numFmtId="166" fontId="53" fillId="12" borderId="7" xfId="0" applyNumberFormat="1" applyFont="1" applyFill="1" applyBorder="1" applyAlignment="1">
      <alignment horizontal="center" vertical="center"/>
    </xf>
    <xf numFmtId="166" fontId="53" fillId="12" borderId="7" xfId="56" applyNumberFormat="1" applyFont="1" applyFill="1" applyBorder="1" applyAlignment="1">
      <alignment horizontal="center" vertical="center"/>
    </xf>
    <xf numFmtId="168" fontId="53" fillId="12" borderId="7" xfId="0" applyNumberFormat="1" applyFont="1" applyFill="1" applyBorder="1" applyAlignment="1">
      <alignment horizontal="center" vertical="center"/>
    </xf>
    <xf numFmtId="10" fontId="53" fillId="12" borderId="7" xfId="0" applyNumberFormat="1" applyFont="1" applyFill="1" applyBorder="1" applyAlignment="1">
      <alignment horizontal="center" vertical="center"/>
    </xf>
    <xf numFmtId="172" fontId="53" fillId="12" borderId="7" xfId="0" applyNumberFormat="1" applyFont="1" applyFill="1" applyBorder="1" applyAlignment="1">
      <alignment horizontal="center" vertical="center"/>
    </xf>
    <xf numFmtId="166" fontId="52" fillId="16" borderId="7" xfId="0" applyNumberFormat="1" applyFont="1" applyFill="1" applyBorder="1" applyAlignment="1">
      <alignment horizontal="center" vertical="center"/>
    </xf>
    <xf numFmtId="166" fontId="52" fillId="16" borderId="7" xfId="0" applyNumberFormat="1" applyFont="1" applyFill="1" applyBorder="1" applyAlignment="1">
      <alignment vertical="center"/>
    </xf>
    <xf numFmtId="168" fontId="52" fillId="16" borderId="7" xfId="0" applyNumberFormat="1" applyFont="1" applyFill="1" applyBorder="1" applyAlignment="1">
      <alignment horizontal="center" vertical="center"/>
    </xf>
    <xf numFmtId="10" fontId="52" fillId="16" borderId="7" xfId="0" applyNumberFormat="1" applyFont="1" applyFill="1" applyBorder="1" applyAlignment="1">
      <alignment horizontal="center" vertical="center"/>
    </xf>
    <xf numFmtId="172" fontId="52" fillId="16" borderId="7" xfId="0" applyNumberFormat="1" applyFont="1" applyFill="1" applyBorder="1" applyAlignment="1">
      <alignment horizontal="center" vertical="center"/>
    </xf>
    <xf numFmtId="166" fontId="52" fillId="0" borderId="8" xfId="0" applyNumberFormat="1" applyFont="1" applyBorder="1" applyAlignment="1">
      <alignment vertical="center"/>
    </xf>
    <xf numFmtId="43" fontId="52" fillId="0" borderId="8" xfId="0" applyNumberFormat="1" applyFont="1" applyBorder="1" applyAlignment="1">
      <alignment vertical="center"/>
    </xf>
    <xf numFmtId="38" fontId="53" fillId="0" borderId="8" xfId="56" applyNumberFormat="1" applyFont="1" applyBorder="1" applyAlignment="1">
      <alignment vertical="center"/>
    </xf>
    <xf numFmtId="40" fontId="53" fillId="0" borderId="8" xfId="56" applyNumberFormat="1" applyFont="1" applyBorder="1" applyAlignment="1">
      <alignment vertical="center"/>
    </xf>
    <xf numFmtId="166" fontId="52" fillId="0" borderId="0" xfId="56" applyNumberFormat="1" applyFont="1" applyAlignment="1">
      <alignment vertical="center"/>
    </xf>
    <xf numFmtId="166" fontId="53" fillId="12" borderId="0" xfId="56" applyNumberFormat="1" applyFont="1" applyFill="1" applyAlignment="1">
      <alignment vertical="center"/>
    </xf>
    <xf numFmtId="38" fontId="53" fillId="12" borderId="0" xfId="0" applyNumberFormat="1" applyFont="1" applyFill="1" applyAlignment="1">
      <alignment vertical="center"/>
    </xf>
    <xf numFmtId="40" fontId="53" fillId="12" borderId="0" xfId="0" applyNumberFormat="1" applyFont="1" applyFill="1" applyAlignment="1">
      <alignment vertical="center"/>
    </xf>
    <xf numFmtId="166" fontId="52" fillId="16" borderId="7" xfId="56" applyNumberFormat="1" applyFont="1" applyFill="1" applyBorder="1" applyAlignment="1">
      <alignment horizontal="center" vertical="center"/>
    </xf>
    <xf numFmtId="166" fontId="52" fillId="14" borderId="7" xfId="0" applyNumberFormat="1" applyFont="1" applyFill="1" applyBorder="1" applyAlignment="1">
      <alignment vertical="center"/>
    </xf>
    <xf numFmtId="0" fontId="52" fillId="14" borderId="7" xfId="229" applyFont="1" applyFill="1" applyBorder="1" applyAlignment="1">
      <alignment vertical="center"/>
    </xf>
    <xf numFmtId="166" fontId="53" fillId="20" borderId="7" xfId="0" applyNumberFormat="1" applyFont="1" applyFill="1" applyBorder="1" applyAlignment="1">
      <alignment vertical="center"/>
    </xf>
    <xf numFmtId="166" fontId="53" fillId="20" borderId="7" xfId="0" applyNumberFormat="1" applyFont="1" applyFill="1" applyBorder="1" applyAlignment="1">
      <alignment horizontal="center" vertical="center"/>
    </xf>
    <xf numFmtId="166" fontId="53" fillId="20" borderId="7" xfId="56" applyNumberFormat="1" applyFont="1" applyFill="1" applyBorder="1" applyAlignment="1">
      <alignment horizontal="center" vertical="center"/>
    </xf>
    <xf numFmtId="173" fontId="53" fillId="21" borderId="7" xfId="0" applyNumberFormat="1" applyFont="1" applyFill="1" applyBorder="1" applyAlignment="1">
      <alignment horizontal="center" vertical="center"/>
    </xf>
    <xf numFmtId="166" fontId="53" fillId="21" borderId="7" xfId="0" applyNumberFormat="1" applyFont="1" applyFill="1" applyBorder="1" applyAlignment="1">
      <alignment vertical="center"/>
    </xf>
    <xf numFmtId="168" fontId="53" fillId="21" borderId="7" xfId="0" applyNumberFormat="1" applyFont="1" applyFill="1" applyBorder="1" applyAlignment="1">
      <alignment horizontal="center" vertical="center"/>
    </xf>
    <xf numFmtId="10" fontId="53" fillId="21" borderId="7" xfId="0" applyNumberFormat="1" applyFont="1" applyFill="1" applyBorder="1" applyAlignment="1">
      <alignment horizontal="center" vertical="center"/>
    </xf>
    <xf numFmtId="172" fontId="53" fillId="21" borderId="7" xfId="0" applyNumberFormat="1" applyFont="1" applyFill="1" applyBorder="1" applyAlignment="1">
      <alignment horizontal="center" vertical="center"/>
    </xf>
    <xf numFmtId="0" fontId="52" fillId="14" borderId="7" xfId="0" applyFont="1" applyFill="1" applyBorder="1" applyAlignment="1">
      <alignment vertical="center" wrapText="1"/>
    </xf>
    <xf numFmtId="0" fontId="52" fillId="14" borderId="8" xfId="0" applyFont="1" applyFill="1" applyBorder="1" applyAlignment="1">
      <alignment vertical="center" wrapText="1"/>
    </xf>
    <xf numFmtId="0" fontId="52" fillId="14" borderId="8" xfId="0" applyFont="1" applyFill="1" applyBorder="1" applyAlignment="1">
      <alignment horizontal="left" vertical="center" wrapText="1"/>
    </xf>
    <xf numFmtId="0" fontId="52" fillId="14" borderId="8" xfId="0" applyFont="1" applyFill="1" applyBorder="1" applyAlignment="1">
      <alignment horizontal="center" vertical="center" wrapText="1"/>
    </xf>
    <xf numFmtId="166" fontId="52" fillId="0" borderId="8" xfId="56" applyNumberFormat="1" applyFont="1" applyBorder="1" applyAlignment="1">
      <alignment horizontal="center" vertical="center"/>
    </xf>
    <xf numFmtId="166" fontId="52" fillId="0" borderId="8" xfId="0" applyNumberFormat="1" applyFont="1" applyBorder="1" applyAlignment="1">
      <alignment horizontal="center" vertical="center"/>
    </xf>
    <xf numFmtId="166" fontId="52" fillId="16" borderId="8" xfId="0" applyNumberFormat="1" applyFont="1" applyFill="1" applyBorder="1" applyAlignment="1">
      <alignment horizontal="center" vertical="center"/>
    </xf>
    <xf numFmtId="173" fontId="52" fillId="15" borderId="8" xfId="0" applyNumberFormat="1" applyFont="1" applyFill="1" applyBorder="1" applyAlignment="1">
      <alignment horizontal="center" vertical="center"/>
    </xf>
    <xf numFmtId="166" fontId="52" fillId="16" borderId="8" xfId="0" applyNumberFormat="1" applyFont="1" applyFill="1" applyBorder="1" applyAlignment="1">
      <alignment vertical="center"/>
    </xf>
    <xf numFmtId="168" fontId="52" fillId="16" borderId="8" xfId="0" applyNumberFormat="1" applyFont="1" applyFill="1" applyBorder="1" applyAlignment="1">
      <alignment horizontal="center" vertical="center"/>
    </xf>
    <xf numFmtId="10" fontId="52" fillId="16" borderId="8" xfId="0" applyNumberFormat="1" applyFont="1" applyFill="1" applyBorder="1" applyAlignment="1">
      <alignment horizontal="center" vertical="center"/>
    </xf>
    <xf numFmtId="172" fontId="52" fillId="16" borderId="8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6" fontId="53" fillId="0" borderId="0" xfId="56" applyNumberFormat="1" applyFont="1" applyFill="1" applyBorder="1" applyAlignment="1">
      <alignment vertical="center"/>
    </xf>
    <xf numFmtId="38" fontId="53" fillId="0" borderId="0" xfId="56" applyNumberFormat="1" applyFont="1" applyFill="1" applyBorder="1" applyAlignment="1">
      <alignment vertical="center"/>
    </xf>
    <xf numFmtId="40" fontId="53" fillId="0" borderId="0" xfId="56" applyNumberFormat="1" applyFont="1" applyFill="1" applyBorder="1" applyAlignment="1">
      <alignment vertical="center"/>
    </xf>
    <xf numFmtId="169" fontId="57" fillId="0" borderId="0" xfId="56" applyNumberFormat="1" applyFont="1" applyAlignment="1">
      <alignment vertical="center"/>
    </xf>
    <xf numFmtId="172" fontId="58" fillId="19" borderId="3" xfId="56" applyNumberFormat="1" applyFont="1" applyFill="1" applyBorder="1" applyAlignment="1">
      <alignment vertical="center"/>
    </xf>
    <xf numFmtId="172" fontId="61" fillId="0" borderId="5" xfId="0" applyNumberFormat="1" applyFont="1" applyBorder="1" applyAlignment="1">
      <alignment horizontal="center" vertical="center"/>
    </xf>
    <xf numFmtId="174" fontId="61" fillId="0" borderId="5" xfId="0" applyNumberFormat="1" applyFont="1" applyBorder="1" applyAlignment="1">
      <alignment horizontal="center" vertical="center"/>
    </xf>
    <xf numFmtId="176" fontId="61" fillId="0" borderId="19" xfId="0" applyNumberFormat="1" applyFont="1" applyBorder="1" applyAlignment="1">
      <alignment horizontal="center" vertical="center"/>
    </xf>
    <xf numFmtId="174" fontId="61" fillId="0" borderId="19" xfId="0" applyNumberFormat="1" applyFont="1" applyBorder="1" applyAlignment="1">
      <alignment horizontal="center" vertical="center"/>
    </xf>
    <xf numFmtId="172" fontId="61" fillId="13" borderId="7" xfId="0" applyNumberFormat="1" applyFont="1" applyFill="1" applyBorder="1" applyAlignment="1">
      <alignment horizontal="center" vertical="center"/>
    </xf>
    <xf numFmtId="174" fontId="61" fillId="13" borderId="7" xfId="0" applyNumberFormat="1" applyFont="1" applyFill="1" applyBorder="1" applyAlignment="1">
      <alignment horizontal="center" vertical="center"/>
    </xf>
    <xf numFmtId="172" fontId="62" fillId="0" borderId="7" xfId="0" applyNumberFormat="1" applyFont="1" applyBorder="1" applyAlignment="1">
      <alignment horizontal="center" vertical="center"/>
    </xf>
    <xf numFmtId="174" fontId="62" fillId="0" borderId="7" xfId="0" applyNumberFormat="1" applyFont="1" applyBorder="1" applyAlignment="1">
      <alignment horizontal="center" vertical="center"/>
    </xf>
    <xf numFmtId="38" fontId="53" fillId="0" borderId="0" xfId="56" applyNumberFormat="1" applyFont="1" applyBorder="1" applyAlignment="1">
      <alignment vertical="center"/>
    </xf>
    <xf numFmtId="40" fontId="53" fillId="0" borderId="0" xfId="56" applyNumberFormat="1" applyFont="1" applyBorder="1" applyAlignment="1">
      <alignment vertical="center"/>
    </xf>
    <xf numFmtId="172" fontId="62" fillId="0" borderId="8" xfId="0" applyNumberFormat="1" applyFont="1" applyBorder="1" applyAlignment="1">
      <alignment horizontal="center" vertical="center"/>
    </xf>
    <xf numFmtId="174" fontId="62" fillId="0" borderId="8" xfId="0" applyNumberFormat="1" applyFont="1" applyBorder="1" applyAlignment="1">
      <alignment horizontal="center" vertical="center"/>
    </xf>
    <xf numFmtId="166" fontId="52" fillId="19" borderId="7" xfId="56" applyNumberFormat="1" applyFont="1" applyFill="1" applyBorder="1" applyAlignment="1">
      <alignment horizontal="center" vertical="center"/>
    </xf>
    <xf numFmtId="166" fontId="52" fillId="0" borderId="21" xfId="0" applyNumberFormat="1" applyFont="1" applyBorder="1" applyAlignment="1">
      <alignment vertical="center"/>
    </xf>
    <xf numFmtId="166" fontId="53" fillId="0" borderId="21" xfId="56" applyNumberFormat="1" applyFont="1" applyFill="1" applyBorder="1" applyAlignment="1">
      <alignment vertical="center"/>
    </xf>
    <xf numFmtId="43" fontId="52" fillId="0" borderId="21" xfId="0" applyNumberFormat="1" applyFont="1" applyBorder="1" applyAlignment="1">
      <alignment vertical="center"/>
    </xf>
    <xf numFmtId="38" fontId="53" fillId="0" borderId="21" xfId="56" applyNumberFormat="1" applyFont="1" applyBorder="1" applyAlignment="1">
      <alignment vertical="center"/>
    </xf>
    <xf numFmtId="40" fontId="53" fillId="0" borderId="21" xfId="56" applyNumberFormat="1" applyFont="1" applyBorder="1" applyAlignment="1">
      <alignment vertical="center"/>
    </xf>
    <xf numFmtId="166" fontId="52" fillId="0" borderId="22" xfId="0" applyNumberFormat="1" applyFont="1" applyBorder="1" applyAlignment="1">
      <alignment vertical="center"/>
    </xf>
    <xf numFmtId="166" fontId="53" fillId="0" borderId="22" xfId="56" applyNumberFormat="1" applyFont="1" applyFill="1" applyBorder="1" applyAlignment="1">
      <alignment vertical="center"/>
    </xf>
    <xf numFmtId="43" fontId="52" fillId="0" borderId="22" xfId="0" applyNumberFormat="1" applyFont="1" applyBorder="1" applyAlignment="1">
      <alignment vertical="center"/>
    </xf>
    <xf numFmtId="38" fontId="53" fillId="0" borderId="22" xfId="56" applyNumberFormat="1" applyFont="1" applyBorder="1" applyAlignment="1">
      <alignment vertical="center"/>
    </xf>
    <xf numFmtId="40" fontId="53" fillId="0" borderId="22" xfId="56" applyNumberFormat="1" applyFont="1" applyBorder="1" applyAlignment="1">
      <alignment vertical="center"/>
    </xf>
    <xf numFmtId="166" fontId="53" fillId="0" borderId="22" xfId="0" applyNumberFormat="1" applyFont="1" applyBorder="1" applyAlignment="1">
      <alignment vertical="center"/>
    </xf>
    <xf numFmtId="1" fontId="52" fillId="0" borderId="0" xfId="0" applyNumberFormat="1" applyFont="1" applyAlignment="1">
      <alignment vertical="center"/>
    </xf>
    <xf numFmtId="172" fontId="47" fillId="0" borderId="0" xfId="0" applyNumberFormat="1" applyFont="1" applyAlignment="1">
      <alignment horizontal="center" vertical="center"/>
    </xf>
    <xf numFmtId="166" fontId="47" fillId="0" borderId="0" xfId="56" applyNumberFormat="1" applyFont="1" applyAlignment="1">
      <alignment horizontal="center" vertical="center"/>
    </xf>
    <xf numFmtId="2" fontId="58" fillId="19" borderId="3" xfId="56" applyNumberFormat="1" applyFont="1" applyFill="1" applyBorder="1" applyAlignment="1">
      <alignment vertical="center"/>
    </xf>
    <xf numFmtId="166" fontId="53" fillId="0" borderId="3" xfId="0" applyNumberFormat="1" applyFont="1" applyBorder="1" applyAlignment="1">
      <alignment horizontal="center" vertical="center"/>
    </xf>
    <xf numFmtId="166" fontId="53" fillId="0" borderId="3" xfId="0" applyNumberFormat="1" applyFont="1" applyBorder="1" applyAlignment="1">
      <alignment horizontal="center" vertical="center" wrapText="1"/>
    </xf>
    <xf numFmtId="168" fontId="53" fillId="0" borderId="3" xfId="0" applyNumberFormat="1" applyFont="1" applyBorder="1" applyAlignment="1">
      <alignment horizontal="center" vertical="center"/>
    </xf>
    <xf numFmtId="173" fontId="54" fillId="0" borderId="0" xfId="0" applyNumberFormat="1" applyFont="1" applyAlignment="1">
      <alignment horizontal="center" vertical="center"/>
    </xf>
    <xf numFmtId="0" fontId="52" fillId="0" borderId="0" xfId="0" applyFont="1" applyAlignment="1">
      <alignment vertical="center"/>
    </xf>
    <xf numFmtId="43" fontId="52" fillId="0" borderId="0" xfId="0" applyNumberFormat="1" applyFont="1" applyAlignment="1">
      <alignment vertical="center"/>
    </xf>
    <xf numFmtId="38" fontId="53" fillId="21" borderId="21" xfId="0" applyNumberFormat="1" applyFont="1" applyFill="1" applyBorder="1" applyAlignment="1">
      <alignment vertical="center"/>
    </xf>
    <xf numFmtId="0" fontId="49" fillId="0" borderId="6" xfId="0" applyFont="1" applyBorder="1" applyAlignment="1">
      <alignment vertical="center"/>
    </xf>
    <xf numFmtId="166" fontId="52" fillId="0" borderId="6" xfId="0" applyNumberFormat="1" applyFont="1" applyBorder="1" applyAlignment="1">
      <alignment vertical="center"/>
    </xf>
    <xf numFmtId="43" fontId="52" fillId="0" borderId="6" xfId="0" applyNumberFormat="1" applyFont="1" applyBorder="1" applyAlignment="1">
      <alignment vertical="center"/>
    </xf>
    <xf numFmtId="38" fontId="53" fillId="0" borderId="6" xfId="56" applyNumberFormat="1" applyFont="1" applyBorder="1" applyAlignment="1">
      <alignment vertical="center"/>
    </xf>
    <xf numFmtId="40" fontId="53" fillId="0" borderId="6" xfId="56" applyNumberFormat="1" applyFont="1" applyBorder="1" applyAlignment="1">
      <alignment vertical="center"/>
    </xf>
    <xf numFmtId="0" fontId="49" fillId="0" borderId="7" xfId="0" applyFont="1" applyBorder="1" applyAlignment="1">
      <alignment vertical="center"/>
    </xf>
    <xf numFmtId="0" fontId="49" fillId="0" borderId="8" xfId="0" applyFont="1" applyBorder="1" applyAlignment="1">
      <alignment vertical="center"/>
    </xf>
    <xf numFmtId="166" fontId="52" fillId="0" borderId="7" xfId="56" applyNumberFormat="1" applyFont="1" applyFill="1" applyBorder="1" applyAlignment="1">
      <alignment horizontal="center" vertical="center"/>
    </xf>
    <xf numFmtId="0" fontId="52" fillId="14" borderId="7" xfId="72" applyFont="1" applyFill="1" applyBorder="1" applyAlignment="1">
      <alignment vertical="center"/>
    </xf>
    <xf numFmtId="0" fontId="0" fillId="0" borderId="0" xfId="0" applyNumberFormat="1"/>
    <xf numFmtId="166" fontId="53" fillId="0" borderId="1" xfId="0" applyNumberFormat="1" applyFont="1" applyBorder="1" applyAlignment="1">
      <alignment horizontal="center" vertical="center"/>
    </xf>
    <xf numFmtId="166" fontId="53" fillId="0" borderId="1" xfId="0" applyNumberFormat="1" applyFont="1" applyBorder="1" applyAlignment="1">
      <alignment vertical="center" wrapText="1"/>
    </xf>
    <xf numFmtId="166" fontId="53" fillId="0" borderId="1" xfId="0" applyNumberFormat="1" applyFont="1" applyBorder="1" applyAlignment="1">
      <alignment vertical="center"/>
    </xf>
    <xf numFmtId="166" fontId="53" fillId="0" borderId="1" xfId="0" quotePrefix="1" applyNumberFormat="1" applyFont="1" applyBorder="1" applyAlignment="1">
      <alignment vertical="center"/>
    </xf>
    <xf numFmtId="166" fontId="53" fillId="7" borderId="9" xfId="0" quotePrefix="1" applyNumberFormat="1" applyFont="1" applyFill="1" applyBorder="1" applyAlignment="1">
      <alignment horizontal="center" vertical="center"/>
    </xf>
    <xf numFmtId="166" fontId="53" fillId="7" borderId="10" xfId="0" quotePrefix="1" applyNumberFormat="1" applyFont="1" applyFill="1" applyBorder="1" applyAlignment="1">
      <alignment horizontal="center" vertical="center"/>
    </xf>
    <xf numFmtId="173" fontId="54" fillId="0" borderId="0" xfId="0" applyNumberFormat="1" applyFont="1" applyAlignment="1">
      <alignment horizontal="center" vertical="center"/>
    </xf>
    <xf numFmtId="0" fontId="52" fillId="0" borderId="0" xfId="0" applyFont="1" applyAlignment="1">
      <alignment vertical="center"/>
    </xf>
    <xf numFmtId="166" fontId="53" fillId="0" borderId="12" xfId="0" applyNumberFormat="1" applyFont="1" applyBorder="1" applyAlignment="1">
      <alignment horizontal="center" vertical="center"/>
    </xf>
    <xf numFmtId="0" fontId="52" fillId="0" borderId="12" xfId="0" applyFont="1" applyBorder="1" applyAlignment="1">
      <alignment vertical="center"/>
    </xf>
    <xf numFmtId="174" fontId="53" fillId="0" borderId="12" xfId="0" applyNumberFormat="1" applyFont="1" applyBorder="1" applyAlignment="1">
      <alignment horizontal="center" vertical="center"/>
    </xf>
    <xf numFmtId="173" fontId="54" fillId="0" borderId="20" xfId="0" quotePrefix="1" applyNumberFormat="1" applyFont="1" applyBorder="1" applyAlignment="1">
      <alignment horizontal="center" vertical="center"/>
    </xf>
    <xf numFmtId="173" fontId="54" fillId="0" borderId="20" xfId="0" applyNumberFormat="1" applyFont="1" applyBorder="1" applyAlignment="1">
      <alignment horizontal="center" vertical="center"/>
    </xf>
    <xf numFmtId="172" fontId="53" fillId="0" borderId="3" xfId="0" applyNumberFormat="1" applyFont="1" applyBorder="1" applyAlignment="1">
      <alignment horizontal="center" vertical="center" wrapText="1"/>
    </xf>
    <xf numFmtId="0" fontId="52" fillId="0" borderId="3" xfId="0" applyFont="1" applyBorder="1" applyAlignment="1">
      <alignment vertical="center"/>
    </xf>
    <xf numFmtId="166" fontId="53" fillId="0" borderId="3" xfId="0" quotePrefix="1" applyNumberFormat="1" applyFont="1" applyBorder="1" applyAlignment="1">
      <alignment horizontal="center" vertical="center"/>
    </xf>
    <xf numFmtId="166" fontId="53" fillId="0" borderId="3" xfId="0" applyNumberFormat="1" applyFont="1" applyBorder="1" applyAlignment="1">
      <alignment horizontal="center" vertical="center"/>
    </xf>
    <xf numFmtId="166" fontId="53" fillId="0" borderId="3" xfId="0" applyNumberFormat="1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/>
    </xf>
    <xf numFmtId="168" fontId="53" fillId="0" borderId="3" xfId="0" applyNumberFormat="1" applyFont="1" applyBorder="1" applyAlignment="1">
      <alignment horizontal="center" vertical="center"/>
    </xf>
    <xf numFmtId="10" fontId="53" fillId="0" borderId="3" xfId="0" applyNumberFormat="1" applyFont="1" applyBorder="1" applyAlignment="1">
      <alignment horizontal="center" vertical="center" wrapText="1"/>
    </xf>
    <xf numFmtId="166" fontId="53" fillId="0" borderId="5" xfId="71" applyNumberFormat="1" applyFont="1" applyFill="1" applyBorder="1" applyAlignment="1">
      <alignment horizontal="center" vertical="center"/>
    </xf>
    <xf numFmtId="166" fontId="53" fillId="0" borderId="1" xfId="71" applyNumberFormat="1" applyFont="1" applyFill="1" applyBorder="1" applyAlignment="1">
      <alignment horizontal="center" vertical="center"/>
    </xf>
    <xf numFmtId="168" fontId="54" fillId="0" borderId="0" xfId="70" applyNumberFormat="1" applyFont="1" applyAlignment="1">
      <alignment horizontal="right" vertical="center"/>
    </xf>
    <xf numFmtId="172" fontId="59" fillId="0" borderId="3" xfId="0" applyNumberFormat="1" applyFont="1" applyBorder="1" applyAlignment="1">
      <alignment horizontal="center" vertical="center" wrapText="1"/>
    </xf>
    <xf numFmtId="0" fontId="60" fillId="0" borderId="3" xfId="0" applyFont="1" applyBorder="1" applyAlignment="1">
      <alignment vertical="center"/>
    </xf>
    <xf numFmtId="174" fontId="59" fillId="0" borderId="3" xfId="0" applyNumberFormat="1" applyFont="1" applyBorder="1" applyAlignment="1">
      <alignment horizontal="center" vertical="center" wrapText="1"/>
    </xf>
    <xf numFmtId="174" fontId="60" fillId="0" borderId="3" xfId="0" applyNumberFormat="1" applyFont="1" applyBorder="1" applyAlignment="1">
      <alignment vertical="center"/>
    </xf>
    <xf numFmtId="166" fontId="53" fillId="24" borderId="6" xfId="0" applyNumberFormat="1" applyFont="1" applyFill="1" applyBorder="1" applyAlignment="1">
      <alignment horizontal="center" vertical="center"/>
    </xf>
    <xf numFmtId="0" fontId="52" fillId="24" borderId="7" xfId="0" applyFont="1" applyFill="1" applyBorder="1" applyAlignment="1">
      <alignment vertical="center"/>
    </xf>
    <xf numFmtId="166" fontId="53" fillId="24" borderId="6" xfId="0" quotePrefix="1" applyNumberFormat="1" applyFont="1" applyFill="1" applyBorder="1" applyAlignment="1">
      <alignment horizontal="center" vertical="center"/>
    </xf>
    <xf numFmtId="174" fontId="59" fillId="0" borderId="5" xfId="0" applyNumberFormat="1" applyFont="1" applyBorder="1" applyAlignment="1">
      <alignment horizontal="center" vertical="center" wrapText="1"/>
    </xf>
    <xf numFmtId="174" fontId="59" fillId="0" borderId="1" xfId="0" applyNumberFormat="1" applyFont="1" applyBorder="1" applyAlignment="1">
      <alignment horizontal="center" vertical="center" wrapText="1"/>
    </xf>
    <xf numFmtId="166" fontId="53" fillId="24" borderId="5" xfId="0" applyNumberFormat="1" applyFont="1" applyFill="1" applyBorder="1" applyAlignment="1">
      <alignment horizontal="center" vertical="center"/>
    </xf>
    <xf numFmtId="166" fontId="53" fillId="24" borderId="1" xfId="0" applyNumberFormat="1" applyFont="1" applyFill="1" applyBorder="1" applyAlignment="1">
      <alignment horizontal="center" vertical="center"/>
    </xf>
    <xf numFmtId="168" fontId="54" fillId="0" borderId="4" xfId="70" applyNumberFormat="1" applyFont="1" applyBorder="1" applyAlignment="1">
      <alignment horizontal="right" vertical="center"/>
    </xf>
    <xf numFmtId="166" fontId="53" fillId="24" borderId="5" xfId="0" quotePrefix="1" applyNumberFormat="1" applyFont="1" applyFill="1" applyBorder="1" applyAlignment="1">
      <alignment horizontal="center" vertical="center"/>
    </xf>
    <xf numFmtId="166" fontId="53" fillId="24" borderId="1" xfId="0" quotePrefix="1" applyNumberFormat="1" applyFont="1" applyFill="1" applyBorder="1" applyAlignment="1">
      <alignment horizontal="center" vertical="center"/>
    </xf>
    <xf numFmtId="166" fontId="53" fillId="0" borderId="5" xfId="0" quotePrefix="1" applyNumberFormat="1" applyFont="1" applyBorder="1" applyAlignment="1">
      <alignment horizontal="center" vertical="center"/>
    </xf>
    <xf numFmtId="166" fontId="53" fillId="0" borderId="1" xfId="0" quotePrefix="1" applyNumberFormat="1" applyFont="1" applyBorder="1" applyAlignment="1">
      <alignment horizontal="center" vertical="center"/>
    </xf>
    <xf numFmtId="166" fontId="53" fillId="0" borderId="5" xfId="0" applyNumberFormat="1" applyFont="1" applyBorder="1" applyAlignment="1">
      <alignment horizontal="center" vertical="center"/>
    </xf>
    <xf numFmtId="166" fontId="53" fillId="0" borderId="1" xfId="0" applyNumberFormat="1" applyFont="1" applyBorder="1" applyAlignment="1">
      <alignment horizontal="center" vertical="center"/>
    </xf>
    <xf numFmtId="166" fontId="53" fillId="0" borderId="5" xfId="0" applyNumberFormat="1" applyFont="1" applyBorder="1" applyAlignment="1">
      <alignment horizontal="center" vertical="center" wrapText="1"/>
    </xf>
    <xf numFmtId="166" fontId="53" fillId="0" borderId="1" xfId="0" applyNumberFormat="1" applyFont="1" applyBorder="1" applyAlignment="1">
      <alignment horizontal="center" vertical="center" wrapText="1"/>
    </xf>
    <xf numFmtId="172" fontId="53" fillId="0" borderId="5" xfId="0" applyNumberFormat="1" applyFont="1" applyBorder="1" applyAlignment="1">
      <alignment horizontal="center" vertical="center" wrapText="1"/>
    </xf>
    <xf numFmtId="172" fontId="53" fillId="0" borderId="1" xfId="0" applyNumberFormat="1" applyFont="1" applyBorder="1" applyAlignment="1">
      <alignment horizontal="center" vertical="center" wrapText="1"/>
    </xf>
    <xf numFmtId="168" fontId="53" fillId="0" borderId="5" xfId="0" applyNumberFormat="1" applyFont="1" applyBorder="1" applyAlignment="1">
      <alignment horizontal="center" vertical="center"/>
    </xf>
    <xf numFmtId="168" fontId="53" fillId="0" borderId="1" xfId="0" applyNumberFormat="1" applyFont="1" applyBorder="1" applyAlignment="1">
      <alignment horizontal="center" vertical="center"/>
    </xf>
    <xf numFmtId="10" fontId="53" fillId="0" borderId="5" xfId="0" applyNumberFormat="1" applyFont="1" applyBorder="1" applyAlignment="1">
      <alignment horizontal="center" vertical="center" wrapText="1"/>
    </xf>
    <xf numFmtId="10" fontId="53" fillId="0" borderId="1" xfId="0" applyNumberFormat="1" applyFont="1" applyBorder="1" applyAlignment="1">
      <alignment horizontal="center" vertical="center" wrapText="1"/>
    </xf>
    <xf numFmtId="172" fontId="59" fillId="0" borderId="5" xfId="0" applyNumberFormat="1" applyFont="1" applyBorder="1" applyAlignment="1">
      <alignment horizontal="center" vertical="center" wrapText="1"/>
    </xf>
    <xf numFmtId="172" fontId="59" fillId="0" borderId="1" xfId="0" applyNumberFormat="1" applyFont="1" applyBorder="1" applyAlignment="1">
      <alignment horizontal="center" vertical="center" wrapText="1"/>
    </xf>
    <xf numFmtId="173" fontId="54" fillId="0" borderId="18" xfId="0" applyNumberFormat="1" applyFont="1" applyBorder="1" applyAlignment="1">
      <alignment horizontal="center" vertical="center"/>
    </xf>
    <xf numFmtId="172" fontId="9" fillId="0" borderId="5" xfId="0" applyNumberFormat="1" applyFont="1" applyBorder="1" applyAlignment="1">
      <alignment horizontal="center" vertical="center" wrapText="1"/>
    </xf>
    <xf numFmtId="172" fontId="9" fillId="0" borderId="1" xfId="0" applyNumberFormat="1" applyFont="1" applyBorder="1" applyAlignment="1">
      <alignment horizontal="center" vertical="center" wrapText="1"/>
    </xf>
    <xf numFmtId="166" fontId="9" fillId="0" borderId="5" xfId="0" quotePrefix="1" applyNumberFormat="1" applyFont="1" applyBorder="1" applyAlignment="1">
      <alignment horizontal="center" vertical="center"/>
    </xf>
    <xf numFmtId="166" fontId="9" fillId="0" borderId="1" xfId="0" quotePrefix="1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8" fontId="9" fillId="0" borderId="5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166" fontId="33" fillId="7" borderId="9" xfId="0" quotePrefix="1" applyNumberFormat="1" applyFont="1" applyFill="1" applyBorder="1" applyAlignment="1">
      <alignment horizontal="center" vertical="center"/>
    </xf>
    <xf numFmtId="166" fontId="33" fillId="7" borderId="10" xfId="0" quotePrefix="1" applyNumberFormat="1" applyFont="1" applyFill="1" applyBorder="1" applyAlignment="1">
      <alignment horizontal="center" vertical="center"/>
    </xf>
    <xf numFmtId="173" fontId="32" fillId="0" borderId="18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74" fontId="34" fillId="0" borderId="12" xfId="0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right" vertical="center"/>
    </xf>
    <xf numFmtId="166" fontId="12" fillId="0" borderId="4" xfId="1" applyNumberFormat="1" applyFont="1" applyBorder="1" applyAlignment="1">
      <alignment horizontal="right" vertical="center"/>
    </xf>
    <xf numFmtId="166" fontId="22" fillId="0" borderId="5" xfId="1" applyNumberFormat="1" applyFont="1" applyBorder="1" applyAlignment="1">
      <alignment horizontal="center" vertical="center" wrapText="1"/>
    </xf>
    <xf numFmtId="166" fontId="22" fillId="0" borderId="1" xfId="1" applyNumberFormat="1" applyFont="1" applyBorder="1" applyAlignment="1">
      <alignment horizontal="center" vertical="center" wrapText="1"/>
    </xf>
    <xf numFmtId="165" fontId="24" fillId="0" borderId="3" xfId="1" applyFont="1" applyBorder="1" applyAlignment="1">
      <alignment horizontal="center" vertical="center" wrapText="1"/>
    </xf>
    <xf numFmtId="166" fontId="22" fillId="0" borderId="5" xfId="1" quotePrefix="1" applyNumberFormat="1" applyFont="1" applyBorder="1" applyAlignment="1">
      <alignment horizontal="center" vertical="center"/>
    </xf>
    <xf numFmtId="166" fontId="22" fillId="0" borderId="1" xfId="1" quotePrefix="1" applyNumberFormat="1" applyFont="1" applyBorder="1" applyAlignment="1">
      <alignment horizontal="center" vertical="center"/>
    </xf>
    <xf numFmtId="166" fontId="23" fillId="0" borderId="5" xfId="1" applyNumberFormat="1" applyFont="1" applyBorder="1" applyAlignment="1">
      <alignment horizontal="center" vertical="center"/>
    </xf>
    <xf numFmtId="166" fontId="23" fillId="0" borderId="1" xfId="1" applyNumberFormat="1" applyFont="1" applyBorder="1" applyAlignment="1">
      <alignment horizontal="center" vertical="center"/>
    </xf>
  </cellXfs>
  <cellStyles count="329">
    <cellStyle name="Comma" xfId="1" builtinId="3"/>
    <cellStyle name="Comma 2" xfId="14"/>
    <cellStyle name="Comma 2 2" xfId="15"/>
    <cellStyle name="Comma 2 2 2" xfId="53"/>
    <cellStyle name="Comma 2 2 3" xfId="36"/>
    <cellStyle name="Comma 2 3" xfId="30"/>
    <cellStyle name="Comma 2 4" xfId="116"/>
    <cellStyle name="Comma 2 5" xfId="71"/>
    <cellStyle name="Comma 3" xfId="56"/>
    <cellStyle name="Comma 4" xfId="32"/>
    <cellStyle name="Comma 5" xfId="18"/>
    <cellStyle name="Comma 5 2" xfId="109"/>
    <cellStyle name="Comma 5 3" xfId="189"/>
    <cellStyle name="Comma 5 4" xfId="278"/>
    <cellStyle name="Comma 6" xfId="228"/>
    <cellStyle name="Comma 6 2" xfId="317"/>
    <cellStyle name="Comma 7" xfId="231"/>
    <cellStyle name="Comma 7 2" xfId="319"/>
    <cellStyle name="Comma 8" xfId="234"/>
    <cellStyle name="Comma 8 2" xfId="322"/>
    <cellStyle name="Comma 9" xfId="239"/>
    <cellStyle name="Comma 9 2" xfId="327"/>
    <cellStyle name="Normal" xfId="0" builtinId="0"/>
    <cellStyle name="Normal 10" xfId="24"/>
    <cellStyle name="Normal 10 2" xfId="28"/>
    <cellStyle name="Normal 10 2 2" xfId="34"/>
    <cellStyle name="Normal 10 2 2 2" xfId="66"/>
    <cellStyle name="Normal 10 2 2 2 2" xfId="148"/>
    <cellStyle name="Normal 10 2 2 2 3" xfId="224"/>
    <cellStyle name="Normal 10 2 2 2 4" xfId="313"/>
    <cellStyle name="Normal 10 2 2 3" xfId="105"/>
    <cellStyle name="Normal 10 2 2 4" xfId="185"/>
    <cellStyle name="Normal 10 2 2 5" xfId="274"/>
    <cellStyle name="Normal 10 2 3" xfId="48"/>
    <cellStyle name="Normal 10 2 3 2" xfId="133"/>
    <cellStyle name="Normal 10 2 3 3" xfId="209"/>
    <cellStyle name="Normal 10 2 3 4" xfId="298"/>
    <cellStyle name="Normal 10 2 4" xfId="90"/>
    <cellStyle name="Normal 10 2 5" xfId="170"/>
    <cellStyle name="Normal 10 2 6" xfId="259"/>
    <cellStyle name="Normal 10 3" xfId="62"/>
    <cellStyle name="Normal 10 3 2" xfId="144"/>
    <cellStyle name="Normal 10 3 2 2" xfId="220"/>
    <cellStyle name="Normal 10 3 2 3" xfId="309"/>
    <cellStyle name="Normal 10 3 3" xfId="101"/>
    <cellStyle name="Normal 10 3 4" xfId="181"/>
    <cellStyle name="Normal 10 3 5" xfId="270"/>
    <cellStyle name="Normal 10 4" xfId="45"/>
    <cellStyle name="Normal 10 4 2" xfId="120"/>
    <cellStyle name="Normal 10 4 3" xfId="197"/>
    <cellStyle name="Normal 10 4 4" xfId="286"/>
    <cellStyle name="Normal 10 5" xfId="78"/>
    <cellStyle name="Normal 10 6" xfId="158"/>
    <cellStyle name="Normal 10 7" xfId="247"/>
    <cellStyle name="Normal 11" xfId="25"/>
    <cellStyle name="Normal 11 2" xfId="63"/>
    <cellStyle name="Normal 11 2 2" xfId="134"/>
    <cellStyle name="Normal 11 2 2 2" xfId="210"/>
    <cellStyle name="Normal 11 2 2 3" xfId="299"/>
    <cellStyle name="Normal 11 2 3" xfId="91"/>
    <cellStyle name="Normal 11 2 4" xfId="171"/>
    <cellStyle name="Normal 11 2 5" xfId="260"/>
    <cellStyle name="Normal 11 3" xfId="47"/>
    <cellStyle name="Normal 11 3 2" xfId="145"/>
    <cellStyle name="Normal 11 3 2 2" xfId="221"/>
    <cellStyle name="Normal 11 3 2 3" xfId="310"/>
    <cellStyle name="Normal 11 3 3" xfId="102"/>
    <cellStyle name="Normal 11 3 4" xfId="182"/>
    <cellStyle name="Normal 11 3 5" xfId="271"/>
    <cellStyle name="Normal 11 4" xfId="121"/>
    <cellStyle name="Normal 11 4 2" xfId="198"/>
    <cellStyle name="Normal 11 4 3" xfId="287"/>
    <cellStyle name="Normal 11 5" xfId="79"/>
    <cellStyle name="Normal 11 6" xfId="159"/>
    <cellStyle name="Normal 11 7" xfId="248"/>
    <cellStyle name="Normal 12" xfId="27"/>
    <cellStyle name="Normal 12 2" xfId="65"/>
    <cellStyle name="Normal 12 2 2" xfId="135"/>
    <cellStyle name="Normal 12 2 2 2" xfId="211"/>
    <cellStyle name="Normal 12 2 2 3" xfId="300"/>
    <cellStyle name="Normal 12 2 3" xfId="92"/>
    <cellStyle name="Normal 12 2 4" xfId="172"/>
    <cellStyle name="Normal 12 2 5" xfId="261"/>
    <cellStyle name="Normal 12 3" xfId="104"/>
    <cellStyle name="Normal 12 3 2" xfId="147"/>
    <cellStyle name="Normal 12 3 2 2" xfId="223"/>
    <cellStyle name="Normal 12 3 2 3" xfId="312"/>
    <cellStyle name="Normal 12 3 3" xfId="184"/>
    <cellStyle name="Normal 12 3 4" xfId="273"/>
    <cellStyle name="Normal 12 4" xfId="122"/>
    <cellStyle name="Normal 12 4 2" xfId="199"/>
    <cellStyle name="Normal 12 4 3" xfId="288"/>
    <cellStyle name="Normal 12 5" xfId="80"/>
    <cellStyle name="Normal 12 6" xfId="160"/>
    <cellStyle name="Normal 12 7" xfId="249"/>
    <cellStyle name="Normal 13" xfId="26"/>
    <cellStyle name="Normal 13 2" xfId="31"/>
    <cellStyle name="Normal 13 2 2" xfId="69"/>
    <cellStyle name="Normal 13 2 2 2" xfId="150"/>
    <cellStyle name="Normal 13 2 2 2 2" xfId="226"/>
    <cellStyle name="Normal 13 2 2 2 3" xfId="315"/>
    <cellStyle name="Normal 13 2 2 3" xfId="107"/>
    <cellStyle name="Normal 13 2 2 4" xfId="187"/>
    <cellStyle name="Normal 13 2 2 5" xfId="276"/>
    <cellStyle name="Normal 13 2 3" xfId="50"/>
    <cellStyle name="Normal 13 2 3 2" xfId="136"/>
    <cellStyle name="Normal 13 2 3 3" xfId="212"/>
    <cellStyle name="Normal 13 2 3 4" xfId="301"/>
    <cellStyle name="Normal 13 2 4" xfId="93"/>
    <cellStyle name="Normal 13 2 5" xfId="173"/>
    <cellStyle name="Normal 13 2 6" xfId="262"/>
    <cellStyle name="Normal 13 3" xfId="64"/>
    <cellStyle name="Normal 13 3 2" xfId="146"/>
    <cellStyle name="Normal 13 3 2 2" xfId="222"/>
    <cellStyle name="Normal 13 3 2 3" xfId="311"/>
    <cellStyle name="Normal 13 3 3" xfId="103"/>
    <cellStyle name="Normal 13 3 4" xfId="183"/>
    <cellStyle name="Normal 13 3 5" xfId="272"/>
    <cellStyle name="Normal 13 4" xfId="46"/>
    <cellStyle name="Normal 13 4 2" xfId="123"/>
    <cellStyle name="Normal 13 4 3" xfId="200"/>
    <cellStyle name="Normal 13 4 4" xfId="289"/>
    <cellStyle name="Normal 13 5" xfId="81"/>
    <cellStyle name="Normal 13 6" xfId="161"/>
    <cellStyle name="Normal 13 7" xfId="250"/>
    <cellStyle name="Normal 14" xfId="12"/>
    <cellStyle name="Normal 14 2" xfId="94"/>
    <cellStyle name="Normal 14 2 2" xfId="137"/>
    <cellStyle name="Normal 14 2 2 2" xfId="213"/>
    <cellStyle name="Normal 14 2 2 3" xfId="302"/>
    <cellStyle name="Normal 14 2 3" xfId="174"/>
    <cellStyle name="Normal 14 2 4" xfId="263"/>
    <cellStyle name="Normal 14 3" xfId="124"/>
    <cellStyle name="Normal 14 3 2" xfId="201"/>
    <cellStyle name="Normal 14 3 3" xfId="290"/>
    <cellStyle name="Normal 14 4" xfId="82"/>
    <cellStyle name="Normal 14 5" xfId="162"/>
    <cellStyle name="Normal 14 6" xfId="251"/>
    <cellStyle name="Normal 15" xfId="9"/>
    <cellStyle name="Normal 16" xfId="10"/>
    <cellStyle name="Normal 16 2" xfId="52"/>
    <cellStyle name="Normal 16 2 2" xfId="125"/>
    <cellStyle name="Normal 16 2 3" xfId="202"/>
    <cellStyle name="Normal 16 2 4" xfId="291"/>
    <cellStyle name="Normal 16 3" xfId="83"/>
    <cellStyle name="Normal 16 4" xfId="163"/>
    <cellStyle name="Normal 16 5" xfId="252"/>
    <cellStyle name="Normal 17" xfId="7"/>
    <cellStyle name="Normal 17 2" xfId="108"/>
    <cellStyle name="Normal 17 3" xfId="188"/>
    <cellStyle name="Normal 17 4" xfId="277"/>
    <cellStyle name="Normal 18" xfId="8"/>
    <cellStyle name="Normal 19" xfId="68"/>
    <cellStyle name="Normal 19 2" xfId="227"/>
    <cellStyle name="Normal 19 3" xfId="316"/>
    <cellStyle name="Normal 2" xfId="3"/>
    <cellStyle name="Normal 2 2" xfId="51"/>
    <cellStyle name="Normal 2 2 2" xfId="126"/>
    <cellStyle name="Normal 2 2 2 2" xfId="203"/>
    <cellStyle name="Normal 2 2 2 3" xfId="292"/>
    <cellStyle name="Normal 2 2 3" xfId="84"/>
    <cellStyle name="Normal 2 2 4" xfId="164"/>
    <cellStyle name="Normal 2 2 5" xfId="253"/>
    <cellStyle name="Normal 2 3" xfId="20"/>
    <cellStyle name="Normal 2 3 2" xfId="58"/>
    <cellStyle name="Normal 2 3 3" xfId="41"/>
    <cellStyle name="Normal 2 4" xfId="35"/>
    <cellStyle name="Normal 2 4 2" xfId="138"/>
    <cellStyle name="Normal 2 4 2 2" xfId="214"/>
    <cellStyle name="Normal 2 4 2 3" xfId="303"/>
    <cellStyle name="Normal 2 4 3" xfId="95"/>
    <cellStyle name="Normal 2 4 4" xfId="175"/>
    <cellStyle name="Normal 2 4 5" xfId="264"/>
    <cellStyle name="Normal 2 5" xfId="13"/>
    <cellStyle name="Normal 2 5 2" xfId="111"/>
    <cellStyle name="Normal 2 5 3" xfId="190"/>
    <cellStyle name="Normal 2 5 4" xfId="279"/>
    <cellStyle name="Normal 2 6" xfId="72"/>
    <cellStyle name="Normal 2 6 2" xfId="229"/>
    <cellStyle name="Normal 2 7" xfId="152"/>
    <cellStyle name="Normal 2 8" xfId="241"/>
    <cellStyle name="Normal 20" xfId="230"/>
    <cellStyle name="Normal 20 2" xfId="318"/>
    <cellStyle name="Normal 21" xfId="232"/>
    <cellStyle name="Normal 21 2" xfId="320"/>
    <cellStyle name="Normal 22" xfId="233"/>
    <cellStyle name="Normal 22 2" xfId="321"/>
    <cellStyle name="Normal 23" xfId="235"/>
    <cellStyle name="Normal 23 2" xfId="323"/>
    <cellStyle name="Normal 24" xfId="236"/>
    <cellStyle name="Normal 24 2" xfId="324"/>
    <cellStyle name="Normal 25" xfId="237"/>
    <cellStyle name="Normal 25 2" xfId="325"/>
    <cellStyle name="Normal 26" xfId="238"/>
    <cellStyle name="Normal 26 2" xfId="326"/>
    <cellStyle name="Normal 27" xfId="240"/>
    <cellStyle name="Normal 27 2" xfId="328"/>
    <cellStyle name="Normal 28" xfId="151"/>
    <cellStyle name="Normal 3" xfId="4"/>
    <cellStyle name="Normal 3 2" xfId="115"/>
    <cellStyle name="Normal 3 3" xfId="113"/>
    <cellStyle name="Normal 3 3 2" xfId="192"/>
    <cellStyle name="Normal 3 3 3" xfId="281"/>
    <cellStyle name="Normal 4" xfId="16"/>
    <cellStyle name="Normal 4 2" xfId="54"/>
    <cellStyle name="Normal 4 2 2" xfId="127"/>
    <cellStyle name="Normal 4 2 2 2" xfId="204"/>
    <cellStyle name="Normal 4 2 2 3" xfId="293"/>
    <cellStyle name="Normal 4 2 3" xfId="85"/>
    <cellStyle name="Normal 4 2 4" xfId="165"/>
    <cellStyle name="Normal 4 2 5" xfId="254"/>
    <cellStyle name="Normal 4 3" xfId="37"/>
    <cellStyle name="Normal 4 3 2" xfId="139"/>
    <cellStyle name="Normal 4 3 2 2" xfId="215"/>
    <cellStyle name="Normal 4 3 2 3" xfId="304"/>
    <cellStyle name="Normal 4 3 3" xfId="96"/>
    <cellStyle name="Normal 4 3 4" xfId="176"/>
    <cellStyle name="Normal 4 3 5" xfId="265"/>
    <cellStyle name="Normal 4 4" xfId="114"/>
    <cellStyle name="Normal 4 4 2" xfId="193"/>
    <cellStyle name="Normal 4 4 3" xfId="282"/>
    <cellStyle name="Normal 4 5" xfId="73"/>
    <cellStyle name="Normal 4 6" xfId="153"/>
    <cellStyle name="Normal 4 7" xfId="242"/>
    <cellStyle name="Normal 5" xfId="17"/>
    <cellStyle name="Normal 5 2" xfId="55"/>
    <cellStyle name="Normal 5 3" xfId="38"/>
    <cellStyle name="Normal 5 4" xfId="110"/>
    <cellStyle name="Normal 6" xfId="19"/>
    <cellStyle name="Normal 6 2" xfId="29"/>
    <cellStyle name="Normal 6 2 2" xfId="67"/>
    <cellStyle name="Normal 6 2 2 2" xfId="149"/>
    <cellStyle name="Normal 6 2 2 2 2" xfId="225"/>
    <cellStyle name="Normal 6 2 2 2 3" xfId="314"/>
    <cellStyle name="Normal 6 2 2 3" xfId="106"/>
    <cellStyle name="Normal 6 2 2 4" xfId="186"/>
    <cellStyle name="Normal 6 2 2 5" xfId="275"/>
    <cellStyle name="Normal 6 2 3" xfId="49"/>
    <cellStyle name="Normal 6 2 3 2" xfId="128"/>
    <cellStyle name="Normal 6 2 3 3" xfId="205"/>
    <cellStyle name="Normal 6 2 3 4" xfId="294"/>
    <cellStyle name="Normal 6 2 4" xfId="86"/>
    <cellStyle name="Normal 6 2 5" xfId="166"/>
    <cellStyle name="Normal 6 2 6" xfId="255"/>
    <cellStyle name="Normal 6 3" xfId="33"/>
    <cellStyle name="Normal 6 3 2" xfId="57"/>
    <cellStyle name="Normal 6 3 2 2" xfId="140"/>
    <cellStyle name="Normal 6 3 2 3" xfId="216"/>
    <cellStyle name="Normal 6 3 2 4" xfId="305"/>
    <cellStyle name="Normal 6 3 3" xfId="97"/>
    <cellStyle name="Normal 6 3 4" xfId="177"/>
    <cellStyle name="Normal 6 3 5" xfId="266"/>
    <cellStyle name="Normal 6 4" xfId="39"/>
    <cellStyle name="Normal 6 4 2" xfId="117"/>
    <cellStyle name="Normal 6 4 3" xfId="194"/>
    <cellStyle name="Normal 6 4 4" xfId="283"/>
    <cellStyle name="Normal 6 5" xfId="74"/>
    <cellStyle name="Normal 6 6" xfId="154"/>
    <cellStyle name="Normal 6 7" xfId="243"/>
    <cellStyle name="Normal 7" xfId="5"/>
    <cellStyle name="Normal 7 2" xfId="59"/>
    <cellStyle name="Normal 7 2 2" xfId="130"/>
    <cellStyle name="Normal 7 2 2 2" xfId="206"/>
    <cellStyle name="Normal 7 2 2 3" xfId="295"/>
    <cellStyle name="Normal 7 2 3" xfId="87"/>
    <cellStyle name="Normal 7 2 4" xfId="167"/>
    <cellStyle name="Normal 7 2 5" xfId="256"/>
    <cellStyle name="Normal 7 3" xfId="42"/>
    <cellStyle name="Normal 7 3 2" xfId="141"/>
    <cellStyle name="Normal 7 3 2 2" xfId="217"/>
    <cellStyle name="Normal 7 3 2 3" xfId="306"/>
    <cellStyle name="Normal 7 3 3" xfId="98"/>
    <cellStyle name="Normal 7 3 4" xfId="178"/>
    <cellStyle name="Normal 7 3 5" xfId="267"/>
    <cellStyle name="Normal 7 4" xfId="21"/>
    <cellStyle name="Normal 7 4 2" xfId="112"/>
    <cellStyle name="Normal 7 4 3" xfId="191"/>
    <cellStyle name="Normal 7 4 4" xfId="280"/>
    <cellStyle name="Normal 7 5" xfId="75"/>
    <cellStyle name="Normal 7 6" xfId="155"/>
    <cellStyle name="Normal 7 7" xfId="244"/>
    <cellStyle name="Normal 8" xfId="22"/>
    <cellStyle name="Normal 8 2" xfId="60"/>
    <cellStyle name="Normal 8 2 2" xfId="132"/>
    <cellStyle name="Normal 8 2 2 2" xfId="208"/>
    <cellStyle name="Normal 8 2 2 3" xfId="297"/>
    <cellStyle name="Normal 8 2 3" xfId="89"/>
    <cellStyle name="Normal 8 2 4" xfId="169"/>
    <cellStyle name="Normal 8 2 5" xfId="258"/>
    <cellStyle name="Normal 8 3" xfId="44"/>
    <cellStyle name="Normal 8 3 2" xfId="142"/>
    <cellStyle name="Normal 8 3 2 2" xfId="218"/>
    <cellStyle name="Normal 8 3 2 3" xfId="307"/>
    <cellStyle name="Normal 8 3 3" xfId="99"/>
    <cellStyle name="Normal 8 3 4" xfId="179"/>
    <cellStyle name="Normal 8 3 5" xfId="268"/>
    <cellStyle name="Normal 8 4" xfId="119"/>
    <cellStyle name="Normal 8 4 2" xfId="196"/>
    <cellStyle name="Normal 8 4 3" xfId="285"/>
    <cellStyle name="Normal 8 5" xfId="77"/>
    <cellStyle name="Normal 8 6" xfId="157"/>
    <cellStyle name="Normal 8 7" xfId="246"/>
    <cellStyle name="Normal 9" xfId="6"/>
    <cellStyle name="Normal 9 2" xfId="61"/>
    <cellStyle name="Normal 9 2 2" xfId="131"/>
    <cellStyle name="Normal 9 2 2 2" xfId="207"/>
    <cellStyle name="Normal 9 2 2 3" xfId="296"/>
    <cellStyle name="Normal 9 2 3" xfId="88"/>
    <cellStyle name="Normal 9 2 4" xfId="168"/>
    <cellStyle name="Normal 9 2 5" xfId="257"/>
    <cellStyle name="Normal 9 3" xfId="43"/>
    <cellStyle name="Normal 9 3 2" xfId="143"/>
    <cellStyle name="Normal 9 3 2 2" xfId="219"/>
    <cellStyle name="Normal 9 3 2 3" xfId="308"/>
    <cellStyle name="Normal 9 3 3" xfId="100"/>
    <cellStyle name="Normal 9 3 4" xfId="180"/>
    <cellStyle name="Normal 9 3 5" xfId="269"/>
    <cellStyle name="Normal 9 4" xfId="23"/>
    <cellStyle name="Normal 9 4 2" xfId="118"/>
    <cellStyle name="Normal 9 4 3" xfId="195"/>
    <cellStyle name="Normal 9 4 4" xfId="284"/>
    <cellStyle name="Normal 9 5" xfId="76"/>
    <cellStyle name="Normal 9 6" xfId="156"/>
    <cellStyle name="Normal 9 7" xfId="245"/>
    <cellStyle name="Percent" xfId="2" builtinId="5"/>
    <cellStyle name="Percent 2" xfId="11"/>
    <cellStyle name="Percent 2 2" xfId="129"/>
    <cellStyle name="Percent 2 3" xfId="70"/>
    <cellStyle name="Percent 3" xfId="40"/>
  </cellStyles>
  <dxfs count="5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gray125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auto="1"/>
          <bgColor theme="8" tint="0.7999816888943144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darkGrid">
          <fgColor theme="9" tint="0.39991454817346722"/>
          <bgColor theme="7"/>
        </patternFill>
      </fill>
    </dxf>
    <dxf>
      <fill>
        <patternFill patternType="gray125"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754.405657986114" createdVersion="6" refreshedVersion="6" minRefreshableVersion="3" recordCount="15">
  <cacheSource type="worksheet">
    <worksheetSource ref="L1:M16" sheet="Control"/>
  </cacheSource>
  <cacheFields count="2">
    <cacheField name="Cửa hàng" numFmtId="0">
      <sharedItems count="15">
        <s v="SG01"/>
        <s v="SG02"/>
        <s v="SG03"/>
        <s v="SG04"/>
        <s v="SG05"/>
        <s v="SG06"/>
        <s v="SG07"/>
        <s v="SG08"/>
        <s v="SG09"/>
        <s v="SG10"/>
        <s v="SG11"/>
        <s v="SG12"/>
        <s v="SG13"/>
        <s v="SG14"/>
        <s v="SG15"/>
      </sharedItems>
    </cacheField>
    <cacheField name="Chec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3346786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F1:G3" firstHeaderRow="1" firstDataRow="1" firstDataCol="1"/>
  <pivotFields count="2">
    <pivotField axis="axisRow" showAll="0">
      <items count="16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Check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6"/>
  <sheetViews>
    <sheetView workbookViewId="0">
      <selection activeCell="B150" sqref="B150:E150"/>
    </sheetView>
  </sheetViews>
  <sheetFormatPr defaultRowHeight="14.5" x14ac:dyDescent="0.35"/>
  <cols>
    <col min="1" max="1" width="9.81640625" customWidth="1"/>
    <col min="2" max="4" width="10.54296875" customWidth="1"/>
    <col min="6" max="6" width="12.36328125" customWidth="1"/>
    <col min="7" max="7" width="12.08984375" customWidth="1"/>
    <col min="12" max="12" width="11.54296875" customWidth="1"/>
  </cols>
  <sheetData>
    <row r="1" spans="1:13" x14ac:dyDescent="0.35">
      <c r="A1" s="210" t="s">
        <v>388</v>
      </c>
      <c r="B1" s="210" t="s">
        <v>389</v>
      </c>
      <c r="C1" s="210" t="s">
        <v>401</v>
      </c>
      <c r="D1" s="210" t="s">
        <v>402</v>
      </c>
      <c r="F1" s="208" t="s">
        <v>386</v>
      </c>
      <c r="G1" t="s">
        <v>390</v>
      </c>
      <c r="L1" s="210" t="s">
        <v>388</v>
      </c>
      <c r="M1" s="210" t="s">
        <v>389</v>
      </c>
    </row>
    <row r="2" spans="1:13" x14ac:dyDescent="0.35">
      <c r="A2" s="207" t="s">
        <v>391</v>
      </c>
      <c r="B2" s="207" t="e">
        <f ca="1">C2*D2</f>
        <v>#REF!</v>
      </c>
      <c r="C2" s="207">
        <f>IFERROR(VLOOKUP(A2,$F$2:$G$14,2,0),0)</f>
        <v>1</v>
      </c>
      <c r="D2" s="207" t="e">
        <f ca="1">IF(INDIRECT(A2&amp;"!K10",TRUE)="",0,1)</f>
        <v>#REF!</v>
      </c>
      <c r="F2" s="209" t="s">
        <v>391</v>
      </c>
      <c r="G2" s="430">
        <v>1</v>
      </c>
      <c r="L2" s="207" t="s">
        <v>391</v>
      </c>
      <c r="M2" s="207">
        <v>1</v>
      </c>
    </row>
    <row r="3" spans="1:13" x14ac:dyDescent="0.35">
      <c r="A3" s="207" t="s">
        <v>392</v>
      </c>
      <c r="B3" s="207" t="e">
        <f t="shared" ref="B3:B11" ca="1" si="0">C3*D3</f>
        <v>#REF!</v>
      </c>
      <c r="C3" s="207">
        <f t="shared" ref="C3:C11" si="1">IFERROR(VLOOKUP(A3,$F$2:$G$14,2,0),0)</f>
        <v>0</v>
      </c>
      <c r="D3" s="207" t="e">
        <f t="shared" ref="D3:D11" ca="1" si="2">IF(INDIRECT(A3&amp;"!K10",TRUE)="",0,1)</f>
        <v>#REF!</v>
      </c>
      <c r="F3" s="209" t="s">
        <v>387</v>
      </c>
      <c r="G3" s="430">
        <v>1</v>
      </c>
      <c r="L3" s="207" t="s">
        <v>392</v>
      </c>
      <c r="M3" s="207">
        <v>1</v>
      </c>
    </row>
    <row r="4" spans="1:13" x14ac:dyDescent="0.35">
      <c r="A4" s="207" t="s">
        <v>393</v>
      </c>
      <c r="B4" s="207" t="e">
        <f t="shared" ca="1" si="0"/>
        <v>#REF!</v>
      </c>
      <c r="C4" s="207">
        <f t="shared" si="1"/>
        <v>0</v>
      </c>
      <c r="D4" s="207" t="e">
        <f t="shared" ca="1" si="2"/>
        <v>#REF!</v>
      </c>
      <c r="L4" s="207" t="s">
        <v>393</v>
      </c>
      <c r="M4" s="207">
        <v>1</v>
      </c>
    </row>
    <row r="5" spans="1:13" x14ac:dyDescent="0.35">
      <c r="A5" s="207" t="s">
        <v>394</v>
      </c>
      <c r="B5" s="207">
        <f t="shared" ca="1" si="0"/>
        <v>0</v>
      </c>
      <c r="C5" s="207">
        <f t="shared" si="1"/>
        <v>0</v>
      </c>
      <c r="D5" s="207">
        <f t="shared" ca="1" si="2"/>
        <v>0</v>
      </c>
      <c r="L5" s="207" t="s">
        <v>394</v>
      </c>
      <c r="M5" s="207">
        <v>1</v>
      </c>
    </row>
    <row r="6" spans="1:13" x14ac:dyDescent="0.35">
      <c r="A6" s="207" t="s">
        <v>395</v>
      </c>
      <c r="B6" s="207">
        <f t="shared" ca="1" si="0"/>
        <v>0</v>
      </c>
      <c r="C6" s="207">
        <f t="shared" si="1"/>
        <v>0</v>
      </c>
      <c r="D6" s="207">
        <f t="shared" ca="1" si="2"/>
        <v>0</v>
      </c>
      <c r="L6" s="207" t="s">
        <v>395</v>
      </c>
      <c r="M6" s="207">
        <v>1</v>
      </c>
    </row>
    <row r="7" spans="1:13" x14ac:dyDescent="0.35">
      <c r="A7" s="207" t="s">
        <v>396</v>
      </c>
      <c r="B7" s="207">
        <f t="shared" ca="1" si="0"/>
        <v>0</v>
      </c>
      <c r="C7" s="207">
        <f t="shared" si="1"/>
        <v>0</v>
      </c>
      <c r="D7" s="207">
        <f t="shared" ca="1" si="2"/>
        <v>0</v>
      </c>
      <c r="L7" s="207" t="s">
        <v>396</v>
      </c>
      <c r="M7" s="207">
        <v>1</v>
      </c>
    </row>
    <row r="8" spans="1:13" x14ac:dyDescent="0.35">
      <c r="A8" s="207" t="s">
        <v>397</v>
      </c>
      <c r="B8" s="207">
        <f t="shared" ca="1" si="0"/>
        <v>0</v>
      </c>
      <c r="C8" s="207">
        <f t="shared" si="1"/>
        <v>0</v>
      </c>
      <c r="D8" s="207">
        <f t="shared" ca="1" si="2"/>
        <v>0</v>
      </c>
      <c r="L8" s="207" t="s">
        <v>397</v>
      </c>
      <c r="M8" s="207">
        <v>1</v>
      </c>
    </row>
    <row r="9" spans="1:13" x14ac:dyDescent="0.35">
      <c r="A9" s="207" t="s">
        <v>398</v>
      </c>
      <c r="B9" s="207">
        <f t="shared" ca="1" si="0"/>
        <v>0</v>
      </c>
      <c r="C9" s="207">
        <f t="shared" si="1"/>
        <v>0</v>
      </c>
      <c r="D9" s="207">
        <f t="shared" ca="1" si="2"/>
        <v>0</v>
      </c>
      <c r="L9" s="207" t="s">
        <v>398</v>
      </c>
      <c r="M9" s="207">
        <v>1</v>
      </c>
    </row>
    <row r="10" spans="1:13" x14ac:dyDescent="0.35">
      <c r="A10" s="207" t="s">
        <v>399</v>
      </c>
      <c r="B10" s="207">
        <f t="shared" ca="1" si="0"/>
        <v>0</v>
      </c>
      <c r="C10" s="207">
        <f t="shared" si="1"/>
        <v>0</v>
      </c>
      <c r="D10" s="207">
        <f t="shared" ca="1" si="2"/>
        <v>0</v>
      </c>
      <c r="L10" s="207" t="s">
        <v>399</v>
      </c>
      <c r="M10" s="207">
        <v>1</v>
      </c>
    </row>
    <row r="11" spans="1:13" x14ac:dyDescent="0.35">
      <c r="A11" s="207" t="s">
        <v>385</v>
      </c>
      <c r="B11" s="207">
        <f t="shared" ca="1" si="0"/>
        <v>0</v>
      </c>
      <c r="C11" s="207">
        <f t="shared" si="1"/>
        <v>0</v>
      </c>
      <c r="D11" s="207">
        <f t="shared" ca="1" si="2"/>
        <v>0</v>
      </c>
      <c r="L11" s="207" t="s">
        <v>385</v>
      </c>
      <c r="M11" s="207">
        <v>1</v>
      </c>
    </row>
    <row r="12" spans="1:13" x14ac:dyDescent="0.35">
      <c r="A12" s="207" t="s">
        <v>412</v>
      </c>
      <c r="B12" s="207">
        <f t="shared" ref="B12:B13" ca="1" si="3">C12*D12</f>
        <v>0</v>
      </c>
      <c r="C12" s="207">
        <f t="shared" ref="C12:C13" si="4">IFERROR(VLOOKUP(A12,$F$2:$G$14,2,0),0)</f>
        <v>0</v>
      </c>
      <c r="D12" s="207">
        <f t="shared" ref="D12:D13" ca="1" si="5">IF(INDIRECT(A12&amp;"!K10",TRUE)="",0,1)</f>
        <v>0</v>
      </c>
      <c r="L12" s="207" t="s">
        <v>412</v>
      </c>
      <c r="M12" s="207">
        <v>1</v>
      </c>
    </row>
    <row r="13" spans="1:13" x14ac:dyDescent="0.35">
      <c r="A13" s="207" t="s">
        <v>413</v>
      </c>
      <c r="B13" s="207">
        <f t="shared" ca="1" si="3"/>
        <v>0</v>
      </c>
      <c r="C13" s="207">
        <f t="shared" si="4"/>
        <v>0</v>
      </c>
      <c r="D13" s="207">
        <f t="shared" ca="1" si="5"/>
        <v>0</v>
      </c>
      <c r="L13" s="207" t="s">
        <v>413</v>
      </c>
      <c r="M13" s="207">
        <v>1</v>
      </c>
    </row>
    <row r="14" spans="1:13" x14ac:dyDescent="0.35">
      <c r="A14" s="207" t="s">
        <v>414</v>
      </c>
      <c r="B14" s="207">
        <f t="shared" ref="B14:B16" ca="1" si="6">C14*D14</f>
        <v>0</v>
      </c>
      <c r="C14" s="207">
        <f t="shared" ref="C14:C16" si="7">IFERROR(VLOOKUP(A14,$F$2:$G$14,2,0),0)</f>
        <v>0</v>
      </c>
      <c r="D14" s="207">
        <f t="shared" ref="D14:D16" ca="1" si="8">IF(INDIRECT(A14&amp;"!K10",TRUE)="",0,1)</f>
        <v>0</v>
      </c>
      <c r="L14" s="207" t="s">
        <v>414</v>
      </c>
      <c r="M14" s="207">
        <v>1</v>
      </c>
    </row>
    <row r="15" spans="1:13" x14ac:dyDescent="0.35">
      <c r="A15" s="207" t="s">
        <v>415</v>
      </c>
      <c r="B15" s="207">
        <f t="shared" ca="1" si="6"/>
        <v>0</v>
      </c>
      <c r="C15" s="207">
        <f t="shared" si="7"/>
        <v>0</v>
      </c>
      <c r="D15" s="207">
        <f t="shared" ca="1" si="8"/>
        <v>0</v>
      </c>
      <c r="L15" s="207" t="s">
        <v>415</v>
      </c>
      <c r="M15" s="207">
        <v>1</v>
      </c>
    </row>
    <row r="16" spans="1:13" x14ac:dyDescent="0.35">
      <c r="A16" s="207" t="s">
        <v>416</v>
      </c>
      <c r="B16" s="207">
        <f t="shared" ca="1" si="6"/>
        <v>0</v>
      </c>
      <c r="C16" s="207">
        <f t="shared" si="7"/>
        <v>0</v>
      </c>
      <c r="D16" s="207">
        <f t="shared" ca="1" si="8"/>
        <v>0</v>
      </c>
      <c r="L16" s="207" t="s">
        <v>416</v>
      </c>
      <c r="M16" s="207">
        <v>1</v>
      </c>
    </row>
  </sheetData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95"/>
  <sheetViews>
    <sheetView tabSelected="1" zoomScale="70" zoomScaleNormal="70" workbookViewId="0">
      <pane ySplit="1" topLeftCell="A113" activePane="bottomLeft" state="frozen"/>
      <selection pane="bottomLeft" activeCell="C142" sqref="C142"/>
    </sheetView>
  </sheetViews>
  <sheetFormatPr defaultColWidth="12.54296875" defaultRowHeight="13" x14ac:dyDescent="0.3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16384" width="12.54296875" style="78"/>
  </cols>
  <sheetData>
    <row r="1" spans="1:7" ht="17.25" customHeight="1" x14ac:dyDescent="0.3">
      <c r="A1" s="260"/>
      <c r="B1" s="434" t="s">
        <v>669</v>
      </c>
      <c r="C1" s="433" t="s">
        <v>668</v>
      </c>
      <c r="D1" s="431" t="s">
        <v>670</v>
      </c>
      <c r="E1" s="432" t="s">
        <v>667</v>
      </c>
      <c r="F1" s="261" t="s">
        <v>5</v>
      </c>
      <c r="G1" s="415" t="s">
        <v>6</v>
      </c>
    </row>
    <row r="2" spans="1:7" ht="17.25" customHeight="1" x14ac:dyDescent="0.3">
      <c r="A2" s="303"/>
      <c r="B2" s="329" t="s">
        <v>422</v>
      </c>
      <c r="C2" s="330" t="s">
        <v>418</v>
      </c>
      <c r="D2" s="330"/>
      <c r="E2" s="331"/>
      <c r="F2" s="332"/>
      <c r="G2" s="331"/>
    </row>
    <row r="3" spans="1:7" ht="18" customHeight="1" x14ac:dyDescent="0.3">
      <c r="A3" s="216">
        <v>1</v>
      </c>
      <c r="B3" s="317" t="s">
        <v>438</v>
      </c>
      <c r="C3" s="215" t="s">
        <v>468</v>
      </c>
      <c r="D3" s="215">
        <v>1</v>
      </c>
      <c r="E3" s="318" t="s">
        <v>403</v>
      </c>
      <c r="F3" s="428">
        <v>15238.609090909091</v>
      </c>
      <c r="G3" s="320">
        <v>61084.337349397589</v>
      </c>
    </row>
    <row r="4" spans="1:7" ht="18" customHeight="1" x14ac:dyDescent="0.3">
      <c r="A4" s="216">
        <f>A3+1</f>
        <v>2</v>
      </c>
      <c r="B4" s="317" t="s">
        <v>521</v>
      </c>
      <c r="C4" s="215" t="s">
        <v>577</v>
      </c>
      <c r="D4" s="215">
        <v>1</v>
      </c>
      <c r="E4" s="318" t="s">
        <v>403</v>
      </c>
      <c r="F4" s="428">
        <v>34202.472972972973</v>
      </c>
      <c r="G4" s="320">
        <v>123125</v>
      </c>
    </row>
    <row r="5" spans="1:7" ht="18" customHeight="1" x14ac:dyDescent="0.3">
      <c r="A5" s="216">
        <f t="shared" ref="A5:A16" si="0">A4+1</f>
        <v>3</v>
      </c>
      <c r="B5" s="317" t="s">
        <v>522</v>
      </c>
      <c r="C5" s="215" t="s">
        <v>578</v>
      </c>
      <c r="D5" s="215">
        <v>1</v>
      </c>
      <c r="E5" s="318" t="s">
        <v>403</v>
      </c>
      <c r="F5" s="428">
        <v>27302.911764705881</v>
      </c>
      <c r="G5" s="320">
        <v>81421.052631578947</v>
      </c>
    </row>
    <row r="6" spans="1:7" ht="18" customHeight="1" x14ac:dyDescent="0.3">
      <c r="A6" s="216">
        <f t="shared" si="0"/>
        <v>4</v>
      </c>
      <c r="B6" s="317" t="s">
        <v>523</v>
      </c>
      <c r="C6" s="215" t="s">
        <v>579</v>
      </c>
      <c r="D6" s="215">
        <v>1</v>
      </c>
      <c r="E6" s="318" t="s">
        <v>403</v>
      </c>
      <c r="F6" s="428">
        <v>20205.796296296296</v>
      </c>
      <c r="G6" s="320">
        <v>81594.936708860754</v>
      </c>
    </row>
    <row r="7" spans="1:7" ht="18" customHeight="1" x14ac:dyDescent="0.3">
      <c r="A7" s="216">
        <f t="shared" si="0"/>
        <v>5</v>
      </c>
      <c r="B7" s="317" t="s">
        <v>524</v>
      </c>
      <c r="C7" s="215" t="s">
        <v>580</v>
      </c>
      <c r="D7" s="215">
        <v>1</v>
      </c>
      <c r="E7" s="318" t="s">
        <v>403</v>
      </c>
      <c r="F7" s="428">
        <v>7147.2</v>
      </c>
      <c r="G7" s="320">
        <v>51666.666666666664</v>
      </c>
    </row>
    <row r="8" spans="1:7" ht="18" customHeight="1" x14ac:dyDescent="0.3">
      <c r="A8" s="216">
        <f t="shared" si="0"/>
        <v>6</v>
      </c>
      <c r="B8" s="317" t="s">
        <v>525</v>
      </c>
      <c r="C8" s="215" t="s">
        <v>581</v>
      </c>
      <c r="D8" s="215">
        <v>1</v>
      </c>
      <c r="E8" s="318" t="s">
        <v>403</v>
      </c>
      <c r="F8" s="428">
        <v>11788</v>
      </c>
      <c r="G8" s="320">
        <v>39000</v>
      </c>
    </row>
    <row r="9" spans="1:7" ht="18" customHeight="1" x14ac:dyDescent="0.3">
      <c r="A9" s="216">
        <f t="shared" si="0"/>
        <v>7</v>
      </c>
      <c r="B9" s="317" t="s">
        <v>526</v>
      </c>
      <c r="C9" s="215" t="s">
        <v>582</v>
      </c>
      <c r="D9" s="215">
        <v>1</v>
      </c>
      <c r="E9" s="318" t="s">
        <v>403</v>
      </c>
      <c r="F9" s="428">
        <v>13625.134146341463</v>
      </c>
      <c r="G9" s="320">
        <v>50694.444444444445</v>
      </c>
    </row>
    <row r="10" spans="1:7" ht="18" customHeight="1" x14ac:dyDescent="0.3">
      <c r="A10" s="216">
        <f t="shared" si="0"/>
        <v>8</v>
      </c>
      <c r="B10" s="317" t="s">
        <v>527</v>
      </c>
      <c r="C10" s="215" t="s">
        <v>583</v>
      </c>
      <c r="D10" s="215">
        <v>1</v>
      </c>
      <c r="E10" s="318" t="s">
        <v>403</v>
      </c>
      <c r="F10" s="428">
        <v>40059.545454545456</v>
      </c>
      <c r="G10" s="320">
        <v>120000</v>
      </c>
    </row>
    <row r="11" spans="1:7" ht="18" customHeight="1" x14ac:dyDescent="0.3">
      <c r="A11" s="216">
        <f t="shared" si="0"/>
        <v>9</v>
      </c>
      <c r="B11" s="317" t="s">
        <v>528</v>
      </c>
      <c r="C11" s="215" t="s">
        <v>584</v>
      </c>
      <c r="D11" s="215">
        <v>1</v>
      </c>
      <c r="E11" s="318" t="s">
        <v>403</v>
      </c>
      <c r="F11" s="428">
        <v>17475.01923076923</v>
      </c>
      <c r="G11" s="320">
        <v>70833.333333333328</v>
      </c>
    </row>
    <row r="12" spans="1:7" ht="18" customHeight="1" x14ac:dyDescent="0.3">
      <c r="A12" s="216">
        <f t="shared" si="0"/>
        <v>10</v>
      </c>
      <c r="B12" s="317" t="s">
        <v>529</v>
      </c>
      <c r="C12" s="215" t="s">
        <v>585</v>
      </c>
      <c r="D12" s="215">
        <v>1</v>
      </c>
      <c r="E12" s="318" t="s">
        <v>403</v>
      </c>
      <c r="F12" s="428">
        <v>40652.858823529408</v>
      </c>
      <c r="G12" s="320">
        <v>121875</v>
      </c>
    </row>
    <row r="13" spans="1:7" ht="18" customHeight="1" x14ac:dyDescent="0.3">
      <c r="A13" s="216">
        <f t="shared" si="0"/>
        <v>11</v>
      </c>
      <c r="B13" s="317" t="s">
        <v>530</v>
      </c>
      <c r="C13" s="215" t="s">
        <v>586</v>
      </c>
      <c r="D13" s="215">
        <v>1</v>
      </c>
      <c r="E13" s="318" t="s">
        <v>403</v>
      </c>
      <c r="F13" s="428">
        <v>27727.08695652174</v>
      </c>
      <c r="G13" s="320">
        <v>106791.04477611941</v>
      </c>
    </row>
    <row r="14" spans="1:7" ht="18" customHeight="1" x14ac:dyDescent="0.3">
      <c r="A14" s="216">
        <f t="shared" si="0"/>
        <v>12</v>
      </c>
      <c r="B14" s="317" t="s">
        <v>531</v>
      </c>
      <c r="C14" s="215" t="s">
        <v>587</v>
      </c>
      <c r="D14" s="215">
        <v>1</v>
      </c>
      <c r="E14" s="318" t="s">
        <v>403</v>
      </c>
      <c r="F14" s="428">
        <v>34897.762711864409</v>
      </c>
      <c r="G14" s="320">
        <v>101666.66666666667</v>
      </c>
    </row>
    <row r="15" spans="1:7" ht="18" customHeight="1" x14ac:dyDescent="0.3">
      <c r="A15" s="216">
        <f t="shared" si="0"/>
        <v>13</v>
      </c>
      <c r="B15" s="317" t="s">
        <v>532</v>
      </c>
      <c r="C15" s="215" t="s">
        <v>588</v>
      </c>
      <c r="D15" s="215">
        <v>1</v>
      </c>
      <c r="E15" s="318" t="s">
        <v>403</v>
      </c>
      <c r="F15" s="428"/>
      <c r="G15" s="320">
        <v>95000</v>
      </c>
    </row>
    <row r="16" spans="1:7" ht="18" customHeight="1" x14ac:dyDescent="0.3">
      <c r="A16" s="216">
        <f t="shared" si="0"/>
        <v>14</v>
      </c>
      <c r="B16" s="317" t="s">
        <v>533</v>
      </c>
      <c r="C16" s="215" t="s">
        <v>509</v>
      </c>
      <c r="D16" s="215">
        <v>1</v>
      </c>
      <c r="E16" s="318" t="s">
        <v>403</v>
      </c>
      <c r="F16" s="428">
        <v>21325.77108433735</v>
      </c>
      <c r="G16" s="320">
        <v>70426.829268292684</v>
      </c>
    </row>
    <row r="17" spans="1:7" ht="18" customHeight="1" x14ac:dyDescent="0.3">
      <c r="A17" s="303"/>
      <c r="B17" s="329" t="s">
        <v>423</v>
      </c>
      <c r="C17" s="330" t="s">
        <v>424</v>
      </c>
      <c r="D17" s="215">
        <v>1</v>
      </c>
      <c r="E17" s="330"/>
      <c r="F17" s="330"/>
      <c r="G17" s="331"/>
    </row>
    <row r="18" spans="1:7" ht="17.25" customHeight="1" x14ac:dyDescent="0.3">
      <c r="A18" s="216">
        <v>1</v>
      </c>
      <c r="B18" s="317" t="s">
        <v>534</v>
      </c>
      <c r="C18" s="215" t="s">
        <v>469</v>
      </c>
      <c r="D18" s="215">
        <v>1</v>
      </c>
      <c r="E18" s="318" t="s">
        <v>403</v>
      </c>
      <c r="F18" s="428">
        <v>2000.0443349753696</v>
      </c>
      <c r="G18" s="320">
        <v>15333.333333333334</v>
      </c>
    </row>
    <row r="19" spans="1:7" ht="17.25" customHeight="1" x14ac:dyDescent="0.3">
      <c r="A19" s="216">
        <f>A18+1</f>
        <v>2</v>
      </c>
      <c r="B19" s="317" t="s">
        <v>535</v>
      </c>
      <c r="C19" s="215" t="s">
        <v>470</v>
      </c>
      <c r="D19" s="215">
        <v>1</v>
      </c>
      <c r="E19" s="318" t="s">
        <v>403</v>
      </c>
      <c r="F19" s="428">
        <v>2662.3818181818183</v>
      </c>
      <c r="G19" s="320">
        <v>15489.130434782608</v>
      </c>
    </row>
    <row r="20" spans="1:7" ht="17.25" customHeight="1" x14ac:dyDescent="0.3">
      <c r="A20" s="216">
        <f t="shared" ref="A20:A26" si="1">A19+1</f>
        <v>3</v>
      </c>
      <c r="B20" s="317" t="s">
        <v>536</v>
      </c>
      <c r="C20" s="215" t="s">
        <v>471</v>
      </c>
      <c r="D20" s="215">
        <v>1</v>
      </c>
      <c r="E20" s="318" t="s">
        <v>403</v>
      </c>
      <c r="F20" s="428">
        <v>4689.568181818182</v>
      </c>
      <c r="G20" s="320">
        <v>15108.108108108108</v>
      </c>
    </row>
    <row r="21" spans="1:7" ht="17.25" customHeight="1" x14ac:dyDescent="0.3">
      <c r="A21" s="216">
        <f t="shared" si="1"/>
        <v>4</v>
      </c>
      <c r="B21" s="317" t="s">
        <v>537</v>
      </c>
      <c r="C21" s="215" t="s">
        <v>472</v>
      </c>
      <c r="D21" s="215">
        <v>1</v>
      </c>
      <c r="E21" s="318" t="s">
        <v>403</v>
      </c>
      <c r="F21" s="428">
        <v>2990.0410958904108</v>
      </c>
      <c r="G21" s="320">
        <v>15115.942028985508</v>
      </c>
    </row>
    <row r="22" spans="1:7" ht="17.25" customHeight="1" x14ac:dyDescent="0.3">
      <c r="A22" s="216">
        <f t="shared" si="1"/>
        <v>5</v>
      </c>
      <c r="B22" s="317" t="s">
        <v>538</v>
      </c>
      <c r="C22" s="215" t="s">
        <v>473</v>
      </c>
      <c r="D22" s="215">
        <v>1</v>
      </c>
      <c r="E22" s="318" t="s">
        <v>403</v>
      </c>
      <c r="F22" s="428">
        <v>3098</v>
      </c>
      <c r="G22" s="320">
        <v>15222.222222222223</v>
      </c>
    </row>
    <row r="23" spans="1:7" s="142" customFormat="1" ht="17.25" customHeight="1" x14ac:dyDescent="0.3">
      <c r="A23" s="216">
        <f t="shared" si="1"/>
        <v>6</v>
      </c>
      <c r="B23" s="317" t="s">
        <v>539</v>
      </c>
      <c r="C23" s="215" t="s">
        <v>474</v>
      </c>
      <c r="D23" s="215">
        <v>1</v>
      </c>
      <c r="E23" s="318" t="s">
        <v>403</v>
      </c>
      <c r="F23" s="428">
        <v>3284.8461538461538</v>
      </c>
      <c r="G23" s="320">
        <v>15285.714285714286</v>
      </c>
    </row>
    <row r="24" spans="1:7" ht="17.25" customHeight="1" x14ac:dyDescent="0.3">
      <c r="A24" s="216">
        <f t="shared" si="1"/>
        <v>7</v>
      </c>
      <c r="B24" s="317" t="s">
        <v>540</v>
      </c>
      <c r="C24" s="215" t="s">
        <v>475</v>
      </c>
      <c r="D24" s="215">
        <v>1</v>
      </c>
      <c r="E24" s="318" t="s">
        <v>403</v>
      </c>
      <c r="F24" s="428">
        <v>3756.1125000000002</v>
      </c>
      <c r="G24" s="320">
        <v>15336.842105263158</v>
      </c>
    </row>
    <row r="25" spans="1:7" ht="17.25" customHeight="1" x14ac:dyDescent="0.3">
      <c r="A25" s="216">
        <f t="shared" si="1"/>
        <v>8</v>
      </c>
      <c r="B25" s="317" t="s">
        <v>541</v>
      </c>
      <c r="C25" s="215" t="s">
        <v>476</v>
      </c>
      <c r="D25" s="215">
        <v>1</v>
      </c>
      <c r="E25" s="318" t="s">
        <v>403</v>
      </c>
      <c r="F25" s="428">
        <v>13861.186991869919</v>
      </c>
      <c r="G25" s="320">
        <v>30104</v>
      </c>
    </row>
    <row r="26" spans="1:7" ht="17.25" customHeight="1" x14ac:dyDescent="0.3">
      <c r="A26" s="216">
        <f t="shared" si="1"/>
        <v>9</v>
      </c>
      <c r="B26" s="317" t="s">
        <v>542</v>
      </c>
      <c r="C26" s="215" t="s">
        <v>589</v>
      </c>
      <c r="D26" s="215">
        <v>1</v>
      </c>
      <c r="E26" s="318" t="s">
        <v>403</v>
      </c>
      <c r="F26" s="428">
        <v>3234.7407407407409</v>
      </c>
      <c r="G26" s="320">
        <v>15480</v>
      </c>
    </row>
    <row r="27" spans="1:7" ht="17.25" customHeight="1" x14ac:dyDescent="0.3">
      <c r="A27" s="303"/>
      <c r="B27" s="329" t="s">
        <v>425</v>
      </c>
      <c r="C27" s="334" t="s">
        <v>426</v>
      </c>
      <c r="D27" s="215">
        <v>1</v>
      </c>
      <c r="E27" s="334"/>
      <c r="F27" s="334"/>
      <c r="G27" s="339"/>
    </row>
    <row r="28" spans="1:7" ht="17.25" customHeight="1" x14ac:dyDescent="0.3">
      <c r="A28" s="216">
        <f t="shared" ref="A28:A50" si="2">A27+1</f>
        <v>1</v>
      </c>
      <c r="B28" s="317" t="s">
        <v>543</v>
      </c>
      <c r="C28" s="215" t="s">
        <v>590</v>
      </c>
      <c r="D28" s="215">
        <v>1</v>
      </c>
      <c r="E28" s="318" t="s">
        <v>403</v>
      </c>
      <c r="F28" s="428">
        <v>49610.052631578947</v>
      </c>
      <c r="G28" s="320">
        <v>168260.86956521738</v>
      </c>
    </row>
    <row r="29" spans="1:7" ht="17.25" customHeight="1" x14ac:dyDescent="0.3">
      <c r="A29" s="216">
        <f t="shared" si="2"/>
        <v>2</v>
      </c>
      <c r="B29" s="317" t="s">
        <v>544</v>
      </c>
      <c r="C29" s="215" t="s">
        <v>591</v>
      </c>
      <c r="D29" s="215">
        <v>1</v>
      </c>
      <c r="E29" s="318" t="s">
        <v>403</v>
      </c>
      <c r="F29" s="428">
        <v>45794</v>
      </c>
      <c r="G29" s="320">
        <v>153173.07692307694</v>
      </c>
    </row>
    <row r="30" spans="1:7" ht="17.25" customHeight="1" x14ac:dyDescent="0.3">
      <c r="A30" s="216">
        <f t="shared" si="2"/>
        <v>3</v>
      </c>
      <c r="B30" s="317" t="s">
        <v>545</v>
      </c>
      <c r="C30" s="215" t="s">
        <v>592</v>
      </c>
      <c r="D30" s="215">
        <v>1</v>
      </c>
      <c r="E30" s="318" t="s">
        <v>403</v>
      </c>
      <c r="F30" s="428">
        <v>9836.6323529411766</v>
      </c>
      <c r="G30" s="320">
        <v>25407.766990291264</v>
      </c>
    </row>
    <row r="31" spans="1:7" ht="17.25" customHeight="1" x14ac:dyDescent="0.3">
      <c r="A31" s="216">
        <f t="shared" si="2"/>
        <v>4</v>
      </c>
      <c r="B31" s="317" t="s">
        <v>546</v>
      </c>
      <c r="C31" s="215" t="s">
        <v>593</v>
      </c>
      <c r="D31" s="215">
        <v>1</v>
      </c>
      <c r="E31" s="318" t="s">
        <v>403</v>
      </c>
      <c r="F31" s="428">
        <v>9632.9712230215828</v>
      </c>
      <c r="G31" s="320">
        <v>25220.930232558141</v>
      </c>
    </row>
    <row r="32" spans="1:7" ht="17.25" customHeight="1" x14ac:dyDescent="0.3">
      <c r="A32" s="216">
        <f t="shared" si="2"/>
        <v>5</v>
      </c>
      <c r="B32" s="317" t="s">
        <v>547</v>
      </c>
      <c r="C32" s="215" t="s">
        <v>594</v>
      </c>
      <c r="D32" s="215">
        <v>1</v>
      </c>
      <c r="E32" s="318" t="s">
        <v>403</v>
      </c>
      <c r="F32" s="428">
        <v>12274.173611111111</v>
      </c>
      <c r="G32" s="320">
        <v>35820.51282051282</v>
      </c>
    </row>
    <row r="33" spans="1:7" ht="17.25" customHeight="1" x14ac:dyDescent="0.3">
      <c r="A33" s="216">
        <f t="shared" si="2"/>
        <v>6</v>
      </c>
      <c r="B33" s="317" t="s">
        <v>548</v>
      </c>
      <c r="C33" s="215" t="s">
        <v>595</v>
      </c>
      <c r="D33" s="215">
        <v>1</v>
      </c>
      <c r="E33" s="318" t="s">
        <v>403</v>
      </c>
      <c r="F33" s="428">
        <v>12070.49593495935</v>
      </c>
      <c r="G33" s="320">
        <v>35900</v>
      </c>
    </row>
    <row r="34" spans="1:7" ht="17.25" customHeight="1" x14ac:dyDescent="0.3">
      <c r="A34" s="216">
        <f t="shared" si="2"/>
        <v>7</v>
      </c>
      <c r="B34" s="317" t="s">
        <v>549</v>
      </c>
      <c r="C34" s="215" t="s">
        <v>596</v>
      </c>
      <c r="D34" s="215">
        <v>1</v>
      </c>
      <c r="E34" s="318" t="s">
        <v>403</v>
      </c>
      <c r="F34" s="428">
        <v>11384.212121212122</v>
      </c>
      <c r="G34" s="320">
        <v>29617.647058823528</v>
      </c>
    </row>
    <row r="35" spans="1:7" ht="17.25" customHeight="1" x14ac:dyDescent="0.3">
      <c r="A35" s="216">
        <f t="shared" si="2"/>
        <v>8</v>
      </c>
      <c r="B35" s="317" t="s">
        <v>550</v>
      </c>
      <c r="C35" s="215" t="s">
        <v>597</v>
      </c>
      <c r="D35" s="215">
        <v>1</v>
      </c>
      <c r="E35" s="318" t="s">
        <v>403</v>
      </c>
      <c r="F35" s="428">
        <v>11180.544117647059</v>
      </c>
      <c r="G35" s="320">
        <v>30469.387755102041</v>
      </c>
    </row>
    <row r="36" spans="1:7" ht="17.25" customHeight="1" x14ac:dyDescent="0.3">
      <c r="A36" s="216">
        <f t="shared" si="2"/>
        <v>9</v>
      </c>
      <c r="B36" s="317" t="s">
        <v>551</v>
      </c>
      <c r="C36" s="215" t="s">
        <v>598</v>
      </c>
      <c r="D36" s="215">
        <v>1</v>
      </c>
      <c r="E36" s="318" t="s">
        <v>403</v>
      </c>
      <c r="F36" s="428">
        <v>9641.9312977099235</v>
      </c>
      <c r="G36" s="320">
        <v>30245.283018867925</v>
      </c>
    </row>
    <row r="37" spans="1:7" ht="17.25" customHeight="1" x14ac:dyDescent="0.3">
      <c r="A37" s="216">
        <f t="shared" si="2"/>
        <v>10</v>
      </c>
      <c r="B37" s="317" t="s">
        <v>552</v>
      </c>
      <c r="C37" s="215" t="s">
        <v>599</v>
      </c>
      <c r="D37" s="215">
        <v>1</v>
      </c>
      <c r="E37" s="318" t="s">
        <v>403</v>
      </c>
      <c r="F37" s="428">
        <v>9438.2857142857138</v>
      </c>
      <c r="G37" s="320">
        <v>29913.043478260868</v>
      </c>
    </row>
    <row r="38" spans="1:7" ht="17.25" customHeight="1" x14ac:dyDescent="0.3">
      <c r="A38" s="216">
        <f t="shared" si="2"/>
        <v>11</v>
      </c>
      <c r="B38" s="317" t="s">
        <v>553</v>
      </c>
      <c r="C38" s="215" t="s">
        <v>600</v>
      </c>
      <c r="D38" s="215">
        <v>1</v>
      </c>
      <c r="E38" s="318" t="s">
        <v>403</v>
      </c>
      <c r="F38" s="428">
        <v>11350.205479452055</v>
      </c>
      <c r="G38" s="320">
        <v>39654.545454545456</v>
      </c>
    </row>
    <row r="39" spans="1:7" ht="17.25" customHeight="1" x14ac:dyDescent="0.3">
      <c r="A39" s="216">
        <f t="shared" si="2"/>
        <v>12</v>
      </c>
      <c r="B39" s="317" t="s">
        <v>554</v>
      </c>
      <c r="C39" s="215" t="s">
        <v>601</v>
      </c>
      <c r="D39" s="215">
        <v>1</v>
      </c>
      <c r="E39" s="318" t="s">
        <v>403</v>
      </c>
      <c r="F39" s="428">
        <v>10284.223880597016</v>
      </c>
      <c r="G39" s="320">
        <v>39972.972972972973</v>
      </c>
    </row>
    <row r="40" spans="1:7" ht="17.25" customHeight="1" x14ac:dyDescent="0.3">
      <c r="A40" s="216">
        <f t="shared" si="2"/>
        <v>13</v>
      </c>
      <c r="B40" s="317" t="s">
        <v>555</v>
      </c>
      <c r="C40" s="215" t="s">
        <v>602</v>
      </c>
      <c r="D40" s="215">
        <v>1</v>
      </c>
      <c r="E40" s="318" t="s">
        <v>403</v>
      </c>
      <c r="F40" s="428">
        <v>15882.064516129032</v>
      </c>
      <c r="G40" s="320">
        <v>39296.296296296299</v>
      </c>
    </row>
    <row r="41" spans="1:7" ht="17.25" customHeight="1" x14ac:dyDescent="0.3">
      <c r="A41" s="216">
        <f t="shared" si="2"/>
        <v>14</v>
      </c>
      <c r="B41" s="317" t="s">
        <v>556</v>
      </c>
      <c r="C41" s="215" t="s">
        <v>603</v>
      </c>
      <c r="D41" s="215">
        <v>1</v>
      </c>
      <c r="E41" s="318" t="s">
        <v>403</v>
      </c>
      <c r="F41" s="428">
        <v>15678.566037735849</v>
      </c>
      <c r="G41" s="320">
        <v>40523.809523809527</v>
      </c>
    </row>
    <row r="42" spans="1:7" ht="17.25" customHeight="1" x14ac:dyDescent="0.3">
      <c r="A42" s="216">
        <f t="shared" si="2"/>
        <v>15</v>
      </c>
      <c r="B42" s="317" t="s">
        <v>557</v>
      </c>
      <c r="C42" s="215" t="s">
        <v>604</v>
      </c>
      <c r="D42" s="215">
        <v>1</v>
      </c>
      <c r="E42" s="318" t="s">
        <v>403</v>
      </c>
      <c r="F42" s="428">
        <v>5861.431818181818</v>
      </c>
      <c r="G42" s="320">
        <v>24576.923076923078</v>
      </c>
    </row>
    <row r="43" spans="1:7" ht="17.25" customHeight="1" x14ac:dyDescent="0.3">
      <c r="A43" s="216">
        <f t="shared" si="2"/>
        <v>16</v>
      </c>
      <c r="B43" s="317" t="s">
        <v>558</v>
      </c>
      <c r="C43" s="215" t="s">
        <v>605</v>
      </c>
      <c r="D43" s="215">
        <v>1</v>
      </c>
      <c r="E43" s="318" t="s">
        <v>403</v>
      </c>
      <c r="F43" s="428">
        <v>5657.8</v>
      </c>
      <c r="G43" s="320">
        <v>24714.285714285714</v>
      </c>
    </row>
    <row r="44" spans="1:7" ht="17.25" customHeight="1" x14ac:dyDescent="0.3">
      <c r="A44" s="216">
        <f t="shared" si="2"/>
        <v>17</v>
      </c>
      <c r="B44" s="317" t="s">
        <v>559</v>
      </c>
      <c r="C44" s="215" t="s">
        <v>642</v>
      </c>
      <c r="D44" s="215">
        <v>1</v>
      </c>
      <c r="E44" s="318" t="s">
        <v>403</v>
      </c>
      <c r="F44" s="428">
        <v>6515.6727272727276</v>
      </c>
      <c r="G44" s="320">
        <v>25132.075471698114</v>
      </c>
    </row>
    <row r="45" spans="1:7" ht="17.25" customHeight="1" x14ac:dyDescent="0.3">
      <c r="A45" s="216">
        <f t="shared" si="2"/>
        <v>18</v>
      </c>
      <c r="B45" s="317" t="s">
        <v>560</v>
      </c>
      <c r="C45" s="215" t="s">
        <v>606</v>
      </c>
      <c r="D45" s="215">
        <v>1</v>
      </c>
      <c r="E45" s="318" t="s">
        <v>403</v>
      </c>
      <c r="F45" s="428">
        <v>6311.9361702127662</v>
      </c>
      <c r="G45" s="320">
        <v>25025.641025641027</v>
      </c>
    </row>
    <row r="46" spans="1:7" ht="17.25" customHeight="1" x14ac:dyDescent="0.3">
      <c r="A46" s="216">
        <f t="shared" si="2"/>
        <v>19</v>
      </c>
      <c r="B46" s="317" t="s">
        <v>561</v>
      </c>
      <c r="C46" s="215" t="s">
        <v>607</v>
      </c>
      <c r="D46" s="215">
        <v>1</v>
      </c>
      <c r="E46" s="318" t="s">
        <v>403</v>
      </c>
      <c r="F46" s="428">
        <v>5978.3103448275861</v>
      </c>
      <c r="G46" s="320">
        <v>24151.515151515152</v>
      </c>
    </row>
    <row r="47" spans="1:7" ht="17.25" customHeight="1" x14ac:dyDescent="0.3">
      <c r="A47" s="216">
        <f t="shared" si="2"/>
        <v>20</v>
      </c>
      <c r="B47" s="317" t="s">
        <v>562</v>
      </c>
      <c r="C47" s="215" t="s">
        <v>608</v>
      </c>
      <c r="D47" s="215">
        <v>1</v>
      </c>
      <c r="E47" s="318" t="s">
        <v>403</v>
      </c>
      <c r="F47" s="428">
        <v>5774.347826086957</v>
      </c>
      <c r="G47" s="320">
        <v>25304.347826086956</v>
      </c>
    </row>
    <row r="48" spans="1:7" ht="17.25" customHeight="1" x14ac:dyDescent="0.3">
      <c r="A48" s="216">
        <f t="shared" si="2"/>
        <v>21</v>
      </c>
      <c r="B48" s="317" t="s">
        <v>563</v>
      </c>
      <c r="C48" s="215" t="s">
        <v>609</v>
      </c>
      <c r="D48" s="215">
        <v>1</v>
      </c>
      <c r="E48" s="318" t="s">
        <v>403</v>
      </c>
      <c r="F48" s="428">
        <v>3912.0617283950619</v>
      </c>
      <c r="G48" s="320">
        <v>29769.23076923077</v>
      </c>
    </row>
    <row r="49" spans="1:7" ht="17.25" customHeight="1" x14ac:dyDescent="0.3">
      <c r="A49" s="216">
        <f t="shared" si="2"/>
        <v>22</v>
      </c>
      <c r="B49" s="317" t="s">
        <v>564</v>
      </c>
      <c r="C49" s="215" t="s">
        <v>610</v>
      </c>
      <c r="D49" s="215">
        <v>1</v>
      </c>
      <c r="E49" s="318" t="s">
        <v>403</v>
      </c>
      <c r="F49" s="428">
        <v>13870.60606060606</v>
      </c>
      <c r="G49" s="320">
        <v>85857.142857142855</v>
      </c>
    </row>
    <row r="50" spans="1:7" ht="17.25" customHeight="1" x14ac:dyDescent="0.3">
      <c r="A50" s="216">
        <f t="shared" si="2"/>
        <v>23</v>
      </c>
      <c r="B50" s="317" t="s">
        <v>565</v>
      </c>
      <c r="C50" s="215" t="s">
        <v>611</v>
      </c>
      <c r="D50" s="215">
        <v>1</v>
      </c>
      <c r="E50" s="318" t="s">
        <v>403</v>
      </c>
      <c r="F50" s="428">
        <v>14359.820689655173</v>
      </c>
      <c r="G50" s="320">
        <v>80764.705882352937</v>
      </c>
    </row>
    <row r="51" spans="1:7" ht="17.25" customHeight="1" x14ac:dyDescent="0.3">
      <c r="A51" s="303"/>
      <c r="B51" s="329" t="s">
        <v>427</v>
      </c>
      <c r="C51" s="330" t="s">
        <v>428</v>
      </c>
      <c r="D51" s="215">
        <v>1</v>
      </c>
      <c r="E51" s="330"/>
      <c r="F51" s="330"/>
      <c r="G51" s="331"/>
    </row>
    <row r="52" spans="1:7" ht="17.25" customHeight="1" x14ac:dyDescent="0.3">
      <c r="A52" s="216">
        <f t="shared" ref="A52:A72" si="3">A51+1</f>
        <v>1</v>
      </c>
      <c r="B52" s="317" t="s">
        <v>442</v>
      </c>
      <c r="C52" s="215" t="s">
        <v>643</v>
      </c>
      <c r="D52" s="215">
        <v>1</v>
      </c>
      <c r="E52" s="318" t="s">
        <v>403</v>
      </c>
      <c r="F52" s="428">
        <v>172221.14563106795</v>
      </c>
      <c r="G52" s="320">
        <v>511796.11650485435</v>
      </c>
    </row>
    <row r="53" spans="1:7" ht="17.25" customHeight="1" x14ac:dyDescent="0.3">
      <c r="A53" s="216">
        <f t="shared" si="3"/>
        <v>2</v>
      </c>
      <c r="B53" s="317" t="s">
        <v>443</v>
      </c>
      <c r="C53" s="215" t="s">
        <v>477</v>
      </c>
      <c r="D53" s="215">
        <v>1</v>
      </c>
      <c r="E53" s="318" t="s">
        <v>403</v>
      </c>
      <c r="F53" s="428">
        <v>72787.68456375839</v>
      </c>
      <c r="G53" s="320">
        <v>208050.84745762713</v>
      </c>
    </row>
    <row r="54" spans="1:7" ht="17.25" customHeight="1" x14ac:dyDescent="0.3">
      <c r="A54" s="216">
        <f t="shared" si="3"/>
        <v>3</v>
      </c>
      <c r="B54" s="317" t="s">
        <v>444</v>
      </c>
      <c r="C54" s="215" t="s">
        <v>478</v>
      </c>
      <c r="D54" s="215">
        <v>1</v>
      </c>
      <c r="E54" s="318" t="s">
        <v>403</v>
      </c>
      <c r="F54" s="428">
        <v>60851.005617977527</v>
      </c>
      <c r="G54" s="320">
        <v>187804.42804428044</v>
      </c>
    </row>
    <row r="55" spans="1:7" ht="17.25" customHeight="1" x14ac:dyDescent="0.3">
      <c r="A55" s="216">
        <f t="shared" si="3"/>
        <v>4</v>
      </c>
      <c r="B55" s="317" t="s">
        <v>445</v>
      </c>
      <c r="C55" s="215" t="s">
        <v>479</v>
      </c>
      <c r="D55" s="215">
        <v>1</v>
      </c>
      <c r="E55" s="318" t="s">
        <v>403</v>
      </c>
      <c r="F55" s="428">
        <v>54833.034653465344</v>
      </c>
      <c r="G55" s="320">
        <v>167586.20689655171</v>
      </c>
    </row>
    <row r="56" spans="1:7" ht="17.25" customHeight="1" x14ac:dyDescent="0.3">
      <c r="A56" s="216">
        <f t="shared" si="3"/>
        <v>5</v>
      </c>
      <c r="B56" s="317" t="s">
        <v>446</v>
      </c>
      <c r="C56" s="215" t="s">
        <v>480</v>
      </c>
      <c r="D56" s="215">
        <v>1</v>
      </c>
      <c r="E56" s="318" t="s">
        <v>403</v>
      </c>
      <c r="F56" s="428">
        <v>46317.576763485478</v>
      </c>
      <c r="G56" s="320">
        <v>168251.23152709359</v>
      </c>
    </row>
    <row r="57" spans="1:7" ht="17.25" customHeight="1" x14ac:dyDescent="0.3">
      <c r="A57" s="216">
        <f t="shared" si="3"/>
        <v>6</v>
      </c>
      <c r="B57" s="317" t="s">
        <v>663</v>
      </c>
      <c r="C57" s="215" t="s">
        <v>665</v>
      </c>
      <c r="D57" s="215">
        <v>1</v>
      </c>
      <c r="E57" s="318" t="s">
        <v>403</v>
      </c>
      <c r="F57" s="428"/>
      <c r="G57" s="320">
        <v>155000</v>
      </c>
    </row>
    <row r="58" spans="1:7" ht="17.25" customHeight="1" x14ac:dyDescent="0.3">
      <c r="A58" s="216">
        <f t="shared" si="3"/>
        <v>7</v>
      </c>
      <c r="B58" s="317" t="s">
        <v>447</v>
      </c>
      <c r="C58" s="215" t="s">
        <v>481</v>
      </c>
      <c r="D58" s="215">
        <v>1</v>
      </c>
      <c r="E58" s="318" t="s">
        <v>403</v>
      </c>
      <c r="F58" s="428">
        <v>52609.250980392157</v>
      </c>
      <c r="G58" s="320">
        <v>147333.33333333334</v>
      </c>
    </row>
    <row r="59" spans="1:7" ht="17.25" customHeight="1" x14ac:dyDescent="0.3">
      <c r="A59" s="216">
        <f t="shared" si="3"/>
        <v>8</v>
      </c>
      <c r="B59" s="317" t="s">
        <v>448</v>
      </c>
      <c r="C59" s="215" t="s">
        <v>482</v>
      </c>
      <c r="D59" s="215">
        <v>1</v>
      </c>
      <c r="E59" s="318" t="s">
        <v>403</v>
      </c>
      <c r="F59" s="428">
        <v>52901.080717488789</v>
      </c>
      <c r="G59" s="320">
        <v>148036.80981595092</v>
      </c>
    </row>
    <row r="60" spans="1:7" ht="17.25" customHeight="1" x14ac:dyDescent="0.3">
      <c r="A60" s="216">
        <f t="shared" si="3"/>
        <v>9</v>
      </c>
      <c r="B60" s="317" t="s">
        <v>449</v>
      </c>
      <c r="C60" s="215" t="s">
        <v>483</v>
      </c>
      <c r="D60" s="215">
        <v>1</v>
      </c>
      <c r="E60" s="318" t="s">
        <v>403</v>
      </c>
      <c r="F60" s="428">
        <v>38015.491666666669</v>
      </c>
      <c r="G60" s="320">
        <v>111416.66666666667</v>
      </c>
    </row>
    <row r="61" spans="1:7" ht="17.25" customHeight="1" x14ac:dyDescent="0.3">
      <c r="A61" s="216">
        <f t="shared" si="3"/>
        <v>10</v>
      </c>
      <c r="B61" s="317" t="s">
        <v>451</v>
      </c>
      <c r="C61" s="215" t="s">
        <v>484</v>
      </c>
      <c r="D61" s="215">
        <v>1</v>
      </c>
      <c r="E61" s="318" t="s">
        <v>403</v>
      </c>
      <c r="F61" s="428"/>
      <c r="G61" s="320">
        <v>185000</v>
      </c>
    </row>
    <row r="62" spans="1:7" ht="17.25" customHeight="1" x14ac:dyDescent="0.3">
      <c r="A62" s="216">
        <f t="shared" si="3"/>
        <v>11</v>
      </c>
      <c r="B62" s="317" t="s">
        <v>499</v>
      </c>
      <c r="C62" s="215" t="s">
        <v>644</v>
      </c>
      <c r="D62" s="215">
        <v>1</v>
      </c>
      <c r="E62" s="318" t="s">
        <v>403</v>
      </c>
      <c r="F62" s="428">
        <v>172221.1573033708</v>
      </c>
      <c r="G62" s="320">
        <v>622309.09090909094</v>
      </c>
    </row>
    <row r="63" spans="1:7" ht="17.25" customHeight="1" x14ac:dyDescent="0.3">
      <c r="A63" s="216">
        <f t="shared" si="3"/>
        <v>12</v>
      </c>
      <c r="B63" s="317" t="s">
        <v>511</v>
      </c>
      <c r="C63" s="215" t="s">
        <v>517</v>
      </c>
      <c r="D63" s="215">
        <v>1</v>
      </c>
      <c r="E63" s="318" t="s">
        <v>403</v>
      </c>
      <c r="F63" s="428"/>
      <c r="G63" s="320">
        <v>295000</v>
      </c>
    </row>
    <row r="64" spans="1:7" ht="17.25" customHeight="1" x14ac:dyDescent="0.3">
      <c r="A64" s="216">
        <f t="shared" si="3"/>
        <v>13</v>
      </c>
      <c r="B64" s="317" t="s">
        <v>450</v>
      </c>
      <c r="C64" s="215" t="s">
        <v>645</v>
      </c>
      <c r="D64" s="215">
        <v>1</v>
      </c>
      <c r="E64" s="318" t="s">
        <v>403</v>
      </c>
      <c r="F64" s="428">
        <v>42556.128205128203</v>
      </c>
      <c r="G64" s="320">
        <v>122142.85714285714</v>
      </c>
    </row>
    <row r="65" spans="1:7" ht="17.25" customHeight="1" x14ac:dyDescent="0.3">
      <c r="A65" s="216">
        <f t="shared" si="3"/>
        <v>14</v>
      </c>
      <c r="B65" s="317" t="s">
        <v>512</v>
      </c>
      <c r="C65" s="215" t="s">
        <v>518</v>
      </c>
      <c r="D65" s="215">
        <v>1</v>
      </c>
      <c r="E65" s="318" t="s">
        <v>403</v>
      </c>
      <c r="F65" s="428">
        <v>64104.23134328358</v>
      </c>
      <c r="G65" s="320">
        <v>167727.27272727274</v>
      </c>
    </row>
    <row r="66" spans="1:7" s="142" customFormat="1" ht="17.25" customHeight="1" x14ac:dyDescent="0.3">
      <c r="A66" s="216">
        <f t="shared" si="3"/>
        <v>15</v>
      </c>
      <c r="B66" s="317" t="s">
        <v>513</v>
      </c>
      <c r="C66" s="215" t="s">
        <v>646</v>
      </c>
      <c r="D66" s="215">
        <v>1</v>
      </c>
      <c r="E66" s="318" t="s">
        <v>403</v>
      </c>
      <c r="F66" s="428">
        <v>64430.73333333333</v>
      </c>
      <c r="G66" s="320">
        <v>178191.48936170212</v>
      </c>
    </row>
    <row r="67" spans="1:7" ht="17.25" customHeight="1" x14ac:dyDescent="0.3">
      <c r="A67" s="303"/>
      <c r="B67" s="329" t="s">
        <v>429</v>
      </c>
      <c r="C67" s="334" t="s">
        <v>430</v>
      </c>
      <c r="D67" s="215">
        <v>1</v>
      </c>
      <c r="E67" s="334"/>
      <c r="F67" s="334"/>
      <c r="G67" s="339"/>
    </row>
    <row r="68" spans="1:7" ht="17.25" customHeight="1" x14ac:dyDescent="0.3">
      <c r="A68" s="216">
        <f t="shared" si="3"/>
        <v>1</v>
      </c>
      <c r="B68" s="358" t="s">
        <v>566</v>
      </c>
      <c r="C68" s="215" t="s">
        <v>612</v>
      </c>
      <c r="D68" s="215">
        <v>1</v>
      </c>
      <c r="E68" s="318" t="s">
        <v>403</v>
      </c>
      <c r="F68" s="428">
        <v>31568.938271604937</v>
      </c>
      <c r="G68" s="320">
        <v>101213.74045801527</v>
      </c>
    </row>
    <row r="69" spans="1:7" ht="17.25" customHeight="1" x14ac:dyDescent="0.3">
      <c r="A69" s="216">
        <f t="shared" si="3"/>
        <v>2</v>
      </c>
      <c r="B69" s="358" t="s">
        <v>567</v>
      </c>
      <c r="C69" s="215" t="s">
        <v>613</v>
      </c>
      <c r="D69" s="215">
        <v>1</v>
      </c>
      <c r="E69" s="318" t="s">
        <v>403</v>
      </c>
      <c r="F69" s="428">
        <v>26009.34375</v>
      </c>
      <c r="G69" s="320">
        <v>101321.42857142857</v>
      </c>
    </row>
    <row r="70" spans="1:7" ht="17.25" customHeight="1" x14ac:dyDescent="0.3">
      <c r="A70" s="216">
        <f t="shared" si="3"/>
        <v>3</v>
      </c>
      <c r="B70" s="358" t="s">
        <v>568</v>
      </c>
      <c r="C70" s="215" t="s">
        <v>614</v>
      </c>
      <c r="D70" s="215">
        <v>1</v>
      </c>
      <c r="E70" s="318" t="s">
        <v>403</v>
      </c>
      <c r="F70" s="428">
        <v>27040.044117647059</v>
      </c>
      <c r="G70" s="320">
        <v>100666.66666666667</v>
      </c>
    </row>
    <row r="71" spans="1:7" ht="17.25" customHeight="1" x14ac:dyDescent="0.3">
      <c r="A71" s="216">
        <f t="shared" si="3"/>
        <v>4</v>
      </c>
      <c r="B71" s="358" t="s">
        <v>569</v>
      </c>
      <c r="C71" s="215" t="s">
        <v>615</v>
      </c>
      <c r="D71" s="215">
        <v>1</v>
      </c>
      <c r="E71" s="318" t="s">
        <v>403</v>
      </c>
      <c r="F71" s="428">
        <v>36727.953488372092</v>
      </c>
      <c r="G71" s="320">
        <v>100583.33333333333</v>
      </c>
    </row>
    <row r="72" spans="1:7" ht="17.25" customHeight="1" x14ac:dyDescent="0.3">
      <c r="A72" s="216">
        <f t="shared" si="3"/>
        <v>5</v>
      </c>
      <c r="B72" s="358" t="s">
        <v>570</v>
      </c>
      <c r="C72" s="215" t="s">
        <v>519</v>
      </c>
      <c r="D72" s="215">
        <v>1</v>
      </c>
      <c r="E72" s="318" t="s">
        <v>403</v>
      </c>
      <c r="F72" s="428">
        <v>36344.37837837838</v>
      </c>
      <c r="G72" s="320">
        <v>100990.52132701421</v>
      </c>
    </row>
    <row r="73" spans="1:7" ht="17.25" customHeight="1" x14ac:dyDescent="0.3">
      <c r="A73" s="303"/>
      <c r="B73" s="213" t="s">
        <v>431</v>
      </c>
      <c r="C73" s="214" t="s">
        <v>417</v>
      </c>
      <c r="D73" s="215">
        <v>1</v>
      </c>
      <c r="E73" s="334"/>
      <c r="F73" s="340"/>
      <c r="G73" s="339"/>
    </row>
    <row r="74" spans="1:7" ht="17.25" customHeight="1" x14ac:dyDescent="0.3">
      <c r="A74" s="216">
        <f t="shared" ref="A74" si="4">A73+1</f>
        <v>1</v>
      </c>
      <c r="B74" s="211" t="s">
        <v>452</v>
      </c>
      <c r="C74" s="212" t="s">
        <v>647</v>
      </c>
      <c r="D74" s="215">
        <v>1</v>
      </c>
      <c r="E74" s="318" t="s">
        <v>403</v>
      </c>
      <c r="F74" s="428">
        <v>33913.72</v>
      </c>
      <c r="G74" s="320">
        <v>90861.702127659577</v>
      </c>
    </row>
    <row r="75" spans="1:7" ht="17.25" customHeight="1" x14ac:dyDescent="0.3">
      <c r="A75" s="216">
        <f>A74+1</f>
        <v>2</v>
      </c>
      <c r="B75" s="211" t="s">
        <v>453</v>
      </c>
      <c r="C75" s="212" t="s">
        <v>485</v>
      </c>
      <c r="D75" s="215">
        <v>1</v>
      </c>
      <c r="E75" s="318" t="s">
        <v>403</v>
      </c>
      <c r="F75" s="428">
        <v>33299.840277777781</v>
      </c>
      <c r="G75" s="320">
        <v>106902.25563909774</v>
      </c>
    </row>
    <row r="76" spans="1:7" ht="17.25" customHeight="1" x14ac:dyDescent="0.3">
      <c r="A76" s="216">
        <f t="shared" ref="A76:A78" si="5">A75+1</f>
        <v>3</v>
      </c>
      <c r="B76" s="211" t="s">
        <v>454</v>
      </c>
      <c r="C76" s="212" t="s">
        <v>486</v>
      </c>
      <c r="D76" s="215">
        <v>1</v>
      </c>
      <c r="E76" s="318" t="s">
        <v>403</v>
      </c>
      <c r="F76" s="428">
        <v>65910.132653061228</v>
      </c>
      <c r="G76" s="320">
        <v>177531.25</v>
      </c>
    </row>
    <row r="77" spans="1:7" ht="17.25" customHeight="1" x14ac:dyDescent="0.3">
      <c r="A77" s="216">
        <f>A76+1</f>
        <v>4</v>
      </c>
      <c r="B77" s="317" t="s">
        <v>503</v>
      </c>
      <c r="C77" s="215" t="s">
        <v>506</v>
      </c>
      <c r="D77" s="215">
        <v>1</v>
      </c>
      <c r="E77" s="318" t="s">
        <v>403</v>
      </c>
      <c r="F77" s="428">
        <v>31444.9012345679</v>
      </c>
      <c r="G77" s="320">
        <v>138200</v>
      </c>
    </row>
    <row r="78" spans="1:7" ht="17.25" customHeight="1" x14ac:dyDescent="0.3">
      <c r="A78" s="216">
        <f t="shared" si="5"/>
        <v>5</v>
      </c>
      <c r="B78" s="317" t="s">
        <v>514</v>
      </c>
      <c r="C78" s="215" t="s">
        <v>520</v>
      </c>
      <c r="D78" s="215">
        <v>1</v>
      </c>
      <c r="E78" s="318" t="s">
        <v>403</v>
      </c>
      <c r="F78" s="428">
        <v>52489.759259259263</v>
      </c>
      <c r="G78" s="320">
        <v>173169.01408450704</v>
      </c>
    </row>
    <row r="79" spans="1:7" ht="17.25" customHeight="1" x14ac:dyDescent="0.3">
      <c r="A79" s="216">
        <f>A78+1</f>
        <v>6</v>
      </c>
      <c r="B79" s="317" t="s">
        <v>571</v>
      </c>
      <c r="C79" s="215" t="s">
        <v>616</v>
      </c>
      <c r="D79" s="215">
        <v>1</v>
      </c>
      <c r="E79" s="318" t="s">
        <v>403</v>
      </c>
      <c r="F79" s="428">
        <v>38641.984732824429</v>
      </c>
      <c r="G79" s="320">
        <v>121123.59550561798</v>
      </c>
    </row>
    <row r="80" spans="1:7" ht="17.25" customHeight="1" x14ac:dyDescent="0.3">
      <c r="A80" s="303"/>
      <c r="B80" s="329" t="s">
        <v>432</v>
      </c>
      <c r="C80" s="329" t="s">
        <v>433</v>
      </c>
      <c r="D80" s="215">
        <v>1</v>
      </c>
      <c r="E80" s="334"/>
      <c r="F80" s="340"/>
      <c r="G80" s="339"/>
    </row>
    <row r="81" spans="1:7" ht="17.25" customHeight="1" x14ac:dyDescent="0.3">
      <c r="A81" s="216">
        <f t="shared" ref="A81:A86" si="6">A80+1</f>
        <v>1</v>
      </c>
      <c r="B81" s="429" t="s">
        <v>455</v>
      </c>
      <c r="C81" s="215" t="s">
        <v>487</v>
      </c>
      <c r="D81" s="215">
        <v>1</v>
      </c>
      <c r="E81" s="318" t="s">
        <v>403</v>
      </c>
      <c r="F81" s="428">
        <v>36633.407608695656</v>
      </c>
      <c r="G81" s="320">
        <v>121565.83629893238</v>
      </c>
    </row>
    <row r="82" spans="1:7" ht="17.25" customHeight="1" x14ac:dyDescent="0.3">
      <c r="A82" s="216">
        <f t="shared" si="6"/>
        <v>2</v>
      </c>
      <c r="B82" s="429" t="s">
        <v>456</v>
      </c>
      <c r="C82" s="215" t="s">
        <v>41</v>
      </c>
      <c r="D82" s="215">
        <v>1</v>
      </c>
      <c r="E82" s="318" t="s">
        <v>403</v>
      </c>
      <c r="F82" s="428">
        <v>4832.4700748129671</v>
      </c>
      <c r="G82" s="320">
        <v>15181.512605042017</v>
      </c>
    </row>
    <row r="83" spans="1:7" ht="17.25" customHeight="1" x14ac:dyDescent="0.3">
      <c r="A83" s="216">
        <f t="shared" si="6"/>
        <v>3</v>
      </c>
      <c r="B83" s="429" t="s">
        <v>504</v>
      </c>
      <c r="C83" s="215" t="s">
        <v>507</v>
      </c>
      <c r="D83" s="215">
        <v>1</v>
      </c>
      <c r="E83" s="318" t="s">
        <v>403</v>
      </c>
      <c r="F83" s="428">
        <v>30345.83870967742</v>
      </c>
      <c r="G83" s="320">
        <v>131495.32710280374</v>
      </c>
    </row>
    <row r="84" spans="1:7" ht="17.25" customHeight="1" x14ac:dyDescent="0.3">
      <c r="A84" s="216">
        <f t="shared" si="6"/>
        <v>4</v>
      </c>
      <c r="B84" s="429" t="s">
        <v>505</v>
      </c>
      <c r="C84" s="215" t="s">
        <v>508</v>
      </c>
      <c r="D84" s="215">
        <v>1</v>
      </c>
      <c r="E84" s="318" t="s">
        <v>403</v>
      </c>
      <c r="F84" s="428">
        <v>20656.006134969324</v>
      </c>
      <c r="G84" s="320">
        <v>102293.57798165138</v>
      </c>
    </row>
    <row r="85" spans="1:7" ht="17.25" customHeight="1" x14ac:dyDescent="0.3">
      <c r="A85" s="216">
        <f t="shared" si="6"/>
        <v>5</v>
      </c>
      <c r="B85" s="429" t="s">
        <v>664</v>
      </c>
      <c r="C85" s="215" t="s">
        <v>666</v>
      </c>
      <c r="D85" s="215">
        <v>1</v>
      </c>
      <c r="E85" s="318" t="s">
        <v>403</v>
      </c>
      <c r="F85" s="428"/>
      <c r="G85" s="320">
        <v>120000</v>
      </c>
    </row>
    <row r="86" spans="1:7" ht="17.25" customHeight="1" x14ac:dyDescent="0.3">
      <c r="A86" s="216">
        <f t="shared" si="6"/>
        <v>6</v>
      </c>
      <c r="B86" s="429" t="s">
        <v>572</v>
      </c>
      <c r="C86" s="215" t="s">
        <v>617</v>
      </c>
      <c r="D86" s="215">
        <v>1</v>
      </c>
      <c r="E86" s="318" t="s">
        <v>403</v>
      </c>
      <c r="F86" s="428">
        <v>14694.34358974359</v>
      </c>
      <c r="G86" s="320">
        <v>127523.5294117647</v>
      </c>
    </row>
    <row r="87" spans="1:7" ht="17.25" customHeight="1" x14ac:dyDescent="0.3">
      <c r="A87" s="303"/>
      <c r="B87" s="329" t="s">
        <v>501</v>
      </c>
      <c r="C87" s="334" t="s">
        <v>502</v>
      </c>
      <c r="D87" s="215">
        <v>1</v>
      </c>
      <c r="E87" s="334"/>
      <c r="F87" s="334"/>
      <c r="G87" s="339"/>
    </row>
    <row r="88" spans="1:7" ht="17.25" customHeight="1" x14ac:dyDescent="0.3">
      <c r="A88" s="216">
        <f t="shared" ref="A88:A92" si="7">A87+1</f>
        <v>1</v>
      </c>
      <c r="B88" s="358" t="s">
        <v>573</v>
      </c>
      <c r="C88" s="215" t="s">
        <v>618</v>
      </c>
      <c r="D88" s="215">
        <v>1</v>
      </c>
      <c r="E88" s="318" t="s">
        <v>403</v>
      </c>
      <c r="F88" s="428">
        <v>140553.12921348316</v>
      </c>
      <c r="G88" s="320">
        <v>516547.16981132078</v>
      </c>
    </row>
    <row r="89" spans="1:7" ht="17.25" customHeight="1" x14ac:dyDescent="0.3">
      <c r="A89" s="216">
        <f t="shared" si="7"/>
        <v>2</v>
      </c>
      <c r="B89" s="358" t="s">
        <v>574</v>
      </c>
      <c r="C89" s="215" t="s">
        <v>619</v>
      </c>
      <c r="D89" s="215">
        <v>1</v>
      </c>
      <c r="E89" s="318" t="s">
        <v>403</v>
      </c>
      <c r="F89" s="428">
        <v>232362.19230769231</v>
      </c>
      <c r="G89" s="320">
        <v>657944.4444444445</v>
      </c>
    </row>
    <row r="90" spans="1:7" ht="17.25" customHeight="1" x14ac:dyDescent="0.3">
      <c r="A90" s="216">
        <f t="shared" si="7"/>
        <v>3</v>
      </c>
      <c r="B90" s="358" t="s">
        <v>575</v>
      </c>
      <c r="C90" s="215" t="s">
        <v>620</v>
      </c>
      <c r="D90" s="215">
        <v>1</v>
      </c>
      <c r="E90" s="318" t="s">
        <v>403</v>
      </c>
      <c r="F90" s="428">
        <v>456827.82978723402</v>
      </c>
      <c r="G90" s="320">
        <v>1428738.4615384615</v>
      </c>
    </row>
    <row r="91" spans="1:7" ht="17.25" customHeight="1" x14ac:dyDescent="0.3">
      <c r="A91" s="216">
        <f t="shared" si="7"/>
        <v>4</v>
      </c>
      <c r="B91" s="358" t="s">
        <v>576</v>
      </c>
      <c r="C91" s="215" t="s">
        <v>638</v>
      </c>
      <c r="D91" s="215">
        <v>1</v>
      </c>
      <c r="E91" s="318" t="s">
        <v>403</v>
      </c>
      <c r="F91" s="428">
        <v>366058.48979591834</v>
      </c>
      <c r="G91" s="320">
        <v>1241000</v>
      </c>
    </row>
    <row r="92" spans="1:7" ht="17.25" customHeight="1" x14ac:dyDescent="0.3">
      <c r="A92" s="216">
        <f t="shared" si="7"/>
        <v>5</v>
      </c>
      <c r="B92" s="358" t="s">
        <v>627</v>
      </c>
      <c r="C92" s="215" t="s">
        <v>628</v>
      </c>
      <c r="D92" s="215">
        <v>1</v>
      </c>
      <c r="E92" s="318" t="s">
        <v>403</v>
      </c>
      <c r="F92" s="428">
        <v>240285.86783042393</v>
      </c>
      <c r="G92" s="320">
        <v>799000</v>
      </c>
    </row>
    <row r="93" spans="1:7" ht="17.25" customHeight="1" x14ac:dyDescent="0.3">
      <c r="A93" s="303"/>
      <c r="B93" s="360" t="s">
        <v>12</v>
      </c>
      <c r="C93" s="360"/>
      <c r="D93" s="215">
        <v>1</v>
      </c>
      <c r="E93" s="360"/>
      <c r="F93" s="360"/>
      <c r="G93" s="361"/>
    </row>
    <row r="94" spans="1:7" ht="17.25" customHeight="1" x14ac:dyDescent="0.3">
      <c r="A94" s="303"/>
      <c r="B94" s="329" t="s">
        <v>434</v>
      </c>
      <c r="C94" s="330" t="s">
        <v>435</v>
      </c>
      <c r="D94" s="215">
        <v>1</v>
      </c>
      <c r="E94" s="330"/>
      <c r="F94" s="332"/>
      <c r="G94" s="331"/>
    </row>
    <row r="95" spans="1:7" ht="17.25" customHeight="1" x14ac:dyDescent="0.3">
      <c r="A95" s="216">
        <f t="shared" ref="A95:A99" si="8">A94+1</f>
        <v>1</v>
      </c>
      <c r="B95" s="368" t="s">
        <v>457</v>
      </c>
      <c r="C95" s="215" t="s">
        <v>488</v>
      </c>
      <c r="D95" s="215">
        <v>1</v>
      </c>
      <c r="E95" s="318" t="s">
        <v>421</v>
      </c>
      <c r="F95" s="428">
        <v>6239.4490861618797</v>
      </c>
      <c r="G95" s="320">
        <v>49969.512195121948</v>
      </c>
    </row>
    <row r="96" spans="1:7" ht="17.25" customHeight="1" x14ac:dyDescent="0.3">
      <c r="A96" s="216">
        <f t="shared" si="8"/>
        <v>2</v>
      </c>
      <c r="B96" s="368" t="s">
        <v>458</v>
      </c>
      <c r="C96" s="215" t="s">
        <v>489</v>
      </c>
      <c r="D96" s="215">
        <v>1</v>
      </c>
      <c r="E96" s="318" t="s">
        <v>421</v>
      </c>
      <c r="F96" s="428">
        <v>9453.5674999999992</v>
      </c>
      <c r="G96" s="320">
        <v>50082.278481012661</v>
      </c>
    </row>
    <row r="97" spans="1:7" ht="17.25" customHeight="1" x14ac:dyDescent="0.3">
      <c r="A97" s="216">
        <f t="shared" si="8"/>
        <v>3</v>
      </c>
      <c r="B97" s="368" t="s">
        <v>459</v>
      </c>
      <c r="C97" s="215" t="s">
        <v>419</v>
      </c>
      <c r="D97" s="215">
        <v>1</v>
      </c>
      <c r="E97" s="318" t="s">
        <v>421</v>
      </c>
      <c r="F97" s="428">
        <v>5491.0398230088495</v>
      </c>
      <c r="G97" s="320">
        <v>49978.260869565216</v>
      </c>
    </row>
    <row r="98" spans="1:7" ht="17.25" customHeight="1" x14ac:dyDescent="0.3">
      <c r="A98" s="216">
        <f t="shared" si="8"/>
        <v>4</v>
      </c>
      <c r="B98" s="368" t="s">
        <v>460</v>
      </c>
      <c r="C98" s="215" t="s">
        <v>490</v>
      </c>
      <c r="D98" s="215">
        <v>1</v>
      </c>
      <c r="E98" s="318" t="s">
        <v>421</v>
      </c>
      <c r="F98" s="428">
        <v>18453.58781362007</v>
      </c>
      <c r="G98" s="320">
        <v>59892.857142857145</v>
      </c>
    </row>
    <row r="99" spans="1:7" ht="17.25" customHeight="1" x14ac:dyDescent="0.3">
      <c r="A99" s="216">
        <f t="shared" si="8"/>
        <v>5</v>
      </c>
      <c r="B99" s="368" t="s">
        <v>632</v>
      </c>
      <c r="C99" s="215" t="s">
        <v>633</v>
      </c>
      <c r="D99" s="215">
        <v>1</v>
      </c>
      <c r="E99" s="318" t="s">
        <v>421</v>
      </c>
      <c r="F99" s="428">
        <v>893.7715355805243</v>
      </c>
      <c r="G99" s="320">
        <v>29315.78947368421</v>
      </c>
    </row>
    <row r="100" spans="1:7" ht="17.25" customHeight="1" x14ac:dyDescent="0.3">
      <c r="A100" s="303"/>
      <c r="B100" s="329" t="s">
        <v>436</v>
      </c>
      <c r="C100" s="330" t="s">
        <v>437</v>
      </c>
      <c r="D100" s="215">
        <v>1</v>
      </c>
      <c r="E100" s="330"/>
      <c r="F100" s="330"/>
      <c r="G100" s="331"/>
    </row>
    <row r="101" spans="1:7" ht="17.25" customHeight="1" x14ac:dyDescent="0.3">
      <c r="A101" s="216">
        <v>1</v>
      </c>
      <c r="B101" s="429" t="s">
        <v>404</v>
      </c>
      <c r="C101" s="215" t="s">
        <v>420</v>
      </c>
      <c r="D101" s="215">
        <v>1</v>
      </c>
      <c r="E101" s="318" t="s">
        <v>303</v>
      </c>
      <c r="F101" s="428">
        <v>6037.0279720279723</v>
      </c>
      <c r="G101" s="320">
        <v>25000</v>
      </c>
    </row>
    <row r="102" spans="1:7" ht="17.25" customHeight="1" x14ac:dyDescent="0.3">
      <c r="A102" s="216">
        <f t="shared" ref="A102:A104" si="9">A101+1</f>
        <v>2</v>
      </c>
      <c r="B102" s="429" t="s">
        <v>405</v>
      </c>
      <c r="C102" s="215" t="s">
        <v>491</v>
      </c>
      <c r="D102" s="215">
        <v>1</v>
      </c>
      <c r="E102" s="318" t="s">
        <v>290</v>
      </c>
      <c r="F102" s="428">
        <v>3500.1018735363</v>
      </c>
      <c r="G102" s="320">
        <v>20000</v>
      </c>
    </row>
    <row r="103" spans="1:7" ht="17.25" customHeight="1" x14ac:dyDescent="0.3">
      <c r="A103" s="216">
        <f t="shared" si="9"/>
        <v>3</v>
      </c>
      <c r="B103" s="429" t="s">
        <v>461</v>
      </c>
      <c r="C103" s="215" t="s">
        <v>492</v>
      </c>
      <c r="D103" s="215">
        <v>1</v>
      </c>
      <c r="E103" s="318" t="s">
        <v>303</v>
      </c>
      <c r="F103" s="428">
        <v>6096.0989304812838</v>
      </c>
      <c r="G103" s="320">
        <v>25000</v>
      </c>
    </row>
    <row r="104" spans="1:7" ht="17.25" customHeight="1" x14ac:dyDescent="0.3">
      <c r="A104" s="216">
        <f t="shared" si="9"/>
        <v>4</v>
      </c>
      <c r="B104" s="429" t="s">
        <v>462</v>
      </c>
      <c r="C104" s="215" t="s">
        <v>493</v>
      </c>
      <c r="D104" s="215">
        <v>1</v>
      </c>
      <c r="E104" s="318" t="s">
        <v>303</v>
      </c>
      <c r="F104" s="428">
        <v>5618.2169811320755</v>
      </c>
      <c r="G104" s="320">
        <v>25000</v>
      </c>
    </row>
    <row r="105" spans="1:7" ht="17.25" customHeight="1" x14ac:dyDescent="0.3">
      <c r="A105" s="303"/>
      <c r="B105" s="329" t="s">
        <v>439</v>
      </c>
      <c r="C105" s="330" t="s">
        <v>440</v>
      </c>
      <c r="D105" s="215">
        <v>1</v>
      </c>
      <c r="E105" s="330"/>
      <c r="F105" s="330"/>
      <c r="G105" s="331"/>
    </row>
    <row r="106" spans="1:7" ht="17.25" customHeight="1" x14ac:dyDescent="0.3">
      <c r="A106" s="216">
        <f>A105+1</f>
        <v>1</v>
      </c>
      <c r="B106" s="429" t="s">
        <v>621</v>
      </c>
      <c r="C106" s="215" t="s">
        <v>623</v>
      </c>
      <c r="D106" s="215">
        <v>1</v>
      </c>
      <c r="E106" s="318" t="s">
        <v>303</v>
      </c>
      <c r="F106" s="428">
        <v>16390.106707317074</v>
      </c>
      <c r="G106" s="320">
        <v>49000</v>
      </c>
    </row>
    <row r="107" spans="1:7" ht="17.25" customHeight="1" x14ac:dyDescent="0.3">
      <c r="A107" s="216">
        <f>A106+1</f>
        <v>2</v>
      </c>
      <c r="B107" s="429" t="s">
        <v>500</v>
      </c>
      <c r="C107" s="215" t="s">
        <v>494</v>
      </c>
      <c r="D107" s="215">
        <v>1</v>
      </c>
      <c r="E107" s="318" t="s">
        <v>303</v>
      </c>
      <c r="F107" s="428">
        <v>13812</v>
      </c>
      <c r="G107" s="320">
        <v>35000</v>
      </c>
    </row>
    <row r="108" spans="1:7" ht="17.25" customHeight="1" x14ac:dyDescent="0.3">
      <c r="A108" s="216">
        <f t="shared" ref="A108:A120" si="10">A107+1</f>
        <v>3</v>
      </c>
      <c r="B108" s="429" t="s">
        <v>463</v>
      </c>
      <c r="C108" s="215" t="s">
        <v>648</v>
      </c>
      <c r="D108" s="215">
        <v>1</v>
      </c>
      <c r="E108" s="318" t="s">
        <v>303</v>
      </c>
      <c r="F108" s="428"/>
      <c r="G108" s="320">
        <v>39000</v>
      </c>
    </row>
    <row r="109" spans="1:7" s="142" customFormat="1" ht="17.25" customHeight="1" x14ac:dyDescent="0.3">
      <c r="A109" s="216">
        <f t="shared" si="10"/>
        <v>4</v>
      </c>
      <c r="B109" s="429" t="s">
        <v>634</v>
      </c>
      <c r="C109" s="215" t="s">
        <v>635</v>
      </c>
      <c r="D109" s="215">
        <v>1</v>
      </c>
      <c r="E109" s="318" t="s">
        <v>421</v>
      </c>
      <c r="F109" s="428">
        <v>26760.396551724138</v>
      </c>
      <c r="G109" s="320">
        <v>65357.142857142855</v>
      </c>
    </row>
    <row r="110" spans="1:7" ht="17.25" customHeight="1" x14ac:dyDescent="0.3">
      <c r="A110" s="216">
        <f t="shared" si="10"/>
        <v>5</v>
      </c>
      <c r="B110" s="429" t="s">
        <v>629</v>
      </c>
      <c r="C110" s="215" t="s">
        <v>630</v>
      </c>
      <c r="D110" s="215">
        <v>1</v>
      </c>
      <c r="E110" s="318" t="s">
        <v>421</v>
      </c>
      <c r="F110" s="428">
        <v>6967.9390243902435</v>
      </c>
      <c r="G110" s="320">
        <v>59636.36363636364</v>
      </c>
    </row>
    <row r="111" spans="1:7" ht="17.25" customHeight="1" x14ac:dyDescent="0.3">
      <c r="A111" s="216">
        <f t="shared" si="10"/>
        <v>6</v>
      </c>
      <c r="B111" s="429" t="s">
        <v>622</v>
      </c>
      <c r="C111" s="215" t="s">
        <v>651</v>
      </c>
      <c r="D111" s="215">
        <v>1</v>
      </c>
      <c r="E111" s="318" t="s">
        <v>290</v>
      </c>
      <c r="F111" s="428">
        <v>192000</v>
      </c>
      <c r="G111" s="320">
        <v>450000</v>
      </c>
    </row>
    <row r="112" spans="1:7" ht="17.25" customHeight="1" x14ac:dyDescent="0.3">
      <c r="A112" s="216">
        <f t="shared" si="10"/>
        <v>7</v>
      </c>
      <c r="B112" s="429" t="s">
        <v>624</v>
      </c>
      <c r="C112" s="215" t="s">
        <v>631</v>
      </c>
      <c r="D112" s="215">
        <v>1</v>
      </c>
      <c r="E112" s="318" t="s">
        <v>290</v>
      </c>
      <c r="F112" s="428">
        <v>85444</v>
      </c>
      <c r="G112" s="320">
        <v>195000</v>
      </c>
    </row>
    <row r="113" spans="1:7" ht="17.25" customHeight="1" x14ac:dyDescent="0.3">
      <c r="A113" s="216">
        <f t="shared" si="10"/>
        <v>8</v>
      </c>
      <c r="B113" s="429" t="s">
        <v>626</v>
      </c>
      <c r="C113" s="215" t="s">
        <v>641</v>
      </c>
      <c r="D113" s="215">
        <v>1</v>
      </c>
      <c r="E113" s="318" t="s">
        <v>290</v>
      </c>
      <c r="F113" s="428">
        <v>142954.6</v>
      </c>
      <c r="G113" s="320">
        <v>380000</v>
      </c>
    </row>
    <row r="114" spans="1:7" ht="17.25" customHeight="1" x14ac:dyDescent="0.3">
      <c r="A114" s="216">
        <f t="shared" si="10"/>
        <v>9</v>
      </c>
      <c r="B114" s="429" t="s">
        <v>636</v>
      </c>
      <c r="C114" s="215" t="s">
        <v>640</v>
      </c>
      <c r="D114" s="215">
        <v>1</v>
      </c>
      <c r="E114" s="318" t="s">
        <v>290</v>
      </c>
      <c r="F114" s="428">
        <v>306818.15384615387</v>
      </c>
      <c r="G114" s="320">
        <v>600000</v>
      </c>
    </row>
    <row r="115" spans="1:7" ht="17.25" customHeight="1" x14ac:dyDescent="0.3">
      <c r="A115" s="216">
        <f t="shared" si="10"/>
        <v>10</v>
      </c>
      <c r="B115" s="429" t="s">
        <v>515</v>
      </c>
      <c r="C115" s="215" t="s">
        <v>649</v>
      </c>
      <c r="D115" s="215">
        <v>1</v>
      </c>
      <c r="E115" s="318" t="s">
        <v>290</v>
      </c>
      <c r="F115" s="428">
        <v>176210</v>
      </c>
      <c r="G115" s="320">
        <v>350000</v>
      </c>
    </row>
    <row r="116" spans="1:7" ht="17.25" customHeight="1" x14ac:dyDescent="0.3">
      <c r="A116" s="216">
        <f t="shared" si="10"/>
        <v>11</v>
      </c>
      <c r="B116" s="429" t="s">
        <v>516</v>
      </c>
      <c r="C116" s="215" t="s">
        <v>650</v>
      </c>
      <c r="D116" s="215">
        <v>1</v>
      </c>
      <c r="E116" s="318" t="s">
        <v>290</v>
      </c>
      <c r="F116" s="428">
        <v>162727.5</v>
      </c>
      <c r="G116" s="320">
        <v>350000</v>
      </c>
    </row>
    <row r="117" spans="1:7" ht="17.25" customHeight="1" x14ac:dyDescent="0.3">
      <c r="A117" s="216">
        <f t="shared" si="10"/>
        <v>12</v>
      </c>
      <c r="B117" s="429" t="s">
        <v>625</v>
      </c>
      <c r="C117" s="215" t="s">
        <v>652</v>
      </c>
      <c r="D117" s="215">
        <v>1</v>
      </c>
      <c r="E117" s="318" t="s">
        <v>290</v>
      </c>
      <c r="F117" s="428">
        <v>67909.368421052626</v>
      </c>
      <c r="G117" s="320">
        <v>190000</v>
      </c>
    </row>
    <row r="118" spans="1:7" ht="17.25" customHeight="1" x14ac:dyDescent="0.3">
      <c r="A118" s="216">
        <f t="shared" si="10"/>
        <v>13</v>
      </c>
      <c r="B118" s="429" t="s">
        <v>659</v>
      </c>
      <c r="C118" s="215" t="s">
        <v>660</v>
      </c>
      <c r="D118" s="215">
        <v>1</v>
      </c>
      <c r="E118" s="318" t="s">
        <v>658</v>
      </c>
      <c r="F118" s="428">
        <v>67909.333333333328</v>
      </c>
      <c r="G118" s="320">
        <v>190000</v>
      </c>
    </row>
    <row r="119" spans="1:7" ht="17.25" customHeight="1" x14ac:dyDescent="0.3">
      <c r="A119" s="216">
        <f t="shared" si="10"/>
        <v>14</v>
      </c>
      <c r="B119" s="429" t="s">
        <v>656</v>
      </c>
      <c r="C119" s="215" t="s">
        <v>657</v>
      </c>
      <c r="D119" s="215">
        <v>1</v>
      </c>
      <c r="E119" s="318" t="s">
        <v>658</v>
      </c>
      <c r="F119" s="428">
        <v>51954.833333333336</v>
      </c>
      <c r="G119" s="320">
        <v>150000</v>
      </c>
    </row>
    <row r="120" spans="1:7" ht="17.25" customHeight="1" x14ac:dyDescent="0.3">
      <c r="A120" s="216">
        <f t="shared" si="10"/>
        <v>15</v>
      </c>
      <c r="B120" s="429" t="s">
        <v>637</v>
      </c>
      <c r="C120" s="215" t="s">
        <v>639</v>
      </c>
      <c r="D120" s="215">
        <v>1</v>
      </c>
      <c r="E120" s="318" t="s">
        <v>290</v>
      </c>
      <c r="F120" s="428">
        <v>450000</v>
      </c>
      <c r="G120" s="320">
        <v>850000</v>
      </c>
    </row>
    <row r="121" spans="1:7" ht="17.25" customHeight="1" x14ac:dyDescent="0.3">
      <c r="A121" s="303"/>
      <c r="B121" s="329" t="s">
        <v>408</v>
      </c>
      <c r="C121" s="330" t="s">
        <v>409</v>
      </c>
      <c r="D121" s="215">
        <v>1</v>
      </c>
      <c r="E121" s="330"/>
      <c r="F121" s="332"/>
      <c r="G121" s="331"/>
    </row>
    <row r="122" spans="1:7" s="142" customFormat="1" ht="17.25" customHeight="1" x14ac:dyDescent="0.3">
      <c r="A122" s="216">
        <v>1</v>
      </c>
      <c r="B122" s="317" t="s">
        <v>411</v>
      </c>
      <c r="C122" s="215" t="s">
        <v>410</v>
      </c>
      <c r="D122" s="215">
        <v>1</v>
      </c>
      <c r="E122" s="318"/>
      <c r="F122" s="319">
        <v>1508.5797633136096</v>
      </c>
      <c r="G122" s="320"/>
    </row>
    <row r="123" spans="1:7" ht="17.25" customHeight="1" x14ac:dyDescent="0.3">
      <c r="A123" s="216">
        <f t="shared" ref="A123:A124" si="11">A122+1</f>
        <v>2</v>
      </c>
      <c r="B123" s="429" t="s">
        <v>654</v>
      </c>
      <c r="C123" s="215" t="s">
        <v>655</v>
      </c>
      <c r="D123" s="215">
        <v>1</v>
      </c>
      <c r="E123" s="318" t="s">
        <v>403</v>
      </c>
      <c r="F123" s="428">
        <v>13625.171352074967</v>
      </c>
      <c r="G123" s="320">
        <v>0</v>
      </c>
    </row>
    <row r="124" spans="1:7" ht="17.25" customHeight="1" x14ac:dyDescent="0.3">
      <c r="A124" s="216">
        <f t="shared" si="11"/>
        <v>3</v>
      </c>
      <c r="B124" s="429" t="s">
        <v>661</v>
      </c>
      <c r="C124" s="215" t="s">
        <v>662</v>
      </c>
      <c r="D124" s="215">
        <v>1</v>
      </c>
      <c r="E124" s="318" t="s">
        <v>403</v>
      </c>
      <c r="F124" s="428">
        <v>6481.478260869565</v>
      </c>
      <c r="G124" s="320">
        <v>10000</v>
      </c>
    </row>
    <row r="125" spans="1:7" ht="17.25" customHeight="1" x14ac:dyDescent="0.3">
      <c r="A125" s="303"/>
      <c r="B125" s="329" t="s">
        <v>441</v>
      </c>
      <c r="C125" s="329" t="s">
        <v>406</v>
      </c>
      <c r="D125" s="215">
        <v>1</v>
      </c>
      <c r="E125" s="330"/>
      <c r="F125" s="330"/>
      <c r="G125" s="331"/>
    </row>
    <row r="126" spans="1:7" ht="17.25" customHeight="1" x14ac:dyDescent="0.3">
      <c r="A126" s="216">
        <v>1</v>
      </c>
      <c r="B126" s="368" t="s">
        <v>510</v>
      </c>
      <c r="C126" s="215" t="s">
        <v>653</v>
      </c>
      <c r="D126" s="215">
        <v>1</v>
      </c>
      <c r="E126" s="318" t="s">
        <v>400</v>
      </c>
      <c r="F126" s="428">
        <v>571.92372093023255</v>
      </c>
      <c r="G126" s="320">
        <v>3000</v>
      </c>
    </row>
    <row r="127" spans="1:7" ht="17.25" customHeight="1" x14ac:dyDescent="0.3">
      <c r="A127" s="216">
        <f t="shared" ref="A127:A130" si="12">A126+1</f>
        <v>2</v>
      </c>
      <c r="B127" s="368" t="s">
        <v>464</v>
      </c>
      <c r="C127" s="215" t="s">
        <v>495</v>
      </c>
      <c r="D127" s="215">
        <v>1</v>
      </c>
      <c r="E127" s="318" t="s">
        <v>290</v>
      </c>
      <c r="F127" s="328"/>
      <c r="G127" s="320">
        <v>100000</v>
      </c>
    </row>
    <row r="128" spans="1:7" ht="26" x14ac:dyDescent="0.3">
      <c r="A128" s="216">
        <f t="shared" si="12"/>
        <v>3</v>
      </c>
      <c r="B128" s="368" t="s">
        <v>465</v>
      </c>
      <c r="C128" s="215" t="s">
        <v>496</v>
      </c>
      <c r="D128" s="215">
        <v>1</v>
      </c>
      <c r="E128" s="318" t="s">
        <v>497</v>
      </c>
      <c r="F128" s="328"/>
      <c r="G128" s="320">
        <v>150000</v>
      </c>
    </row>
    <row r="129" spans="1:7" ht="17.25" customHeight="1" x14ac:dyDescent="0.3">
      <c r="A129" s="216">
        <f t="shared" si="12"/>
        <v>4</v>
      </c>
      <c r="B129" s="368" t="s">
        <v>466</v>
      </c>
      <c r="C129" s="215" t="s">
        <v>498</v>
      </c>
      <c r="D129" s="215">
        <v>1</v>
      </c>
      <c r="E129" s="318" t="s">
        <v>384</v>
      </c>
      <c r="F129" s="328"/>
      <c r="G129" s="320">
        <v>50000</v>
      </c>
    </row>
    <row r="130" spans="1:7" ht="17.25" customHeight="1" x14ac:dyDescent="0.3">
      <c r="A130" s="216">
        <f t="shared" si="12"/>
        <v>5</v>
      </c>
      <c r="B130" s="368" t="s">
        <v>467</v>
      </c>
      <c r="C130" s="215" t="s">
        <v>407</v>
      </c>
      <c r="D130" s="215">
        <v>1</v>
      </c>
      <c r="E130" s="318" t="s">
        <v>21</v>
      </c>
      <c r="F130" s="328"/>
      <c r="G130" s="320">
        <v>80000</v>
      </c>
    </row>
    <row r="131" spans="1:7" ht="17.25" customHeight="1" x14ac:dyDescent="0.3"/>
    <row r="132" spans="1:7" ht="17.25" customHeight="1" x14ac:dyDescent="0.3"/>
    <row r="133" spans="1:7" ht="17.25" customHeight="1" x14ac:dyDescent="0.3"/>
    <row r="134" spans="1:7" ht="17.25" customHeight="1" x14ac:dyDescent="0.3"/>
    <row r="135" spans="1:7" ht="17.25" customHeight="1" x14ac:dyDescent="0.3"/>
    <row r="136" spans="1:7" s="142" customFormat="1" ht="17.25" customHeight="1" x14ac:dyDescent="0.3">
      <c r="A136" s="418"/>
      <c r="B136" s="418"/>
      <c r="C136" s="418"/>
      <c r="D136" s="418"/>
      <c r="E136" s="380"/>
      <c r="F136" s="353"/>
      <c r="G136" s="418"/>
    </row>
    <row r="137" spans="1:7" ht="17.25" customHeight="1" x14ac:dyDescent="0.3"/>
    <row r="138" spans="1:7" ht="17.25" customHeight="1" x14ac:dyDescent="0.3"/>
    <row r="139" spans="1:7" ht="17.25" customHeight="1" x14ac:dyDescent="0.3"/>
    <row r="140" spans="1:7" ht="17.25" customHeight="1" x14ac:dyDescent="0.3"/>
    <row r="141" spans="1:7" ht="17.25" customHeight="1" x14ac:dyDescent="0.3"/>
    <row r="142" spans="1:7" ht="17.25" customHeight="1" x14ac:dyDescent="0.3"/>
    <row r="143" spans="1:7" ht="17.25" customHeight="1" x14ac:dyDescent="0.3"/>
    <row r="144" spans="1:7" ht="17.25" customHeight="1" x14ac:dyDescent="0.3"/>
    <row r="145" spans="1:7" ht="17.25" customHeight="1" x14ac:dyDescent="0.3"/>
    <row r="146" spans="1:7" ht="17.25" customHeight="1" x14ac:dyDescent="0.3"/>
    <row r="147" spans="1:7" ht="17.25" customHeight="1" x14ac:dyDescent="0.3"/>
    <row r="148" spans="1:7" ht="17.25" customHeight="1" x14ac:dyDescent="0.3"/>
    <row r="149" spans="1:7" ht="17.25" customHeight="1" x14ac:dyDescent="0.3"/>
    <row r="150" spans="1:7" ht="17.25" customHeight="1" x14ac:dyDescent="0.3"/>
    <row r="151" spans="1:7" ht="17.25" customHeight="1" x14ac:dyDescent="0.3"/>
    <row r="152" spans="1:7" ht="17.25" customHeight="1" x14ac:dyDescent="0.3"/>
    <row r="153" spans="1:7" ht="17.25" customHeight="1" x14ac:dyDescent="0.3"/>
    <row r="154" spans="1:7" ht="17.25" customHeight="1" x14ac:dyDescent="0.3"/>
    <row r="155" spans="1:7" s="142" customFormat="1" ht="17.25" customHeight="1" x14ac:dyDescent="0.3">
      <c r="A155" s="418"/>
      <c r="B155" s="418"/>
      <c r="C155" s="418"/>
      <c r="D155" s="418"/>
      <c r="E155" s="380"/>
      <c r="F155" s="353"/>
      <c r="G155" s="418"/>
    </row>
    <row r="156" spans="1:7" ht="17.25" customHeight="1" x14ac:dyDescent="0.3"/>
    <row r="157" spans="1:7" ht="17.25" customHeight="1" x14ac:dyDescent="0.3"/>
    <row r="158" spans="1:7" ht="17.25" customHeight="1" x14ac:dyDescent="0.3"/>
    <row r="159" spans="1:7" s="142" customFormat="1" ht="17.25" customHeight="1" x14ac:dyDescent="0.3">
      <c r="A159" s="418"/>
      <c r="B159" s="418"/>
      <c r="C159" s="418"/>
      <c r="D159" s="418"/>
      <c r="E159" s="380"/>
      <c r="F159" s="353"/>
      <c r="G159" s="418"/>
    </row>
    <row r="160" spans="1:7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spans="1:7" ht="17.25" customHeight="1" x14ac:dyDescent="0.3"/>
    <row r="178" spans="1:7" s="142" customFormat="1" ht="17.25" customHeight="1" x14ac:dyDescent="0.3">
      <c r="A178" s="418"/>
      <c r="B178" s="418"/>
      <c r="C178" s="418"/>
      <c r="D178" s="418"/>
      <c r="E178" s="380"/>
      <c r="F178" s="353"/>
      <c r="G178" s="418"/>
    </row>
    <row r="179" spans="1:7" ht="17.25" customHeight="1" x14ac:dyDescent="0.3"/>
    <row r="180" spans="1:7" ht="17.25" customHeight="1" x14ac:dyDescent="0.3"/>
    <row r="181" spans="1:7" ht="17.25" customHeight="1" x14ac:dyDescent="0.3"/>
    <row r="182" spans="1:7" ht="17.25" customHeight="1" x14ac:dyDescent="0.3"/>
    <row r="183" spans="1:7" ht="17.25" customHeight="1" x14ac:dyDescent="0.3"/>
    <row r="184" spans="1:7" ht="17.25" customHeight="1" x14ac:dyDescent="0.3"/>
    <row r="185" spans="1:7" ht="17.25" customHeight="1" x14ac:dyDescent="0.3"/>
    <row r="186" spans="1:7" ht="17.25" customHeight="1" x14ac:dyDescent="0.3"/>
    <row r="187" spans="1:7" ht="17.25" customHeight="1" x14ac:dyDescent="0.3"/>
    <row r="188" spans="1:7" ht="17.25" customHeight="1" x14ac:dyDescent="0.3"/>
    <row r="189" spans="1:7" ht="17.25" customHeight="1" x14ac:dyDescent="0.3"/>
    <row r="190" spans="1:7" ht="17.25" customHeight="1" x14ac:dyDescent="0.3"/>
    <row r="191" spans="1:7" ht="17.25" customHeight="1" x14ac:dyDescent="0.3"/>
    <row r="192" spans="1:7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spans="1:7" ht="17.25" customHeight="1" x14ac:dyDescent="0.3"/>
    <row r="210" spans="1:7" ht="17.25" customHeight="1" x14ac:dyDescent="0.3"/>
    <row r="211" spans="1:7" s="183" customFormat="1" ht="17.25" customHeight="1" x14ac:dyDescent="0.3">
      <c r="A211" s="418"/>
      <c r="B211" s="418"/>
      <c r="C211" s="418"/>
      <c r="D211" s="418"/>
      <c r="E211" s="380"/>
      <c r="F211" s="353"/>
      <c r="G211" s="418"/>
    </row>
    <row r="212" spans="1:7" s="142" customFormat="1" ht="17.25" customHeight="1" x14ac:dyDescent="0.3">
      <c r="A212" s="418"/>
      <c r="B212" s="418"/>
      <c r="C212" s="418"/>
      <c r="D212" s="418"/>
      <c r="E212" s="380"/>
      <c r="F212" s="353"/>
      <c r="G212" s="418"/>
    </row>
    <row r="213" spans="1:7" ht="17.25" customHeight="1" x14ac:dyDescent="0.3"/>
    <row r="214" spans="1:7" ht="17.25" customHeight="1" x14ac:dyDescent="0.3"/>
    <row r="215" spans="1:7" ht="27.75" customHeight="1" x14ac:dyDescent="0.3"/>
    <row r="216" spans="1:7" ht="17.25" customHeight="1" x14ac:dyDescent="0.3"/>
    <row r="217" spans="1:7" ht="17.25" customHeight="1" x14ac:dyDescent="0.3"/>
    <row r="218" spans="1:7" ht="17.25" customHeight="1" x14ac:dyDescent="0.3"/>
    <row r="219" spans="1:7" ht="17.25" customHeight="1" x14ac:dyDescent="0.3"/>
    <row r="220" spans="1:7" s="142" customFormat="1" ht="17.25" customHeight="1" x14ac:dyDescent="0.3">
      <c r="A220" s="418"/>
      <c r="B220" s="418"/>
      <c r="C220" s="418"/>
      <c r="D220" s="418"/>
      <c r="E220" s="380"/>
      <c r="F220" s="353"/>
      <c r="G220" s="418"/>
    </row>
    <row r="221" spans="1:7" ht="17.25" customHeight="1" x14ac:dyDescent="0.3"/>
    <row r="222" spans="1:7" ht="17.25" customHeight="1" x14ac:dyDescent="0.3"/>
    <row r="223" spans="1:7" ht="17.25" customHeight="1" x14ac:dyDescent="0.3"/>
    <row r="224" spans="1:7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27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27" customHeight="1" x14ac:dyDescent="0.3"/>
    <row r="240" ht="17.25" customHeight="1" x14ac:dyDescent="0.3"/>
    <row r="241" spans="1:7" s="142" customFormat="1" ht="17.25" customHeight="1" x14ac:dyDescent="0.3">
      <c r="A241" s="418"/>
      <c r="B241" s="418"/>
      <c r="C241" s="418"/>
      <c r="D241" s="418"/>
      <c r="E241" s="380"/>
      <c r="F241" s="353"/>
      <c r="G241" s="418"/>
    </row>
    <row r="242" spans="1:7" ht="17.25" customHeight="1" x14ac:dyDescent="0.3"/>
    <row r="243" spans="1:7" ht="17.25" customHeight="1" x14ac:dyDescent="0.3"/>
    <row r="244" spans="1:7" ht="17.25" customHeight="1" x14ac:dyDescent="0.3"/>
    <row r="245" spans="1:7" ht="17.25" customHeight="1" x14ac:dyDescent="0.3"/>
    <row r="246" spans="1:7" ht="17.25" customHeight="1" x14ac:dyDescent="0.3"/>
    <row r="247" spans="1:7" ht="17.25" customHeight="1" x14ac:dyDescent="0.3"/>
    <row r="248" spans="1:7" s="142" customFormat="1" ht="17.25" customHeight="1" x14ac:dyDescent="0.3">
      <c r="A248" s="418"/>
      <c r="B248" s="418"/>
      <c r="C248" s="418"/>
      <c r="D248" s="418"/>
      <c r="E248" s="380"/>
      <c r="F248" s="353"/>
      <c r="G248" s="418"/>
    </row>
    <row r="249" spans="1:7" ht="17.25" customHeight="1" x14ac:dyDescent="0.3"/>
    <row r="250" spans="1:7" ht="17.25" customHeight="1" x14ac:dyDescent="0.3"/>
    <row r="251" spans="1:7" ht="17.25" customHeight="1" x14ac:dyDescent="0.3"/>
    <row r="252" spans="1:7" ht="17.25" customHeight="1" x14ac:dyDescent="0.3"/>
    <row r="253" spans="1:7" ht="17.25" customHeight="1" x14ac:dyDescent="0.3"/>
    <row r="254" spans="1:7" ht="17.25" customHeight="1" x14ac:dyDescent="0.3"/>
    <row r="255" spans="1:7" ht="17.25" customHeight="1" x14ac:dyDescent="0.3"/>
    <row r="256" spans="1:7" ht="17.25" customHeight="1" x14ac:dyDescent="0.3"/>
    <row r="257" spans="1:7" ht="17.25" customHeight="1" x14ac:dyDescent="0.3"/>
    <row r="258" spans="1:7" ht="17.25" customHeight="1" x14ac:dyDescent="0.3"/>
    <row r="259" spans="1:7" ht="17.25" customHeight="1" x14ac:dyDescent="0.3"/>
    <row r="260" spans="1:7" ht="17.25" customHeight="1" x14ac:dyDescent="0.3"/>
    <row r="261" spans="1:7" ht="17.25" customHeight="1" x14ac:dyDescent="0.3"/>
    <row r="262" spans="1:7" ht="17.25" customHeight="1" x14ac:dyDescent="0.3"/>
    <row r="263" spans="1:7" s="142" customFormat="1" ht="17.25" customHeight="1" x14ac:dyDescent="0.3">
      <c r="A263" s="418"/>
      <c r="B263" s="418"/>
      <c r="C263" s="418"/>
      <c r="D263" s="418"/>
      <c r="E263" s="380"/>
      <c r="F263" s="353"/>
      <c r="G263" s="418"/>
    </row>
    <row r="264" spans="1:7" ht="17.25" customHeight="1" x14ac:dyDescent="0.3"/>
    <row r="265" spans="1:7" ht="17.25" customHeight="1" x14ac:dyDescent="0.3"/>
    <row r="266" spans="1:7" ht="17.25" customHeight="1" x14ac:dyDescent="0.3"/>
    <row r="267" spans="1:7" s="142" customFormat="1" ht="17.25" customHeight="1" x14ac:dyDescent="0.3">
      <c r="A267" s="418"/>
      <c r="B267" s="418"/>
      <c r="C267" s="418"/>
      <c r="D267" s="418"/>
      <c r="E267" s="380"/>
      <c r="F267" s="353"/>
      <c r="G267" s="418"/>
    </row>
    <row r="268" spans="1:7" ht="29.25" customHeight="1" x14ac:dyDescent="0.3"/>
    <row r="269" spans="1:7" ht="17.25" customHeight="1" x14ac:dyDescent="0.3"/>
    <row r="270" spans="1:7" ht="17.25" customHeight="1" x14ac:dyDescent="0.3"/>
    <row r="271" spans="1:7" s="142" customFormat="1" ht="17.25" customHeight="1" x14ac:dyDescent="0.3">
      <c r="A271" s="418"/>
      <c r="B271" s="418"/>
      <c r="C271" s="418"/>
      <c r="D271" s="418"/>
      <c r="E271" s="380"/>
      <c r="F271" s="353"/>
      <c r="G271" s="418"/>
    </row>
    <row r="272" spans="1:7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</sheetData>
  <conditionalFormatting sqref="B123:B1048576 B1:B72 B80:B121">
    <cfRule type="duplicateValues" dxfId="509" priority="16"/>
  </conditionalFormatting>
  <conditionalFormatting sqref="B73:B79">
    <cfRule type="duplicateValues" dxfId="508" priority="22"/>
  </conditionalFormatting>
  <conditionalFormatting sqref="B122">
    <cfRule type="duplicateValues" dxfId="507" priority="7"/>
    <cfRule type="duplicateValues" dxfId="506" priority="8"/>
  </conditionalFormatting>
  <conditionalFormatting sqref="B73:C73 B74:B79">
    <cfRule type="duplicateValues" dxfId="505" priority="23"/>
  </conditionalFormatting>
  <conditionalFormatting sqref="B123:C123">
    <cfRule type="duplicateValues" dxfId="504" priority="1"/>
  </conditionalFormatting>
  <conditionalFormatting sqref="B124:C124">
    <cfRule type="duplicateValues" dxfId="503" priority="2"/>
  </conditionalFormatting>
  <conditionalFormatting sqref="B125:C130 B3:C16 B18:C72 C74:C79 B80:C120">
    <cfRule type="duplicateValues" dxfId="502" priority="24"/>
  </conditionalFormatting>
  <conditionalFormatting sqref="C122">
    <cfRule type="duplicateValues" dxfId="501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3" sqref="B3"/>
    </sheetView>
  </sheetViews>
  <sheetFormatPr defaultRowHeight="14.5" x14ac:dyDescent="0.35"/>
  <cols>
    <col min="2" max="2" width="13.90625" bestFit="1" customWidth="1"/>
    <col min="3" max="3" width="31.1796875" customWidth="1"/>
    <col min="5" max="5" width="26.08984375" bestFit="1" customWidth="1"/>
  </cols>
  <sheetData>
    <row r="1" spans="1:6" x14ac:dyDescent="0.35">
      <c r="A1" t="s">
        <v>671</v>
      </c>
      <c r="B1" s="434" t="s">
        <v>669</v>
      </c>
      <c r="C1" s="433" t="s">
        <v>668</v>
      </c>
      <c r="E1" s="360"/>
      <c r="F1" s="360"/>
    </row>
    <row r="2" spans="1:6" x14ac:dyDescent="0.35">
      <c r="A2" s="303"/>
      <c r="B2" s="329" t="s">
        <v>422</v>
      </c>
      <c r="C2" s="330" t="s">
        <v>418</v>
      </c>
    </row>
    <row r="3" spans="1:6" x14ac:dyDescent="0.35">
      <c r="B3" s="329" t="s">
        <v>423</v>
      </c>
      <c r="C3" s="330" t="s">
        <v>424</v>
      </c>
    </row>
    <row r="4" spans="1:6" x14ac:dyDescent="0.35">
      <c r="B4" s="329" t="s">
        <v>425</v>
      </c>
      <c r="C4" s="334" t="s">
        <v>426</v>
      </c>
    </row>
    <row r="5" spans="1:6" x14ac:dyDescent="0.35">
      <c r="B5" s="329" t="s">
        <v>427</v>
      </c>
      <c r="C5" s="330" t="s">
        <v>428</v>
      </c>
    </row>
    <row r="6" spans="1:6" x14ac:dyDescent="0.35">
      <c r="B6" s="329" t="s">
        <v>429</v>
      </c>
      <c r="C6" s="334" t="s">
        <v>430</v>
      </c>
    </row>
    <row r="7" spans="1:6" x14ac:dyDescent="0.35">
      <c r="B7" s="213" t="s">
        <v>431</v>
      </c>
      <c r="C7" s="214" t="s">
        <v>417</v>
      </c>
    </row>
    <row r="8" spans="1:6" x14ac:dyDescent="0.35">
      <c r="B8" s="329" t="s">
        <v>432</v>
      </c>
      <c r="C8" s="329" t="s">
        <v>433</v>
      </c>
    </row>
    <row r="9" spans="1:6" x14ac:dyDescent="0.35">
      <c r="B9" s="329" t="s">
        <v>501</v>
      </c>
      <c r="C9" s="334" t="s">
        <v>502</v>
      </c>
    </row>
    <row r="10" spans="1:6" x14ac:dyDescent="0.35">
      <c r="B10" s="329" t="s">
        <v>436</v>
      </c>
      <c r="C10" s="330" t="s">
        <v>437</v>
      </c>
    </row>
    <row r="11" spans="1:6" x14ac:dyDescent="0.35">
      <c r="B11" s="329" t="s">
        <v>434</v>
      </c>
      <c r="C11" s="330" t="s">
        <v>435</v>
      </c>
    </row>
    <row r="12" spans="1:6" x14ac:dyDescent="0.35">
      <c r="B12" s="329" t="s">
        <v>439</v>
      </c>
      <c r="C12" s="330" t="s">
        <v>440</v>
      </c>
    </row>
    <row r="13" spans="1:6" x14ac:dyDescent="0.35">
      <c r="B13" s="329" t="s">
        <v>408</v>
      </c>
      <c r="C13" s="330" t="s">
        <v>409</v>
      </c>
    </row>
    <row r="14" spans="1:6" x14ac:dyDescent="0.35">
      <c r="B14" s="329" t="s">
        <v>441</v>
      </c>
      <c r="C14" s="329" t="s">
        <v>406</v>
      </c>
    </row>
  </sheetData>
  <conditionalFormatting sqref="B1">
    <cfRule type="duplicateValues" dxfId="500" priority="32"/>
  </conditionalFormatting>
  <conditionalFormatting sqref="B2">
    <cfRule type="duplicateValues" dxfId="499" priority="31"/>
  </conditionalFormatting>
  <conditionalFormatting sqref="B3">
    <cfRule type="duplicateValues" dxfId="498" priority="30"/>
  </conditionalFormatting>
  <conditionalFormatting sqref="B4">
    <cfRule type="duplicateValues" dxfId="497" priority="28"/>
  </conditionalFormatting>
  <conditionalFormatting sqref="B4:C4">
    <cfRule type="duplicateValues" dxfId="496" priority="29"/>
  </conditionalFormatting>
  <conditionalFormatting sqref="B5">
    <cfRule type="duplicateValues" dxfId="495" priority="26"/>
  </conditionalFormatting>
  <conditionalFormatting sqref="B5:C5">
    <cfRule type="duplicateValues" dxfId="494" priority="27"/>
  </conditionalFormatting>
  <conditionalFormatting sqref="B6">
    <cfRule type="duplicateValues" dxfId="493" priority="24"/>
  </conditionalFormatting>
  <conditionalFormatting sqref="B6:C6">
    <cfRule type="duplicateValues" dxfId="492" priority="25"/>
  </conditionalFormatting>
  <conditionalFormatting sqref="B7">
    <cfRule type="duplicateValues" dxfId="491" priority="22"/>
  </conditionalFormatting>
  <conditionalFormatting sqref="B7:C7">
    <cfRule type="duplicateValues" dxfId="490" priority="23"/>
  </conditionalFormatting>
  <conditionalFormatting sqref="B8">
    <cfRule type="duplicateValues" dxfId="489" priority="20"/>
  </conditionalFormatting>
  <conditionalFormatting sqref="B8:C8">
    <cfRule type="duplicateValues" dxfId="488" priority="21"/>
  </conditionalFormatting>
  <conditionalFormatting sqref="B9">
    <cfRule type="duplicateValues" dxfId="487" priority="18"/>
  </conditionalFormatting>
  <conditionalFormatting sqref="B9:C9">
    <cfRule type="duplicateValues" dxfId="486" priority="19"/>
  </conditionalFormatting>
  <conditionalFormatting sqref="B10">
    <cfRule type="duplicateValues" dxfId="485" priority="14"/>
  </conditionalFormatting>
  <conditionalFormatting sqref="B10:C10">
    <cfRule type="duplicateValues" dxfId="484" priority="15"/>
  </conditionalFormatting>
  <conditionalFormatting sqref="E1">
    <cfRule type="duplicateValues" dxfId="483" priority="12"/>
  </conditionalFormatting>
  <conditionalFormatting sqref="E1:F1">
    <cfRule type="duplicateValues" dxfId="482" priority="13"/>
  </conditionalFormatting>
  <conditionalFormatting sqref="B12">
    <cfRule type="duplicateValues" dxfId="481" priority="8"/>
  </conditionalFormatting>
  <conditionalFormatting sqref="B12:C12">
    <cfRule type="duplicateValues" dxfId="480" priority="9"/>
  </conditionalFormatting>
  <conditionalFormatting sqref="B11">
    <cfRule type="duplicateValues" dxfId="479" priority="4"/>
  </conditionalFormatting>
  <conditionalFormatting sqref="B11:C11">
    <cfRule type="duplicateValues" dxfId="478" priority="5"/>
  </conditionalFormatting>
  <conditionalFormatting sqref="B13">
    <cfRule type="duplicateValues" dxfId="477" priority="3"/>
  </conditionalFormatting>
  <conditionalFormatting sqref="B14">
    <cfRule type="duplicateValues" dxfId="476" priority="1"/>
  </conditionalFormatting>
  <conditionalFormatting sqref="B14:C14">
    <cfRule type="duplicateValues" dxfId="47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338"/>
  <sheetViews>
    <sheetView zoomScale="85" zoomScaleNormal="85" workbookViewId="0">
      <pane ySplit="10" topLeftCell="A47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</sheetData>
  <mergeCells count="29">
    <mergeCell ref="V12:W12"/>
    <mergeCell ref="S7:S8"/>
    <mergeCell ref="T7:T8"/>
    <mergeCell ref="X7:X8"/>
    <mergeCell ref="AB7:AB8"/>
    <mergeCell ref="V10:W10"/>
    <mergeCell ref="AA7:AA8"/>
    <mergeCell ref="W7:W8"/>
    <mergeCell ref="AC6:AF6"/>
    <mergeCell ref="AG6:AJ6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  <mergeCell ref="V7:V8"/>
    <mergeCell ref="C4:D4"/>
    <mergeCell ref="L4:M4"/>
    <mergeCell ref="N4:O4"/>
    <mergeCell ref="C5:D5"/>
    <mergeCell ref="L5:M5"/>
    <mergeCell ref="N5:O5"/>
  </mergeCells>
  <conditionalFormatting sqref="B15">
    <cfRule type="duplicateValues" dxfId="474" priority="10"/>
    <cfRule type="duplicateValues" dxfId="473" priority="11"/>
  </conditionalFormatting>
  <conditionalFormatting sqref="B102:B106">
    <cfRule type="duplicateValues" dxfId="472" priority="9"/>
  </conditionalFormatting>
  <conditionalFormatting sqref="B171">
    <cfRule type="duplicateValues" dxfId="471" priority="12"/>
    <cfRule type="duplicateValues" dxfId="470" priority="13"/>
  </conditionalFormatting>
  <conditionalFormatting sqref="B172:B1048576 B1:B14 B16:B101 B107:B170">
    <cfRule type="duplicateValues" dxfId="469" priority="22"/>
  </conditionalFormatting>
  <conditionalFormatting sqref="B16:C16 C15">
    <cfRule type="duplicateValues" dxfId="468" priority="20"/>
  </conditionalFormatting>
  <conditionalFormatting sqref="B102:C102 B103:B106">
    <cfRule type="duplicateValues" dxfId="467" priority="8"/>
  </conditionalFormatting>
  <conditionalFormatting sqref="B172:C172">
    <cfRule type="duplicateValues" dxfId="466" priority="15"/>
  </conditionalFormatting>
  <conditionalFormatting sqref="B173:C178 B24:C24 B40:C41 B101:C101 B95:B100 B93:C94 B67:B92 B65:C66 B61:B64 B59:C60 B42:B58 B26:B39 B18:B23 B107:C169">
    <cfRule type="duplicateValues" dxfId="465" priority="28"/>
  </conditionalFormatting>
  <conditionalFormatting sqref="C18:C23">
    <cfRule type="duplicateValues" dxfId="464" priority="1"/>
  </conditionalFormatting>
  <conditionalFormatting sqref="C26:C39">
    <cfRule type="duplicateValues" dxfId="463" priority="2"/>
  </conditionalFormatting>
  <conditionalFormatting sqref="C42:C58">
    <cfRule type="duplicateValues" dxfId="462" priority="3"/>
  </conditionalFormatting>
  <conditionalFormatting sqref="C61:C64">
    <cfRule type="duplicateValues" dxfId="461" priority="4"/>
  </conditionalFormatting>
  <conditionalFormatting sqref="C67:C92">
    <cfRule type="duplicateValues" dxfId="460" priority="5"/>
  </conditionalFormatting>
  <conditionalFormatting sqref="C95:C100">
    <cfRule type="duplicateValues" dxfId="459" priority="6"/>
  </conditionalFormatting>
  <conditionalFormatting sqref="C103:C106">
    <cfRule type="duplicateValues" dxfId="458" priority="7"/>
  </conditionalFormatting>
  <conditionalFormatting sqref="C171">
    <cfRule type="duplicateValues" dxfId="457" priority="14"/>
  </conditionalFormatting>
  <conditionalFormatting sqref="J2:J3 J7:J179">
    <cfRule type="cellIs" dxfId="456" priority="27" operator="equal">
      <formula>"Disc"</formula>
    </cfRule>
  </conditionalFormatting>
  <conditionalFormatting sqref="V2:V5">
    <cfRule type="containsText" dxfId="455" priority="23" operator="containsText" text="dog">
      <formula>NOT(ISERROR(SEARCH("dog",V2)))</formula>
    </cfRule>
    <cfRule type="containsText" dxfId="454" priority="24" operator="containsText" text="star">
      <formula>NOT(ISERROR(SEARCH("star",V2)))</formula>
    </cfRule>
    <cfRule type="containsText" dxfId="453" priority="25" operator="containsText" text="PUZZLE">
      <formula>NOT(ISERROR(SEARCH("PUZZLE",V2)))</formula>
    </cfRule>
    <cfRule type="containsText" dxfId="452" priority="26" operator="containsText" text="HORSE">
      <formula>NOT(ISERROR(SEARCH("HORSE",V2)))</formula>
    </cfRule>
  </conditionalFormatting>
  <conditionalFormatting sqref="X15:X179">
    <cfRule type="containsText" dxfId="451" priority="16" operator="containsText" text="star">
      <formula>NOT(ISERROR(SEARCH("star",X15)))</formula>
    </cfRule>
    <cfRule type="containsText" dxfId="450" priority="17" operator="containsText" text="dog">
      <formula>NOT(ISERROR(SEARCH("dog",X15)))</formula>
    </cfRule>
    <cfRule type="containsText" dxfId="449" priority="18" operator="containsText" text="puzzle">
      <formula>NOT(ISERROR(SEARCH("puzzle",X15)))</formula>
    </cfRule>
    <cfRule type="containsText" dxfId="448" priority="19" operator="containsText" text="horse">
      <formula>NOT(ISERROR(SEARCH("horse",X15)))</formula>
    </cfRule>
  </conditionalFormatting>
  <conditionalFormatting sqref="AA7:AA8">
    <cfRule type="duplicateValues" dxfId="447" priority="2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338"/>
  <sheetViews>
    <sheetView zoomScale="85" zoomScaleNormal="85" workbookViewId="0">
      <pane ySplit="10" topLeftCell="A152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83"/>
      <c r="M4" s="483"/>
      <c r="N4" s="483"/>
      <c r="O4" s="483"/>
      <c r="P4" s="244"/>
      <c r="Q4" s="221"/>
      <c r="R4" s="222"/>
      <c r="S4" s="411"/>
      <c r="T4" s="412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39"/>
      <c r="N5" s="441"/>
      <c r="O5" s="441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2"/>
      <c r="AE6" s="442"/>
      <c r="AF6" s="442"/>
      <c r="AG6" s="442"/>
      <c r="AH6" s="442"/>
      <c r="AI6" s="442"/>
      <c r="AJ6" s="442"/>
    </row>
    <row r="7" spans="1:49" ht="19.5" customHeight="1" x14ac:dyDescent="0.35">
      <c r="A7" s="250"/>
      <c r="B7" s="469"/>
      <c r="C7" s="471"/>
      <c r="D7" s="471"/>
      <c r="E7" s="473"/>
      <c r="F7" s="252"/>
      <c r="G7" s="414"/>
      <c r="H7" s="414"/>
      <c r="I7" s="253"/>
      <c r="J7" s="414"/>
      <c r="K7" s="471"/>
      <c r="L7" s="471"/>
      <c r="M7" s="471"/>
      <c r="N7" s="477"/>
      <c r="O7" s="479"/>
      <c r="P7" s="479"/>
      <c r="Q7" s="479"/>
      <c r="R7" s="475"/>
      <c r="S7" s="481"/>
      <c r="T7" s="462"/>
      <c r="U7" s="254"/>
      <c r="V7" s="452"/>
      <c r="W7" s="452"/>
      <c r="X7" s="452"/>
      <c r="Y7" s="255"/>
      <c r="AA7" s="467"/>
      <c r="AB7" s="464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70"/>
      <c r="C8" s="472"/>
      <c r="D8" s="472"/>
      <c r="E8" s="474"/>
      <c r="F8" s="261"/>
      <c r="G8" s="415"/>
      <c r="H8" s="415"/>
      <c r="I8" s="262"/>
      <c r="J8" s="263"/>
      <c r="K8" s="472"/>
      <c r="L8" s="472"/>
      <c r="M8" s="472"/>
      <c r="N8" s="478"/>
      <c r="O8" s="480"/>
      <c r="P8" s="480"/>
      <c r="Q8" s="480"/>
      <c r="R8" s="476"/>
      <c r="S8" s="482"/>
      <c r="T8" s="463"/>
      <c r="U8" s="254"/>
      <c r="V8" s="453"/>
      <c r="W8" s="453"/>
      <c r="X8" s="453"/>
      <c r="Y8" s="265"/>
      <c r="AA8" s="468"/>
      <c r="AB8" s="465"/>
      <c r="AC8" s="420"/>
      <c r="AD8" s="420"/>
      <c r="AE8" s="420"/>
      <c r="AF8" s="420"/>
      <c r="AG8" s="420"/>
      <c r="AH8" s="420"/>
      <c r="AI8" s="420"/>
      <c r="AJ8" s="420"/>
      <c r="AK8" s="420"/>
      <c r="AL8" s="420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421"/>
      <c r="AB9" s="421"/>
      <c r="AC9" s="422"/>
      <c r="AD9" s="422"/>
      <c r="AE9" s="422"/>
      <c r="AF9" s="423"/>
      <c r="AG9" s="422"/>
      <c r="AH9" s="422"/>
      <c r="AI9" s="422"/>
      <c r="AJ9" s="423"/>
      <c r="AK9" s="424"/>
      <c r="AL9" s="425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66"/>
      <c r="X10" s="285"/>
      <c r="Y10" s="273"/>
      <c r="Z10" s="286"/>
      <c r="AA10" s="426"/>
      <c r="AB10" s="426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426"/>
      <c r="AB11" s="426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66"/>
      <c r="X12" s="285"/>
      <c r="Y12" s="273"/>
      <c r="AA12" s="426"/>
      <c r="AB12" s="426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426"/>
      <c r="AB13" s="426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426"/>
      <c r="AB14" s="426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426"/>
      <c r="AB15" s="426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426"/>
      <c r="AB16" s="426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426"/>
      <c r="AB17" s="426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4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426"/>
      <c r="AB18" s="426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4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426"/>
      <c r="AB19" s="426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4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426"/>
      <c r="AB20" s="426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4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426"/>
      <c r="AB21" s="426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4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426"/>
      <c r="AB22" s="426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4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426"/>
      <c r="AB23" s="426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4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427"/>
      <c r="AB24" s="427"/>
      <c r="AC24" s="349"/>
      <c r="AD24" s="349"/>
      <c r="AE24" s="349"/>
      <c r="AF24" s="350"/>
      <c r="AG24" s="349"/>
      <c r="AH24" s="349"/>
      <c r="AI24" s="349"/>
      <c r="AJ24" s="350"/>
      <c r="AK24" s="351"/>
      <c r="AL24" s="352"/>
      <c r="AM24" s="216"/>
      <c r="AN24" s="216"/>
    </row>
    <row r="25" spans="1:49" ht="20.25" customHeight="1" x14ac:dyDescent="0.35">
      <c r="A25" s="216"/>
      <c r="B25" s="317"/>
      <c r="C25" s="215"/>
      <c r="D25" s="215"/>
      <c r="E25" s="318"/>
      <c r="F25" s="428"/>
      <c r="G25" s="320"/>
      <c r="H25" s="320"/>
      <c r="I25" s="321"/>
      <c r="J25" s="274"/>
      <c r="K25" s="274"/>
      <c r="L25" s="274"/>
      <c r="M25" s="274"/>
      <c r="N25" s="323"/>
      <c r="O25" s="324"/>
      <c r="P25" s="324"/>
      <c r="Q25" s="324"/>
      <c r="R25" s="325"/>
      <c r="S25" s="392"/>
      <c r="T25" s="393"/>
      <c r="U25" s="254"/>
      <c r="V25" s="326"/>
      <c r="W25" s="326"/>
      <c r="X25" s="327"/>
      <c r="AA25" s="216"/>
      <c r="AB25" s="381"/>
      <c r="AC25" s="216"/>
      <c r="AD25" s="216"/>
      <c r="AE25" s="216"/>
      <c r="AF25" s="419"/>
      <c r="AG25" s="216"/>
      <c r="AH25" s="216"/>
      <c r="AI25" s="216"/>
      <c r="AJ25" s="419"/>
      <c r="AK25" s="382"/>
      <c r="AL25" s="383"/>
      <c r="AM25" s="216"/>
      <c r="AN25" s="216"/>
    </row>
    <row r="26" spans="1:49" ht="20.25" customHeight="1" x14ac:dyDescent="0.35">
      <c r="A26" s="216"/>
      <c r="B26" s="317"/>
      <c r="C26" s="215"/>
      <c r="D26" s="215"/>
      <c r="E26" s="318"/>
      <c r="F26" s="4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82"/>
      <c r="AL26" s="383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s="316" customFormat="1" ht="20.25" customHeight="1" x14ac:dyDescent="0.35">
      <c r="A28" s="303"/>
      <c r="B28" s="329"/>
      <c r="C28" s="330"/>
      <c r="D28" s="330"/>
      <c r="E28" s="330"/>
      <c r="F28" s="330"/>
      <c r="G28" s="331"/>
      <c r="H28" s="331"/>
      <c r="I28" s="333"/>
      <c r="J28" s="334"/>
      <c r="K28" s="330"/>
      <c r="L28" s="330"/>
      <c r="M28" s="330"/>
      <c r="N28" s="335"/>
      <c r="O28" s="336"/>
      <c r="P28" s="336"/>
      <c r="Q28" s="336"/>
      <c r="R28" s="337"/>
      <c r="S28" s="337"/>
      <c r="T28" s="337"/>
      <c r="U28" s="254"/>
      <c r="V28" s="326"/>
      <c r="W28" s="326"/>
      <c r="X28" s="327"/>
      <c r="Y28" s="224"/>
      <c r="Z28" s="418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50"/>
      <c r="AN28" s="250"/>
      <c r="AO28" s="315"/>
      <c r="AP28" s="315"/>
      <c r="AQ28" s="418"/>
      <c r="AR28" s="418"/>
      <c r="AS28" s="418"/>
      <c r="AT28" s="418"/>
      <c r="AU28" s="418"/>
      <c r="AV28" s="418"/>
      <c r="AW28" s="418"/>
    </row>
    <row r="29" spans="1:49" ht="20.25" customHeight="1" x14ac:dyDescent="0.35">
      <c r="A29" s="216"/>
      <c r="B29" s="317"/>
      <c r="C29" s="215"/>
      <c r="D29" s="215"/>
      <c r="E29" s="318"/>
      <c r="F29" s="4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4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4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4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4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4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4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4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4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4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4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4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17"/>
      <c r="C41" s="215"/>
      <c r="D41" s="215"/>
      <c r="E41" s="318"/>
      <c r="F41" s="428"/>
      <c r="G41" s="320"/>
      <c r="H41" s="320"/>
      <c r="I41" s="321"/>
      <c r="J41" s="274"/>
      <c r="K41" s="274"/>
      <c r="L41" s="274"/>
      <c r="M41" s="274"/>
      <c r="N41" s="323"/>
      <c r="O41" s="324"/>
      <c r="P41" s="324"/>
      <c r="Q41" s="324"/>
      <c r="R41" s="325"/>
      <c r="S41" s="392"/>
      <c r="T41" s="39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428"/>
      <c r="G42" s="320"/>
      <c r="H42" s="320"/>
      <c r="I42" s="321"/>
      <c r="J42" s="274"/>
      <c r="K42" s="274"/>
      <c r="L42" s="274"/>
      <c r="M42" s="274"/>
      <c r="N42" s="323"/>
      <c r="O42" s="324"/>
      <c r="P42" s="324"/>
      <c r="Q42" s="324"/>
      <c r="R42" s="325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428"/>
      <c r="G43" s="320"/>
      <c r="H43" s="320"/>
      <c r="I43" s="321"/>
      <c r="J43" s="274"/>
      <c r="K43" s="274"/>
      <c r="L43" s="274"/>
      <c r="M43" s="274"/>
      <c r="N43" s="323"/>
      <c r="O43" s="324"/>
      <c r="P43" s="324"/>
      <c r="Q43" s="324"/>
      <c r="R43" s="325"/>
      <c r="S43" s="392"/>
      <c r="T43" s="393"/>
      <c r="U43" s="254"/>
      <c r="V43" s="326"/>
      <c r="W43" s="326"/>
      <c r="X43" s="327"/>
      <c r="AA43" s="216"/>
      <c r="AB43" s="381"/>
      <c r="AC43" s="216"/>
      <c r="AD43" s="216"/>
      <c r="AE43" s="216"/>
      <c r="AF43" s="419"/>
      <c r="AG43" s="216"/>
      <c r="AH43" s="216"/>
      <c r="AI43" s="216"/>
      <c r="AJ43" s="419"/>
      <c r="AK43" s="382"/>
      <c r="AL43" s="383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428"/>
      <c r="G44" s="320"/>
      <c r="H44" s="320"/>
      <c r="I44" s="321"/>
      <c r="J44" s="274"/>
      <c r="K44" s="274"/>
      <c r="L44" s="274"/>
      <c r="M44" s="274"/>
      <c r="N44" s="323"/>
      <c r="O44" s="324"/>
      <c r="P44" s="324"/>
      <c r="Q44" s="324"/>
      <c r="R44" s="325"/>
      <c r="S44" s="392"/>
      <c r="T44" s="393"/>
      <c r="U44" s="254"/>
      <c r="V44" s="326"/>
      <c r="W44" s="326"/>
      <c r="X44" s="327"/>
      <c r="AA44" s="216"/>
      <c r="AB44" s="381"/>
      <c r="AC44" s="216"/>
      <c r="AD44" s="216"/>
      <c r="AE44" s="216"/>
      <c r="AF44" s="419"/>
      <c r="AG44" s="216"/>
      <c r="AH44" s="216"/>
      <c r="AI44" s="216"/>
      <c r="AJ44" s="419"/>
      <c r="AK44" s="382"/>
      <c r="AL44" s="383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20"/>
      <c r="I45" s="321"/>
      <c r="J45" s="274"/>
      <c r="K45" s="274"/>
      <c r="L45" s="274"/>
      <c r="M45" s="274"/>
      <c r="N45" s="323"/>
      <c r="O45" s="324"/>
      <c r="P45" s="324"/>
      <c r="Q45" s="324"/>
      <c r="R45" s="325"/>
      <c r="S45" s="392"/>
      <c r="T45" s="393"/>
      <c r="U45" s="254"/>
      <c r="V45" s="326"/>
      <c r="W45" s="326"/>
      <c r="X45" s="327"/>
      <c r="Y45" s="338"/>
      <c r="AA45" s="216"/>
      <c r="AB45" s="381"/>
      <c r="AC45" s="216"/>
      <c r="AD45" s="216"/>
      <c r="AE45" s="216"/>
      <c r="AF45" s="419"/>
      <c r="AG45" s="216"/>
      <c r="AH45" s="216"/>
      <c r="AI45" s="216"/>
      <c r="AJ45" s="419"/>
      <c r="AK45" s="382"/>
      <c r="AL45" s="383"/>
      <c r="AM45" s="216"/>
      <c r="AN45" s="216"/>
    </row>
    <row r="46" spans="1:40" ht="20.25" customHeight="1" x14ac:dyDescent="0.35">
      <c r="A46" s="216"/>
      <c r="B46" s="329"/>
      <c r="C46" s="334"/>
      <c r="D46" s="334"/>
      <c r="E46" s="334"/>
      <c r="F46" s="334"/>
      <c r="G46" s="339"/>
      <c r="H46" s="339"/>
      <c r="I46" s="339"/>
      <c r="J46" s="334"/>
      <c r="K46" s="330"/>
      <c r="L46" s="330"/>
      <c r="M46" s="330"/>
      <c r="N46" s="341"/>
      <c r="O46" s="342"/>
      <c r="P46" s="342"/>
      <c r="Q46" s="342"/>
      <c r="R46" s="343"/>
      <c r="S46" s="343"/>
      <c r="T46" s="343"/>
      <c r="U46" s="254"/>
      <c r="V46" s="326"/>
      <c r="W46" s="326"/>
      <c r="X46" s="327"/>
      <c r="AA46" s="216"/>
      <c r="AB46" s="381"/>
      <c r="AC46" s="216"/>
      <c r="AD46" s="216"/>
      <c r="AE46" s="216"/>
      <c r="AF46" s="419"/>
      <c r="AG46" s="216"/>
      <c r="AH46" s="216"/>
      <c r="AI46" s="216"/>
      <c r="AJ46" s="419"/>
      <c r="AK46" s="382"/>
      <c r="AL46" s="383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4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A47" s="216"/>
      <c r="AB47" s="381"/>
      <c r="AC47" s="216"/>
      <c r="AD47" s="216"/>
      <c r="AE47" s="216"/>
      <c r="AF47" s="419"/>
      <c r="AG47" s="216"/>
      <c r="AH47" s="216"/>
      <c r="AI47" s="216"/>
      <c r="AJ47" s="419"/>
      <c r="AK47" s="382"/>
      <c r="AL47" s="383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4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4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4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4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34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A52" s="216"/>
      <c r="AB52" s="353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303"/>
      <c r="B53" s="329"/>
      <c r="C53" s="330"/>
      <c r="D53" s="330"/>
      <c r="E53" s="330"/>
      <c r="F53" s="330"/>
      <c r="G53" s="331"/>
      <c r="H53" s="331"/>
      <c r="I53" s="331"/>
      <c r="J53" s="334"/>
      <c r="K53" s="330"/>
      <c r="L53" s="330"/>
      <c r="M53" s="330"/>
      <c r="N53" s="335"/>
      <c r="O53" s="336"/>
      <c r="P53" s="336"/>
      <c r="Q53" s="336"/>
      <c r="R53" s="337"/>
      <c r="S53" s="337"/>
      <c r="T53" s="337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4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Y54" s="338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4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4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4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45"/>
      <c r="C58" s="345"/>
      <c r="D58" s="345"/>
      <c r="E58" s="318"/>
      <c r="F58" s="357"/>
      <c r="G58" s="344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303"/>
      <c r="B59" s="329"/>
      <c r="C59" s="334"/>
      <c r="D59" s="334"/>
      <c r="E59" s="334"/>
      <c r="F59" s="334"/>
      <c r="G59" s="339"/>
      <c r="H59" s="339"/>
      <c r="I59" s="340"/>
      <c r="J59" s="334"/>
      <c r="K59" s="330"/>
      <c r="L59" s="330"/>
      <c r="M59" s="330"/>
      <c r="N59" s="341"/>
      <c r="O59" s="336"/>
      <c r="P59" s="336"/>
      <c r="Q59" s="336"/>
      <c r="R59" s="337"/>
      <c r="S59" s="337"/>
      <c r="T59" s="337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216"/>
      <c r="B60" s="358"/>
      <c r="C60" s="215"/>
      <c r="D60" s="215"/>
      <c r="E60" s="318"/>
      <c r="F60" s="428"/>
      <c r="G60" s="320"/>
      <c r="H60" s="344"/>
      <c r="I60" s="321"/>
      <c r="J60" s="274"/>
      <c r="K60" s="345"/>
      <c r="L60" s="345"/>
      <c r="M60" s="345"/>
      <c r="N60" s="346"/>
      <c r="O60" s="347"/>
      <c r="P60" s="347"/>
      <c r="Q60" s="347"/>
      <c r="R60" s="348"/>
      <c r="S60" s="392"/>
      <c r="T60" s="393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58"/>
      <c r="C61" s="215"/>
      <c r="D61" s="215"/>
      <c r="E61" s="318"/>
      <c r="F61" s="4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58"/>
      <c r="C62" s="215"/>
      <c r="D62" s="215"/>
      <c r="E62" s="318"/>
      <c r="F62" s="4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58"/>
      <c r="C63" s="215"/>
      <c r="D63" s="215"/>
      <c r="E63" s="318"/>
      <c r="F63" s="4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58"/>
      <c r="C64" s="215"/>
      <c r="D64" s="215"/>
      <c r="E64" s="318"/>
      <c r="F64" s="4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58"/>
      <c r="C65" s="215"/>
      <c r="D65" s="215"/>
      <c r="E65" s="318"/>
      <c r="F65" s="428"/>
      <c r="G65" s="320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216"/>
      <c r="B66" s="358"/>
      <c r="C66" s="215"/>
      <c r="D66" s="215"/>
      <c r="E66" s="318"/>
      <c r="F66" s="428"/>
      <c r="G66" s="320"/>
      <c r="H66" s="344"/>
      <c r="I66" s="321"/>
      <c r="J66" s="274"/>
      <c r="K66" s="345"/>
      <c r="L66" s="345"/>
      <c r="M66" s="345"/>
      <c r="N66" s="346"/>
      <c r="O66" s="347"/>
      <c r="P66" s="347"/>
      <c r="Q66" s="347"/>
      <c r="R66" s="348"/>
      <c r="S66" s="392"/>
      <c r="T66" s="393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4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4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4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34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303"/>
      <c r="B71" s="213"/>
      <c r="C71" s="214"/>
      <c r="D71" s="334"/>
      <c r="E71" s="334"/>
      <c r="F71" s="340"/>
      <c r="G71" s="339"/>
      <c r="H71" s="339"/>
      <c r="I71" s="339"/>
      <c r="J71" s="334"/>
      <c r="K71" s="330"/>
      <c r="L71" s="330"/>
      <c r="M71" s="330"/>
      <c r="N71" s="341"/>
      <c r="O71" s="336"/>
      <c r="P71" s="336"/>
      <c r="Q71" s="336"/>
      <c r="R71" s="337"/>
      <c r="S71" s="337"/>
      <c r="T71" s="337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211"/>
      <c r="C72" s="215"/>
      <c r="D72" s="215"/>
      <c r="E72" s="318"/>
      <c r="F72" s="4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17"/>
      <c r="C73" s="215"/>
      <c r="D73" s="215"/>
      <c r="E73" s="318"/>
      <c r="F73" s="4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17"/>
      <c r="C74" s="215"/>
      <c r="D74" s="34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303"/>
      <c r="B75" s="213"/>
      <c r="C75" s="214"/>
      <c r="D75" s="334"/>
      <c r="E75" s="334"/>
      <c r="F75" s="334"/>
      <c r="G75" s="339"/>
      <c r="H75" s="339"/>
      <c r="I75" s="339"/>
      <c r="J75" s="334"/>
      <c r="K75" s="330"/>
      <c r="L75" s="330"/>
      <c r="M75" s="330"/>
      <c r="N75" s="341"/>
      <c r="O75" s="336"/>
      <c r="P75" s="336"/>
      <c r="Q75" s="336"/>
      <c r="R75" s="337"/>
      <c r="S75" s="337"/>
      <c r="T75" s="337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211"/>
      <c r="C76" s="215"/>
      <c r="D76" s="215"/>
      <c r="E76" s="318"/>
      <c r="F76" s="4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17"/>
      <c r="C77" s="215"/>
      <c r="D77" s="215"/>
      <c r="E77" s="318"/>
      <c r="F77" s="4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17"/>
      <c r="C78" s="215"/>
      <c r="D78" s="215"/>
      <c r="E78" s="318"/>
      <c r="F78" s="4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17"/>
      <c r="C79" s="215"/>
      <c r="D79" s="215"/>
      <c r="E79" s="318"/>
      <c r="F79" s="4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17"/>
      <c r="C80" s="215"/>
      <c r="D80" s="215"/>
      <c r="E80" s="318"/>
      <c r="F80" s="4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17"/>
      <c r="C81" s="215"/>
      <c r="D81" s="215"/>
      <c r="E81" s="318"/>
      <c r="F81" s="4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17"/>
      <c r="C82" s="215"/>
      <c r="D82" s="215"/>
      <c r="E82" s="318"/>
      <c r="F82" s="4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17"/>
      <c r="C83" s="215"/>
      <c r="D83" s="215"/>
      <c r="E83" s="318"/>
      <c r="F83" s="4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17"/>
      <c r="C84" s="215"/>
      <c r="D84" s="34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303"/>
      <c r="B85" s="329"/>
      <c r="C85" s="329"/>
      <c r="D85" s="334"/>
      <c r="E85" s="334"/>
      <c r="F85" s="334"/>
      <c r="G85" s="339"/>
      <c r="H85" s="339"/>
      <c r="I85" s="339"/>
      <c r="J85" s="334"/>
      <c r="K85" s="330"/>
      <c r="L85" s="330"/>
      <c r="M85" s="330"/>
      <c r="N85" s="341"/>
      <c r="O85" s="336"/>
      <c r="P85" s="336"/>
      <c r="Q85" s="336"/>
      <c r="R85" s="337"/>
      <c r="S85" s="337"/>
      <c r="T85" s="337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9"/>
      <c r="C86" s="215"/>
      <c r="D86" s="215"/>
      <c r="E86" s="318"/>
      <c r="F86" s="4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17"/>
      <c r="C87" s="215"/>
      <c r="D87" s="215"/>
      <c r="E87" s="318"/>
      <c r="F87" s="4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17"/>
      <c r="C88" s="215"/>
      <c r="D88" s="215"/>
      <c r="E88" s="318"/>
      <c r="F88" s="4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17"/>
      <c r="C89" s="215"/>
      <c r="D89" s="215"/>
      <c r="E89" s="318"/>
      <c r="F89" s="4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45"/>
      <c r="C90" s="345"/>
      <c r="D90" s="345"/>
      <c r="E90" s="318"/>
      <c r="F90" s="357"/>
      <c r="G90" s="344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303"/>
      <c r="B91" s="329"/>
      <c r="C91" s="329"/>
      <c r="D91" s="334"/>
      <c r="E91" s="334"/>
      <c r="F91" s="334"/>
      <c r="G91" s="339"/>
      <c r="H91" s="339"/>
      <c r="I91" s="340"/>
      <c r="J91" s="334"/>
      <c r="K91" s="330"/>
      <c r="L91" s="330"/>
      <c r="M91" s="330"/>
      <c r="N91" s="341"/>
      <c r="O91" s="336"/>
      <c r="P91" s="336"/>
      <c r="Q91" s="336"/>
      <c r="R91" s="337"/>
      <c r="S91" s="337"/>
      <c r="T91" s="337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17"/>
      <c r="C92" s="215"/>
      <c r="D92" s="215"/>
      <c r="E92" s="318"/>
      <c r="F92" s="4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17"/>
      <c r="C93" s="215"/>
      <c r="D93" s="215"/>
      <c r="E93" s="318"/>
      <c r="F93" s="4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17"/>
      <c r="C94" s="215"/>
      <c r="D94" s="215"/>
      <c r="E94" s="318"/>
      <c r="F94" s="4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45"/>
      <c r="C95" s="345"/>
      <c r="D95" s="345"/>
      <c r="E95" s="318"/>
      <c r="F95" s="357"/>
      <c r="G95" s="344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Y95" s="338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303"/>
      <c r="B96" s="329"/>
      <c r="C96" s="329"/>
      <c r="D96" s="334"/>
      <c r="E96" s="334"/>
      <c r="F96" s="340"/>
      <c r="G96" s="339"/>
      <c r="H96" s="339"/>
      <c r="I96" s="340"/>
      <c r="J96" s="334"/>
      <c r="K96" s="330"/>
      <c r="L96" s="330"/>
      <c r="M96" s="330"/>
      <c r="N96" s="341"/>
      <c r="O96" s="336"/>
      <c r="P96" s="336"/>
      <c r="Q96" s="336"/>
      <c r="R96" s="337"/>
      <c r="S96" s="337"/>
      <c r="T96" s="337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17"/>
      <c r="C97" s="215"/>
      <c r="D97" s="215"/>
      <c r="E97" s="318"/>
      <c r="F97" s="4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17"/>
      <c r="C98" s="215"/>
      <c r="D98" s="215"/>
      <c r="E98" s="318"/>
      <c r="F98" s="4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17"/>
      <c r="C99" s="215"/>
      <c r="D99" s="215"/>
      <c r="E99" s="318"/>
      <c r="F99" s="4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17"/>
      <c r="C100" s="215"/>
      <c r="D100" s="215"/>
      <c r="E100" s="318"/>
      <c r="F100" s="4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17"/>
      <c r="C101" s="215"/>
      <c r="D101" s="215"/>
      <c r="E101" s="318"/>
      <c r="F101" s="4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216"/>
      <c r="B102" s="317"/>
      <c r="C102" s="215"/>
      <c r="D102" s="215"/>
      <c r="E102" s="318"/>
      <c r="F102" s="428"/>
      <c r="G102" s="320"/>
      <c r="H102" s="344"/>
      <c r="I102" s="321"/>
      <c r="J102" s="274"/>
      <c r="K102" s="345"/>
      <c r="L102" s="345"/>
      <c r="M102" s="345"/>
      <c r="N102" s="346"/>
      <c r="O102" s="347"/>
      <c r="P102" s="347"/>
      <c r="Q102" s="347"/>
      <c r="R102" s="348"/>
      <c r="S102" s="392"/>
      <c r="T102" s="393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317"/>
      <c r="C103" s="215"/>
      <c r="D103" s="215"/>
      <c r="E103" s="318"/>
      <c r="F103" s="4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4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4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4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215"/>
      <c r="E107" s="318"/>
      <c r="F107" s="4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216"/>
      <c r="B108" s="317"/>
      <c r="C108" s="215"/>
      <c r="D108" s="215"/>
      <c r="E108" s="318"/>
      <c r="F108" s="428"/>
      <c r="G108" s="320"/>
      <c r="H108" s="344"/>
      <c r="I108" s="321"/>
      <c r="J108" s="274"/>
      <c r="K108" s="345"/>
      <c r="L108" s="345"/>
      <c r="M108" s="345"/>
      <c r="N108" s="346"/>
      <c r="O108" s="347"/>
      <c r="P108" s="347"/>
      <c r="Q108" s="347"/>
      <c r="R108" s="348"/>
      <c r="S108" s="392"/>
      <c r="T108" s="393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17"/>
      <c r="C109" s="215"/>
      <c r="D109" s="215"/>
      <c r="E109" s="318"/>
      <c r="F109" s="4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17"/>
      <c r="C110" s="215"/>
      <c r="D110" s="215"/>
      <c r="E110" s="318"/>
      <c r="F110" s="428"/>
      <c r="G110" s="320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216"/>
      <c r="B111" s="317"/>
      <c r="C111" s="215"/>
      <c r="D111" s="215"/>
      <c r="E111" s="318"/>
      <c r="F111" s="428"/>
      <c r="G111" s="320"/>
      <c r="H111" s="344"/>
      <c r="I111" s="321"/>
      <c r="J111" s="274"/>
      <c r="K111" s="345"/>
      <c r="L111" s="345"/>
      <c r="M111" s="345"/>
      <c r="N111" s="346"/>
      <c r="O111" s="347"/>
      <c r="P111" s="347"/>
      <c r="Q111" s="347"/>
      <c r="R111" s="348"/>
      <c r="S111" s="392"/>
      <c r="T111" s="393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4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4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4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4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4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4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4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45"/>
      <c r="C119" s="215"/>
      <c r="D119" s="215"/>
      <c r="E119" s="318"/>
      <c r="F119" s="4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45"/>
      <c r="C120" s="345"/>
      <c r="D120" s="345"/>
      <c r="E120" s="318"/>
      <c r="F120" s="357"/>
      <c r="G120" s="344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303"/>
      <c r="B121" s="329"/>
      <c r="C121" s="329"/>
      <c r="D121" s="334"/>
      <c r="E121" s="334"/>
      <c r="F121" s="340"/>
      <c r="G121" s="339"/>
      <c r="H121" s="339"/>
      <c r="I121" s="340"/>
      <c r="J121" s="334"/>
      <c r="K121" s="330"/>
      <c r="L121" s="330"/>
      <c r="M121" s="330"/>
      <c r="N121" s="341"/>
      <c r="O121" s="336"/>
      <c r="P121" s="336"/>
      <c r="Q121" s="336"/>
      <c r="R121" s="337"/>
      <c r="S121" s="337"/>
      <c r="T121" s="337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59"/>
      <c r="C122" s="215"/>
      <c r="D122" s="215"/>
      <c r="E122" s="318"/>
      <c r="F122" s="4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59"/>
      <c r="C123" s="215"/>
      <c r="D123" s="215"/>
      <c r="E123" s="318"/>
      <c r="F123" s="4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Y123" s="338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59"/>
      <c r="C124" s="215"/>
      <c r="D124" s="345"/>
      <c r="E124" s="318"/>
      <c r="F124" s="428"/>
      <c r="G124" s="320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216"/>
      <c r="B125" s="359"/>
      <c r="C125" s="215"/>
      <c r="D125" s="345"/>
      <c r="E125" s="318"/>
      <c r="F125" s="428"/>
      <c r="G125" s="320"/>
      <c r="H125" s="344"/>
      <c r="I125" s="321"/>
      <c r="J125" s="274"/>
      <c r="K125" s="345"/>
      <c r="L125" s="345"/>
      <c r="M125" s="345"/>
      <c r="N125" s="346"/>
      <c r="O125" s="347"/>
      <c r="P125" s="347"/>
      <c r="Q125" s="347"/>
      <c r="R125" s="348"/>
      <c r="S125" s="392"/>
      <c r="T125" s="393"/>
      <c r="U125" s="254"/>
      <c r="V125" s="326"/>
      <c r="W125" s="326"/>
      <c r="X125" s="327"/>
      <c r="Y125" s="338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59"/>
      <c r="C126" s="215"/>
      <c r="D126" s="345"/>
      <c r="E126" s="318"/>
      <c r="F126" s="4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Y126" s="338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59"/>
      <c r="C127" s="215"/>
      <c r="D127" s="345"/>
      <c r="E127" s="318"/>
      <c r="F127" s="4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Y127" s="338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45"/>
      <c r="C128" s="345"/>
      <c r="D128" s="345"/>
      <c r="E128" s="318"/>
      <c r="F128" s="328"/>
      <c r="G128" s="344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303"/>
      <c r="AB128" s="354"/>
      <c r="AC128" s="303"/>
      <c r="AD128" s="303"/>
      <c r="AE128" s="303"/>
      <c r="AF128" s="303"/>
      <c r="AG128" s="303"/>
      <c r="AH128" s="303"/>
      <c r="AI128" s="303"/>
      <c r="AJ128" s="303"/>
      <c r="AK128" s="355"/>
      <c r="AL128" s="356"/>
      <c r="AM128" s="216"/>
      <c r="AN128" s="216"/>
    </row>
    <row r="129" spans="1:40" ht="20.25" customHeight="1" x14ac:dyDescent="0.35">
      <c r="A129" s="216"/>
      <c r="B129" s="360"/>
      <c r="C129" s="360"/>
      <c r="D129" s="360"/>
      <c r="E129" s="360"/>
      <c r="F129" s="360"/>
      <c r="G129" s="361"/>
      <c r="H129" s="361"/>
      <c r="I129" s="363"/>
      <c r="J129" s="364"/>
      <c r="K129" s="364"/>
      <c r="L129" s="364"/>
      <c r="M129" s="364"/>
      <c r="N129" s="365"/>
      <c r="O129" s="366"/>
      <c r="P129" s="366"/>
      <c r="Q129" s="366"/>
      <c r="R129" s="367"/>
      <c r="S129" s="367"/>
      <c r="T129" s="367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303"/>
      <c r="B130" s="329"/>
      <c r="C130" s="330"/>
      <c r="D130" s="330"/>
      <c r="E130" s="330"/>
      <c r="F130" s="332"/>
      <c r="G130" s="331"/>
      <c r="H130" s="331"/>
      <c r="I130" s="332"/>
      <c r="J130" s="334"/>
      <c r="K130" s="330"/>
      <c r="L130" s="330"/>
      <c r="M130" s="330"/>
      <c r="N130" s="341"/>
      <c r="O130" s="342"/>
      <c r="P130" s="342"/>
      <c r="Q130" s="342"/>
      <c r="R130" s="343"/>
      <c r="S130" s="390"/>
      <c r="T130" s="390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216"/>
      <c r="B131" s="368"/>
      <c r="C131" s="215"/>
      <c r="D131" s="215"/>
      <c r="E131" s="318"/>
      <c r="F131" s="428"/>
      <c r="G131" s="320"/>
      <c r="H131" s="344"/>
      <c r="I131" s="321"/>
      <c r="J131" s="274"/>
      <c r="K131" s="345"/>
      <c r="L131" s="345"/>
      <c r="M131" s="345"/>
      <c r="N131" s="346"/>
      <c r="O131" s="347"/>
      <c r="P131" s="347"/>
      <c r="Q131" s="347"/>
      <c r="R131" s="348"/>
      <c r="S131" s="392"/>
      <c r="T131" s="393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68"/>
      <c r="C132" s="215"/>
      <c r="D132" s="215"/>
      <c r="E132" s="318"/>
      <c r="F132" s="4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68"/>
      <c r="C133" s="215"/>
      <c r="D133" s="215"/>
      <c r="E133" s="318"/>
      <c r="F133" s="4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68"/>
      <c r="C134" s="215"/>
      <c r="D134" s="215"/>
      <c r="E134" s="318"/>
      <c r="F134" s="4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68"/>
      <c r="C135" s="215"/>
      <c r="D135" s="215"/>
      <c r="E135" s="318"/>
      <c r="F135" s="4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68"/>
      <c r="C136" s="215"/>
      <c r="D136" s="215"/>
      <c r="E136" s="318"/>
      <c r="F136" s="4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68"/>
      <c r="C137" s="215"/>
      <c r="D137" s="215"/>
      <c r="E137" s="318"/>
      <c r="F137" s="4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s="316" customFormat="1" ht="20.25" customHeight="1" x14ac:dyDescent="0.35">
      <c r="A138" s="216"/>
      <c r="B138" s="368"/>
      <c r="C138" s="215"/>
      <c r="D138" s="215"/>
      <c r="E138" s="318"/>
      <c r="F138" s="428"/>
      <c r="G138" s="320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Y138" s="224"/>
      <c r="Z138" s="418"/>
      <c r="AA138" s="216"/>
      <c r="AB138" s="353"/>
      <c r="AC138" s="216"/>
      <c r="AD138" s="216"/>
      <c r="AE138" s="216"/>
      <c r="AF138" s="216"/>
      <c r="AG138" s="216"/>
      <c r="AH138" s="216"/>
      <c r="AI138" s="216"/>
      <c r="AJ138" s="216"/>
      <c r="AK138" s="225"/>
      <c r="AL138" s="226"/>
      <c r="AM138" s="303"/>
      <c r="AN138" s="303"/>
    </row>
    <row r="139" spans="1:40" s="316" customFormat="1" ht="20.25" customHeight="1" x14ac:dyDescent="0.35">
      <c r="A139" s="216"/>
      <c r="B139" s="368"/>
      <c r="C139" s="215"/>
      <c r="D139" s="215"/>
      <c r="E139" s="318"/>
      <c r="F139" s="428"/>
      <c r="G139" s="320"/>
      <c r="H139" s="344"/>
      <c r="I139" s="321"/>
      <c r="J139" s="274"/>
      <c r="K139" s="345"/>
      <c r="L139" s="345"/>
      <c r="M139" s="345"/>
      <c r="N139" s="346"/>
      <c r="O139" s="347"/>
      <c r="P139" s="347"/>
      <c r="Q139" s="347"/>
      <c r="R139" s="348"/>
      <c r="S139" s="392"/>
      <c r="T139" s="393"/>
      <c r="U139" s="254"/>
      <c r="V139" s="326"/>
      <c r="W139" s="326"/>
      <c r="X139" s="327"/>
      <c r="Y139" s="224"/>
      <c r="Z139" s="418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K139" s="225"/>
      <c r="AL139" s="226"/>
      <c r="AM139" s="303"/>
      <c r="AN139" s="303"/>
    </row>
    <row r="140" spans="1:40" s="316" customFormat="1" ht="20.25" customHeight="1" x14ac:dyDescent="0.35">
      <c r="A140" s="216"/>
      <c r="B140" s="368"/>
      <c r="C140" s="215"/>
      <c r="D140" s="215"/>
      <c r="E140" s="318"/>
      <c r="F140" s="428"/>
      <c r="G140" s="320"/>
      <c r="H140" s="344"/>
      <c r="I140" s="321"/>
      <c r="J140" s="274"/>
      <c r="K140" s="345"/>
      <c r="L140" s="345"/>
      <c r="M140" s="345"/>
      <c r="N140" s="346"/>
      <c r="O140" s="347"/>
      <c r="P140" s="347"/>
      <c r="Q140" s="347"/>
      <c r="R140" s="348"/>
      <c r="S140" s="392"/>
      <c r="T140" s="393"/>
      <c r="U140" s="254"/>
      <c r="V140" s="326"/>
      <c r="W140" s="326"/>
      <c r="X140" s="327"/>
      <c r="Y140" s="224"/>
      <c r="Z140" s="418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K140" s="225"/>
      <c r="AL140" s="226"/>
      <c r="AM140" s="303"/>
      <c r="AN140" s="303"/>
    </row>
    <row r="141" spans="1:40" s="316" customFormat="1" ht="20.25" customHeight="1" x14ac:dyDescent="0.35">
      <c r="A141" s="216"/>
      <c r="B141" s="368"/>
      <c r="C141" s="215"/>
      <c r="D141" s="215"/>
      <c r="E141" s="318"/>
      <c r="F141" s="4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Y141" s="224"/>
      <c r="Z141" s="418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K141" s="225"/>
      <c r="AL141" s="226"/>
      <c r="AM141" s="303"/>
      <c r="AN141" s="303"/>
    </row>
    <row r="142" spans="1:40" s="316" customFormat="1" ht="20.25" customHeight="1" x14ac:dyDescent="0.35">
      <c r="A142" s="216"/>
      <c r="B142" s="368"/>
      <c r="C142" s="215"/>
      <c r="D142" s="215"/>
      <c r="E142" s="318"/>
      <c r="F142" s="4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Y142" s="224"/>
      <c r="Z142" s="418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K142" s="225"/>
      <c r="AL142" s="226"/>
      <c r="AM142" s="303"/>
      <c r="AN142" s="303"/>
    </row>
    <row r="143" spans="1:40" s="316" customFormat="1" ht="20.25" customHeight="1" x14ac:dyDescent="0.35">
      <c r="A143" s="216"/>
      <c r="B143" s="368"/>
      <c r="C143" s="215"/>
      <c r="D143" s="215"/>
      <c r="E143" s="318"/>
      <c r="F143" s="4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Y143" s="224"/>
      <c r="Z143" s="418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K143" s="225"/>
      <c r="AL143" s="226"/>
      <c r="AM143" s="303"/>
      <c r="AN143" s="303"/>
    </row>
    <row r="144" spans="1:40" ht="20.25" customHeight="1" x14ac:dyDescent="0.35">
      <c r="A144" s="216"/>
      <c r="B144" s="368"/>
      <c r="C144" s="215"/>
      <c r="D144" s="215"/>
      <c r="E144" s="318"/>
      <c r="F144" s="4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303"/>
      <c r="AB144" s="354"/>
      <c r="AC144" s="303"/>
      <c r="AD144" s="303"/>
      <c r="AE144" s="303"/>
      <c r="AF144" s="303"/>
      <c r="AG144" s="303"/>
      <c r="AH144" s="303"/>
      <c r="AI144" s="303"/>
      <c r="AJ144" s="303"/>
      <c r="AK144" s="355"/>
      <c r="AL144" s="356"/>
      <c r="AM144" s="216"/>
      <c r="AN144" s="216"/>
    </row>
    <row r="145" spans="1:40" ht="20.25" customHeight="1" x14ac:dyDescent="0.35">
      <c r="A145" s="216"/>
      <c r="B145" s="368"/>
      <c r="C145" s="368"/>
      <c r="D145" s="34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303"/>
      <c r="B146" s="329"/>
      <c r="C146" s="330"/>
      <c r="D146" s="330"/>
      <c r="E146" s="330"/>
      <c r="F146" s="330"/>
      <c r="G146" s="331"/>
      <c r="H146" s="331"/>
      <c r="I146" s="332"/>
      <c r="J146" s="334"/>
      <c r="K146" s="330"/>
      <c r="L146" s="330"/>
      <c r="M146" s="330"/>
      <c r="N146" s="341"/>
      <c r="O146" s="342"/>
      <c r="P146" s="342"/>
      <c r="Q146" s="342"/>
      <c r="R146" s="343"/>
      <c r="S146" s="343"/>
      <c r="T146" s="343"/>
      <c r="U146" s="254"/>
      <c r="V146" s="326"/>
      <c r="W146" s="326"/>
      <c r="X146" s="327"/>
      <c r="Y146" s="338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59"/>
      <c r="C147" s="215"/>
      <c r="D147" s="215"/>
      <c r="E147" s="318"/>
      <c r="F147" s="4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Y147" s="338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ht="20.25" customHeight="1" x14ac:dyDescent="0.35">
      <c r="A148" s="216"/>
      <c r="B148" s="359"/>
      <c r="C148" s="215"/>
      <c r="D148" s="215"/>
      <c r="E148" s="318"/>
      <c r="F148" s="4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33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M148" s="216"/>
      <c r="AN148" s="216"/>
    </row>
    <row r="149" spans="1:40" ht="20.25" customHeight="1" x14ac:dyDescent="0.35">
      <c r="A149" s="216"/>
      <c r="B149" s="359"/>
      <c r="C149" s="215"/>
      <c r="D149" s="215"/>
      <c r="E149" s="318"/>
      <c r="F149" s="4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33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M149" s="216"/>
      <c r="AN149" s="216"/>
    </row>
    <row r="150" spans="1:40" ht="20.25" customHeight="1" x14ac:dyDescent="0.35">
      <c r="A150" s="216"/>
      <c r="B150" s="359"/>
      <c r="C150" s="215"/>
      <c r="D150" s="215"/>
      <c r="E150" s="318"/>
      <c r="F150" s="4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33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M150" s="216"/>
      <c r="AN150" s="216"/>
    </row>
    <row r="151" spans="1:40" ht="20.25" customHeight="1" x14ac:dyDescent="0.35">
      <c r="A151" s="216"/>
      <c r="B151" s="359"/>
      <c r="C151" s="215"/>
      <c r="D151" s="215"/>
      <c r="E151" s="318"/>
      <c r="F151" s="4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33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M151" s="216"/>
      <c r="AN151" s="216"/>
    </row>
    <row r="152" spans="1:40" ht="20.25" customHeight="1" x14ac:dyDescent="0.35">
      <c r="A152" s="216"/>
      <c r="B152" s="359"/>
      <c r="C152" s="215"/>
      <c r="D152" s="215"/>
      <c r="E152" s="318"/>
      <c r="F152" s="4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Y152" s="338"/>
      <c r="AA152" s="216"/>
      <c r="AB152" s="353"/>
      <c r="AC152" s="216"/>
      <c r="AD152" s="216"/>
      <c r="AE152" s="216"/>
      <c r="AF152" s="216"/>
      <c r="AG152" s="216"/>
      <c r="AH152" s="216"/>
      <c r="AI152" s="216"/>
      <c r="AJ152" s="216"/>
      <c r="AM152" s="216"/>
      <c r="AN152" s="216"/>
    </row>
    <row r="153" spans="1:40" ht="20.25" customHeight="1" x14ac:dyDescent="0.35">
      <c r="A153" s="216"/>
      <c r="B153" s="359"/>
      <c r="C153" s="215"/>
      <c r="D153" s="215"/>
      <c r="E153" s="318"/>
      <c r="F153" s="4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216"/>
      <c r="B154" s="359"/>
      <c r="C154" s="215"/>
      <c r="D154" s="215"/>
      <c r="E154" s="318"/>
      <c r="F154" s="428"/>
      <c r="G154" s="320"/>
      <c r="H154" s="344"/>
      <c r="I154" s="321"/>
      <c r="J154" s="274"/>
      <c r="K154" s="345"/>
      <c r="L154" s="345"/>
      <c r="M154" s="345"/>
      <c r="N154" s="346"/>
      <c r="O154" s="347"/>
      <c r="P154" s="347"/>
      <c r="Q154" s="347"/>
      <c r="R154" s="348"/>
      <c r="S154" s="392"/>
      <c r="T154" s="393"/>
      <c r="U154" s="254"/>
      <c r="V154" s="326"/>
      <c r="W154" s="326"/>
      <c r="X154" s="327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4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s="316" customFormat="1" ht="20.25" customHeight="1" x14ac:dyDescent="0.35">
      <c r="A156" s="216"/>
      <c r="B156" s="359"/>
      <c r="C156" s="215"/>
      <c r="D156" s="215"/>
      <c r="E156" s="318"/>
      <c r="F156" s="4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224"/>
      <c r="Z156" s="41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K156" s="225"/>
      <c r="AL156" s="226"/>
      <c r="AM156" s="303"/>
      <c r="AN156" s="303"/>
    </row>
    <row r="157" spans="1:40" ht="20.25" customHeight="1" x14ac:dyDescent="0.35">
      <c r="A157" s="216"/>
      <c r="B157" s="368"/>
      <c r="C157" s="368"/>
      <c r="D157" s="34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303"/>
      <c r="B158" s="329"/>
      <c r="C158" s="330"/>
      <c r="D158" s="330"/>
      <c r="E158" s="330"/>
      <c r="F158" s="332"/>
      <c r="G158" s="331"/>
      <c r="H158" s="331"/>
      <c r="I158" s="333"/>
      <c r="J158" s="334"/>
      <c r="K158" s="330"/>
      <c r="L158" s="330"/>
      <c r="M158" s="330"/>
      <c r="N158" s="335"/>
      <c r="O158" s="336"/>
      <c r="P158" s="336"/>
      <c r="Q158" s="336"/>
      <c r="R158" s="337"/>
      <c r="S158" s="337"/>
      <c r="T158" s="337"/>
      <c r="U158" s="254"/>
      <c r="V158" s="326"/>
      <c r="W158" s="326"/>
      <c r="X158" s="327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17"/>
      <c r="C159" s="215"/>
      <c r="D159" s="215"/>
      <c r="E159" s="318"/>
      <c r="F159" s="319"/>
      <c r="G159" s="320"/>
      <c r="H159" s="320"/>
      <c r="I159" s="321"/>
      <c r="J159" s="274"/>
      <c r="K159" s="322"/>
      <c r="L159" s="274"/>
      <c r="M159" s="274"/>
      <c r="N159" s="323"/>
      <c r="O159" s="324"/>
      <c r="P159" s="324"/>
      <c r="Q159" s="324"/>
      <c r="R159" s="325"/>
      <c r="S159" s="392"/>
      <c r="T159" s="393"/>
      <c r="U159" s="254"/>
      <c r="V159" s="326"/>
      <c r="W159" s="326"/>
      <c r="X159" s="327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68"/>
      <c r="C160" s="368"/>
      <c r="D160" s="34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303"/>
      <c r="B161" s="329"/>
      <c r="C161" s="329"/>
      <c r="D161" s="330"/>
      <c r="E161" s="330"/>
      <c r="F161" s="330"/>
      <c r="G161" s="331"/>
      <c r="H161" s="331"/>
      <c r="I161" s="332"/>
      <c r="J161" s="334"/>
      <c r="K161" s="330"/>
      <c r="L161" s="330"/>
      <c r="M161" s="330"/>
      <c r="N161" s="335"/>
      <c r="O161" s="336"/>
      <c r="P161" s="336"/>
      <c r="Q161" s="336"/>
      <c r="R161" s="337"/>
      <c r="S161" s="337"/>
      <c r="T161" s="337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ht="20.25" customHeight="1" x14ac:dyDescent="0.35">
      <c r="A162" s="216"/>
      <c r="B162" s="368"/>
      <c r="C162" s="215"/>
      <c r="D162" s="215"/>
      <c r="E162" s="318"/>
      <c r="F162" s="4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M162" s="216"/>
      <c r="AN162" s="216"/>
    </row>
    <row r="163" spans="1:40" ht="20.25" customHeight="1" x14ac:dyDescent="0.35">
      <c r="A163" s="216"/>
      <c r="B163" s="368"/>
      <c r="C163" s="215"/>
      <c r="D163" s="21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216"/>
      <c r="B164" s="368"/>
      <c r="C164" s="215"/>
      <c r="D164" s="215"/>
      <c r="E164" s="318"/>
      <c r="F164" s="328"/>
      <c r="G164" s="320"/>
      <c r="H164" s="344"/>
      <c r="I164" s="321"/>
      <c r="J164" s="274"/>
      <c r="K164" s="345"/>
      <c r="L164" s="345"/>
      <c r="M164" s="345"/>
      <c r="N164" s="346"/>
      <c r="O164" s="347"/>
      <c r="P164" s="347"/>
      <c r="Q164" s="347"/>
      <c r="R164" s="348"/>
      <c r="S164" s="392"/>
      <c r="T164" s="393"/>
      <c r="U164" s="254"/>
      <c r="V164" s="326"/>
      <c r="W164" s="326"/>
      <c r="X164" s="327"/>
      <c r="Y164" s="338"/>
      <c r="Z164" s="315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68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Y165" s="418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</row>
    <row r="166" spans="1:40" ht="20.25" customHeight="1" x14ac:dyDescent="0.35">
      <c r="A166" s="216"/>
      <c r="B166" s="368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Y166" s="418"/>
    </row>
    <row r="167" spans="1:40" ht="20.25" customHeight="1" x14ac:dyDescent="0.35">
      <c r="A167" s="216"/>
      <c r="B167" s="369"/>
      <c r="C167" s="370"/>
      <c r="D167" s="370"/>
      <c r="E167" s="371"/>
      <c r="F167" s="372"/>
      <c r="G167" s="373"/>
      <c r="H167" s="374"/>
      <c r="I167" s="375"/>
      <c r="J167" s="349"/>
      <c r="K167" s="376"/>
      <c r="L167" s="376"/>
      <c r="M167" s="376"/>
      <c r="N167" s="377"/>
      <c r="O167" s="378"/>
      <c r="P167" s="378"/>
      <c r="Q167" s="378"/>
      <c r="R167" s="379"/>
      <c r="S167" s="396"/>
      <c r="T167" s="397"/>
      <c r="U167" s="254"/>
      <c r="V167" s="326"/>
      <c r="W167" s="326"/>
      <c r="X167" s="327"/>
      <c r="Y167" s="418"/>
    </row>
    <row r="168" spans="1:40" ht="15" customHeight="1" x14ac:dyDescent="0.35">
      <c r="U168" s="315"/>
      <c r="V168" s="418"/>
      <c r="W168" s="418"/>
      <c r="X168" s="418"/>
    </row>
    <row r="169" spans="1:40" ht="15" customHeight="1" x14ac:dyDescent="0.35">
      <c r="U169" s="315"/>
      <c r="V169" s="418"/>
      <c r="W169" s="418"/>
      <c r="X169" s="418"/>
    </row>
    <row r="170" spans="1:40" ht="15" customHeight="1" x14ac:dyDescent="0.35">
      <c r="V170" s="418"/>
      <c r="W170" s="418"/>
      <c r="X170" s="418"/>
    </row>
    <row r="171" spans="1:40" ht="15" customHeight="1" x14ac:dyDescent="0.35"/>
    <row r="172" spans="1:40" ht="15" customHeight="1" x14ac:dyDescent="0.35"/>
    <row r="173" spans="1:40" ht="15" customHeight="1" x14ac:dyDescent="0.35"/>
    <row r="174" spans="1:40" ht="15" customHeight="1" x14ac:dyDescent="0.35"/>
    <row r="175" spans="1:40" ht="15" customHeight="1" x14ac:dyDescent="0.35"/>
    <row r="176" spans="1:40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AC6:AF6"/>
    <mergeCell ref="AG6:AJ6"/>
    <mergeCell ref="V7:V8"/>
    <mergeCell ref="B7:B8"/>
    <mergeCell ref="C7:C8"/>
    <mergeCell ref="D7:D8"/>
    <mergeCell ref="E7:E8"/>
    <mergeCell ref="K7:K8"/>
    <mergeCell ref="R7:R8"/>
    <mergeCell ref="L7:L8"/>
    <mergeCell ref="M7:M8"/>
    <mergeCell ref="N7:N8"/>
    <mergeCell ref="O7:O8"/>
    <mergeCell ref="P7:P8"/>
    <mergeCell ref="Q7:Q8"/>
    <mergeCell ref="S7:S8"/>
    <mergeCell ref="T7:T8"/>
    <mergeCell ref="X7:X8"/>
    <mergeCell ref="AB7:AB8"/>
    <mergeCell ref="V10:W10"/>
    <mergeCell ref="V12:W12"/>
    <mergeCell ref="W7:W8"/>
    <mergeCell ref="AA7:AA8"/>
  </mergeCells>
  <conditionalFormatting sqref="B15">
    <cfRule type="duplicateValues" dxfId="446" priority="13"/>
    <cfRule type="duplicateValues" dxfId="445" priority="14"/>
  </conditionalFormatting>
  <conditionalFormatting sqref="B71:B73">
    <cfRule type="duplicateValues" dxfId="444" priority="32"/>
  </conditionalFormatting>
  <conditionalFormatting sqref="B75:B83">
    <cfRule type="duplicateValues" dxfId="443" priority="9"/>
  </conditionalFormatting>
  <conditionalFormatting sqref="B87">
    <cfRule type="duplicateValues" dxfId="442" priority="3"/>
    <cfRule type="duplicateValues" dxfId="441" priority="4"/>
  </conditionalFormatting>
  <conditionalFormatting sqref="B88:B89">
    <cfRule type="duplicateValues" dxfId="440" priority="6"/>
    <cfRule type="duplicateValues" dxfId="439" priority="7"/>
  </conditionalFormatting>
  <conditionalFormatting sqref="B142:B144">
    <cfRule type="duplicateValues" dxfId="438" priority="1"/>
    <cfRule type="duplicateValues" dxfId="437" priority="2"/>
  </conditionalFormatting>
  <conditionalFormatting sqref="B159">
    <cfRule type="duplicateValues" dxfId="436" priority="15"/>
    <cfRule type="duplicateValues" dxfId="435" priority="16"/>
  </conditionalFormatting>
  <conditionalFormatting sqref="B160:B1048576 B1:B14 B74 B84:B86 B16:B70 B90:B141 B145:B158">
    <cfRule type="duplicateValues" dxfId="434" priority="25"/>
  </conditionalFormatting>
  <conditionalFormatting sqref="B16:C16 C15">
    <cfRule type="duplicateValues" dxfId="433" priority="23"/>
  </conditionalFormatting>
  <conditionalFormatting sqref="B71:C71 B72:B73">
    <cfRule type="duplicateValues" dxfId="432" priority="33"/>
  </conditionalFormatting>
  <conditionalFormatting sqref="B75:C75 B76:B83">
    <cfRule type="duplicateValues" dxfId="431" priority="10"/>
  </conditionalFormatting>
  <conditionalFormatting sqref="B160:C160">
    <cfRule type="duplicateValues" dxfId="430" priority="18"/>
  </conditionalFormatting>
  <conditionalFormatting sqref="B161:C166 B74:C74 B90:C91 B86 B84:C85 B92:B94 B18:C27 B29:C70 B95:C141 B145:C157 C142:C144">
    <cfRule type="duplicateValues" dxfId="429" priority="31"/>
  </conditionalFormatting>
  <conditionalFormatting sqref="C72:C73">
    <cfRule type="duplicateValues" dxfId="428" priority="34"/>
  </conditionalFormatting>
  <conditionalFormatting sqref="C76:C83">
    <cfRule type="duplicateValues" dxfId="427" priority="11"/>
  </conditionalFormatting>
  <conditionalFormatting sqref="C86">
    <cfRule type="duplicateValues" dxfId="426" priority="12"/>
  </conditionalFormatting>
  <conditionalFormatting sqref="C87">
    <cfRule type="duplicateValues" dxfId="425" priority="5"/>
  </conditionalFormatting>
  <conditionalFormatting sqref="C88:C89">
    <cfRule type="duplicateValues" dxfId="424" priority="8"/>
  </conditionalFormatting>
  <conditionalFormatting sqref="C92:C94">
    <cfRule type="duplicateValues" dxfId="423" priority="35"/>
  </conditionalFormatting>
  <conditionalFormatting sqref="C159">
    <cfRule type="duplicateValues" dxfId="422" priority="17"/>
  </conditionalFormatting>
  <conditionalFormatting sqref="J2:J3 J7:J167">
    <cfRule type="cellIs" dxfId="421" priority="30" operator="equal">
      <formula>"Disc"</formula>
    </cfRule>
  </conditionalFormatting>
  <conditionalFormatting sqref="V2:V5">
    <cfRule type="containsText" dxfId="420" priority="26" operator="containsText" text="dog">
      <formula>NOT(ISERROR(SEARCH("dog",V2)))</formula>
    </cfRule>
    <cfRule type="containsText" dxfId="419" priority="27" operator="containsText" text="star">
      <formula>NOT(ISERROR(SEARCH("star",V2)))</formula>
    </cfRule>
    <cfRule type="containsText" dxfId="418" priority="28" operator="containsText" text="PUZZLE">
      <formula>NOT(ISERROR(SEARCH("PUZZLE",V2)))</formula>
    </cfRule>
    <cfRule type="containsText" dxfId="417" priority="29" operator="containsText" text="HORSE">
      <formula>NOT(ISERROR(SEARCH("HORSE",V2)))</formula>
    </cfRule>
  </conditionalFormatting>
  <conditionalFormatting sqref="X15:X167">
    <cfRule type="containsText" dxfId="416" priority="19" operator="containsText" text="star">
      <formula>NOT(ISERROR(SEARCH("star",X15)))</formula>
    </cfRule>
    <cfRule type="containsText" dxfId="415" priority="20" operator="containsText" text="dog">
      <formula>NOT(ISERROR(SEARCH("dog",X15)))</formula>
    </cfRule>
    <cfRule type="containsText" dxfId="414" priority="21" operator="containsText" text="puzzle">
      <formula>NOT(ISERROR(SEARCH("puzzle",X15)))</formula>
    </cfRule>
    <cfRule type="containsText" dxfId="413" priority="22" operator="containsText" text="horse">
      <formula>NOT(ISERROR(SEARCH("horse",X15)))</formula>
    </cfRule>
  </conditionalFormatting>
  <conditionalFormatting sqref="AA7:AA8">
    <cfRule type="duplicateValues" dxfId="412" priority="2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336"/>
  <sheetViews>
    <sheetView zoomScale="85" zoomScaleNormal="85" workbookViewId="0">
      <pane ySplit="10" topLeftCell="A11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8" width="13.26953125" style="418" customWidth="1" outlineLevel="1"/>
    <col min="19" max="19" width="16.54296875" style="418" customWidth="1" outlineLevel="1"/>
    <col min="20" max="20" width="20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413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AC6:AF6"/>
    <mergeCell ref="AG6:AJ6"/>
    <mergeCell ref="V7:V8"/>
    <mergeCell ref="B7:B8"/>
    <mergeCell ref="C7:C8"/>
    <mergeCell ref="D7:D8"/>
    <mergeCell ref="E7:E8"/>
    <mergeCell ref="K7:K8"/>
    <mergeCell ref="R7:R8"/>
    <mergeCell ref="L7:L8"/>
    <mergeCell ref="M7:M8"/>
    <mergeCell ref="N7:N8"/>
    <mergeCell ref="O7:O8"/>
    <mergeCell ref="P7:P8"/>
    <mergeCell ref="Q7:Q8"/>
    <mergeCell ref="S7:S8"/>
    <mergeCell ref="T7:T8"/>
    <mergeCell ref="X7:X8"/>
    <mergeCell ref="AB7:AB8"/>
    <mergeCell ref="V10:W10"/>
    <mergeCell ref="V12:W12"/>
    <mergeCell ref="W7:W8"/>
    <mergeCell ref="AA7:AA8"/>
  </mergeCells>
  <conditionalFormatting sqref="B15">
    <cfRule type="duplicateValues" dxfId="411" priority="9"/>
    <cfRule type="duplicateValues" dxfId="410" priority="10"/>
  </conditionalFormatting>
  <conditionalFormatting sqref="B102:B106">
    <cfRule type="duplicateValues" dxfId="409" priority="8"/>
  </conditionalFormatting>
  <conditionalFormatting sqref="B171">
    <cfRule type="duplicateValues" dxfId="408" priority="11"/>
    <cfRule type="duplicateValues" dxfId="407" priority="12"/>
  </conditionalFormatting>
  <conditionalFormatting sqref="B172:B1048576 B1:B14 B16:B101 B107:B170">
    <cfRule type="duplicateValues" dxfId="406" priority="21"/>
  </conditionalFormatting>
  <conditionalFormatting sqref="B16:C16 C15">
    <cfRule type="duplicateValues" dxfId="405" priority="19"/>
  </conditionalFormatting>
  <conditionalFormatting sqref="B102:C102 B103:B106">
    <cfRule type="duplicateValues" dxfId="404" priority="7"/>
  </conditionalFormatting>
  <conditionalFormatting sqref="B172:C172">
    <cfRule type="duplicateValues" dxfId="403" priority="14"/>
  </conditionalFormatting>
  <conditionalFormatting sqref="B173:C178 B24:C24 B40:C41 B101:C101 B67:B100 B65:C66 B61:B64 B59:C60 B42:B58 B26:B39 B18:B23 B107:C169">
    <cfRule type="duplicateValues" dxfId="402" priority="27"/>
  </conditionalFormatting>
  <conditionalFormatting sqref="C18:C23">
    <cfRule type="duplicateValues" dxfId="401" priority="1"/>
  </conditionalFormatting>
  <conditionalFormatting sqref="C26:C39">
    <cfRule type="duplicateValues" dxfId="400" priority="2"/>
  </conditionalFormatting>
  <conditionalFormatting sqref="C42:C58">
    <cfRule type="duplicateValues" dxfId="399" priority="3"/>
  </conditionalFormatting>
  <conditionalFormatting sqref="C61:C64">
    <cfRule type="duplicateValues" dxfId="398" priority="4"/>
  </conditionalFormatting>
  <conditionalFormatting sqref="C67:C100">
    <cfRule type="duplicateValues" dxfId="397" priority="5"/>
  </conditionalFormatting>
  <conditionalFormatting sqref="C103:C106">
    <cfRule type="duplicateValues" dxfId="396" priority="6"/>
  </conditionalFormatting>
  <conditionalFormatting sqref="C171">
    <cfRule type="duplicateValues" dxfId="395" priority="13"/>
  </conditionalFormatting>
  <conditionalFormatting sqref="J2:J3 J7:J179">
    <cfRule type="cellIs" dxfId="394" priority="26" operator="equal">
      <formula>"Disc"</formula>
    </cfRule>
  </conditionalFormatting>
  <conditionalFormatting sqref="V2:V5">
    <cfRule type="containsText" dxfId="393" priority="22" operator="containsText" text="dog">
      <formula>NOT(ISERROR(SEARCH("dog",V2)))</formula>
    </cfRule>
    <cfRule type="containsText" dxfId="392" priority="23" operator="containsText" text="star">
      <formula>NOT(ISERROR(SEARCH("star",V2)))</formula>
    </cfRule>
    <cfRule type="containsText" dxfId="391" priority="24" operator="containsText" text="PUZZLE">
      <formula>NOT(ISERROR(SEARCH("PUZZLE",V2)))</formula>
    </cfRule>
    <cfRule type="containsText" dxfId="390" priority="25" operator="containsText" text="HORSE">
      <formula>NOT(ISERROR(SEARCH("HORSE",V2)))</formula>
    </cfRule>
  </conditionalFormatting>
  <conditionalFormatting sqref="X15:X179">
    <cfRule type="containsText" dxfId="389" priority="15" operator="containsText" text="star">
      <formula>NOT(ISERROR(SEARCH("star",X15)))</formula>
    </cfRule>
    <cfRule type="containsText" dxfId="388" priority="16" operator="containsText" text="dog">
      <formula>NOT(ISERROR(SEARCH("dog",X15)))</formula>
    </cfRule>
    <cfRule type="containsText" dxfId="387" priority="17" operator="containsText" text="puzzle">
      <formula>NOT(ISERROR(SEARCH("puzzle",X15)))</formula>
    </cfRule>
    <cfRule type="containsText" dxfId="386" priority="18" operator="containsText" text="horse">
      <formula>NOT(ISERROR(SEARCH("horse",X15)))</formula>
    </cfRule>
  </conditionalFormatting>
  <conditionalFormatting sqref="AA7:AA8">
    <cfRule type="duplicateValues" dxfId="385" priority="2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338"/>
  <sheetViews>
    <sheetView zoomScale="85" zoomScaleNormal="85" workbookViewId="0">
      <pane ySplit="10" topLeftCell="A86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</sheetData>
  <mergeCells count="29">
    <mergeCell ref="AA7:AA8"/>
    <mergeCell ref="AC6:AF6"/>
    <mergeCell ref="AG6:AJ6"/>
    <mergeCell ref="X7:X8"/>
    <mergeCell ref="AB7:AB8"/>
    <mergeCell ref="R7:R8"/>
    <mergeCell ref="S7:S8"/>
    <mergeCell ref="T7:T8"/>
    <mergeCell ref="B7:B8"/>
    <mergeCell ref="C7:C8"/>
    <mergeCell ref="D7:D8"/>
    <mergeCell ref="E7:E8"/>
    <mergeCell ref="L7:L8"/>
    <mergeCell ref="V10:W10"/>
    <mergeCell ref="V12:W12"/>
    <mergeCell ref="C4:D4"/>
    <mergeCell ref="C5:D5"/>
    <mergeCell ref="L4:M4"/>
    <mergeCell ref="N4:O4"/>
    <mergeCell ref="N5:O5"/>
    <mergeCell ref="L5:M5"/>
    <mergeCell ref="O7:O8"/>
    <mergeCell ref="K7:K8"/>
    <mergeCell ref="M7:M8"/>
    <mergeCell ref="N7:N8"/>
    <mergeCell ref="W7:W8"/>
    <mergeCell ref="V7:V8"/>
    <mergeCell ref="P7:P8"/>
    <mergeCell ref="Q7:Q8"/>
  </mergeCells>
  <conditionalFormatting sqref="B15">
    <cfRule type="duplicateValues" dxfId="384" priority="9"/>
    <cfRule type="duplicateValues" dxfId="383" priority="10"/>
  </conditionalFormatting>
  <conditionalFormatting sqref="B102:B106">
    <cfRule type="duplicateValues" dxfId="382" priority="8"/>
  </conditionalFormatting>
  <conditionalFormatting sqref="B171">
    <cfRule type="duplicateValues" dxfId="381" priority="11"/>
    <cfRule type="duplicateValues" dxfId="380" priority="12"/>
  </conditionalFormatting>
  <conditionalFormatting sqref="B172:B1048576 B1:B14 B16:B101 B107:B170">
    <cfRule type="duplicateValues" dxfId="379" priority="21"/>
  </conditionalFormatting>
  <conditionalFormatting sqref="B16:C16 C15">
    <cfRule type="duplicateValues" dxfId="378" priority="19"/>
  </conditionalFormatting>
  <conditionalFormatting sqref="B102:C102 B103:B106">
    <cfRule type="duplicateValues" dxfId="377" priority="7"/>
  </conditionalFormatting>
  <conditionalFormatting sqref="B172:C172">
    <cfRule type="duplicateValues" dxfId="376" priority="14"/>
  </conditionalFormatting>
  <conditionalFormatting sqref="B173:C178 B24:C24 B40:C41 B101:C101 B67:B100 B65:C66 B61:B64 B59:C60 B42:B58 B26:B39 B18:B23 B107:C169">
    <cfRule type="duplicateValues" dxfId="375" priority="27"/>
  </conditionalFormatting>
  <conditionalFormatting sqref="C18:C23">
    <cfRule type="duplicateValues" dxfId="374" priority="1"/>
  </conditionalFormatting>
  <conditionalFormatting sqref="C26:C39">
    <cfRule type="duplicateValues" dxfId="373" priority="2"/>
  </conditionalFormatting>
  <conditionalFormatting sqref="C42:C58">
    <cfRule type="duplicateValues" dxfId="372" priority="3"/>
  </conditionalFormatting>
  <conditionalFormatting sqref="C61:C64">
    <cfRule type="duplicateValues" dxfId="371" priority="4"/>
  </conditionalFormatting>
  <conditionalFormatting sqref="C67:C100">
    <cfRule type="duplicateValues" dxfId="370" priority="5"/>
  </conditionalFormatting>
  <conditionalFormatting sqref="C103:C106">
    <cfRule type="duplicateValues" dxfId="369" priority="6"/>
  </conditionalFormatting>
  <conditionalFormatting sqref="C171">
    <cfRule type="duplicateValues" dxfId="368" priority="13"/>
  </conditionalFormatting>
  <conditionalFormatting sqref="J2:J3 J7:J179">
    <cfRule type="cellIs" dxfId="367" priority="26" operator="equal">
      <formula>"Disc"</formula>
    </cfRule>
  </conditionalFormatting>
  <conditionalFormatting sqref="V2:V5">
    <cfRule type="containsText" dxfId="366" priority="22" operator="containsText" text="dog">
      <formula>NOT(ISERROR(SEARCH("dog",V2)))</formula>
    </cfRule>
    <cfRule type="containsText" dxfId="365" priority="23" operator="containsText" text="star">
      <formula>NOT(ISERROR(SEARCH("star",V2)))</formula>
    </cfRule>
    <cfRule type="containsText" dxfId="364" priority="24" operator="containsText" text="PUZZLE">
      <formula>NOT(ISERROR(SEARCH("PUZZLE",V2)))</formula>
    </cfRule>
    <cfRule type="containsText" dxfId="363" priority="25" operator="containsText" text="HORSE">
      <formula>NOT(ISERROR(SEARCH("HORSE",V2)))</formula>
    </cfRule>
  </conditionalFormatting>
  <conditionalFormatting sqref="X15:X179">
    <cfRule type="containsText" dxfId="362" priority="15" operator="containsText" text="star">
      <formula>NOT(ISERROR(SEARCH("star",X15)))</formula>
    </cfRule>
    <cfRule type="containsText" dxfId="361" priority="16" operator="containsText" text="dog">
      <formula>NOT(ISERROR(SEARCH("dog",X15)))</formula>
    </cfRule>
    <cfRule type="containsText" dxfId="360" priority="17" operator="containsText" text="puzzle">
      <formula>NOT(ISERROR(SEARCH("puzzle",X15)))</formula>
    </cfRule>
    <cfRule type="containsText" dxfId="359" priority="18" operator="containsText" text="horse">
      <formula>NOT(ISERROR(SEARCH("horse",X15)))</formula>
    </cfRule>
  </conditionalFormatting>
  <conditionalFormatting sqref="AA7:AA8">
    <cfRule type="duplicateValues" dxfId="358" priority="2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305"/>
  <sheetViews>
    <sheetView zoomScale="85" zoomScaleNormal="85" workbookViewId="0">
      <pane ySplit="10" topLeftCell="A44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353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409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AC6:AF6"/>
    <mergeCell ref="AG6:AJ6"/>
    <mergeCell ref="V12:W12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  <mergeCell ref="S7:S8"/>
    <mergeCell ref="T7:T8"/>
    <mergeCell ref="X7:X8"/>
    <mergeCell ref="AB7:AB8"/>
    <mergeCell ref="V10:W10"/>
    <mergeCell ref="V7:V8"/>
    <mergeCell ref="W7:W8"/>
    <mergeCell ref="AA7:AA8"/>
  </mergeCells>
  <conditionalFormatting sqref="B15">
    <cfRule type="duplicateValues" dxfId="357" priority="9"/>
    <cfRule type="duplicateValues" dxfId="356" priority="10"/>
  </conditionalFormatting>
  <conditionalFormatting sqref="B102:B106">
    <cfRule type="duplicateValues" dxfId="355" priority="8"/>
  </conditionalFormatting>
  <conditionalFormatting sqref="B171">
    <cfRule type="duplicateValues" dxfId="354" priority="11"/>
    <cfRule type="duplicateValues" dxfId="353" priority="12"/>
  </conditionalFormatting>
  <conditionalFormatting sqref="B172:B1048576 B1:B14 B16:B101 B107:B170">
    <cfRule type="duplicateValues" dxfId="352" priority="21"/>
  </conditionalFormatting>
  <conditionalFormatting sqref="B16:C16 C15">
    <cfRule type="duplicateValues" dxfId="351" priority="19"/>
  </conditionalFormatting>
  <conditionalFormatting sqref="B102:C102 B103:B106">
    <cfRule type="duplicateValues" dxfId="350" priority="7"/>
  </conditionalFormatting>
  <conditionalFormatting sqref="B172:C172">
    <cfRule type="duplicateValues" dxfId="349" priority="14"/>
  </conditionalFormatting>
  <conditionalFormatting sqref="B173:C178 B24:C24 B40:C41 B101:C101 B67:B100 B65:C66 B61:B64 B59:C60 B42:B58 B26:B39 B18:B23 B107:C169">
    <cfRule type="duplicateValues" dxfId="348" priority="27"/>
  </conditionalFormatting>
  <conditionalFormatting sqref="C18:C23">
    <cfRule type="duplicateValues" dxfId="347" priority="1"/>
  </conditionalFormatting>
  <conditionalFormatting sqref="C26:C39">
    <cfRule type="duplicateValues" dxfId="346" priority="2"/>
  </conditionalFormatting>
  <conditionalFormatting sqref="C42:C58">
    <cfRule type="duplicateValues" dxfId="345" priority="3"/>
  </conditionalFormatting>
  <conditionalFormatting sqref="C61:C64">
    <cfRule type="duplicateValues" dxfId="344" priority="4"/>
  </conditionalFormatting>
  <conditionalFormatting sqref="C67:C100">
    <cfRule type="duplicateValues" dxfId="343" priority="5"/>
  </conditionalFormatting>
  <conditionalFormatting sqref="C103:C106">
    <cfRule type="duplicateValues" dxfId="342" priority="6"/>
  </conditionalFormatting>
  <conditionalFormatting sqref="C171">
    <cfRule type="duplicateValues" dxfId="341" priority="13"/>
  </conditionalFormatting>
  <conditionalFormatting sqref="J2:J3 J7:J179">
    <cfRule type="cellIs" dxfId="340" priority="26" operator="equal">
      <formula>"Disc"</formula>
    </cfRule>
  </conditionalFormatting>
  <conditionalFormatting sqref="V2:V5">
    <cfRule type="containsText" dxfId="339" priority="22" operator="containsText" text="dog">
      <formula>NOT(ISERROR(SEARCH("dog",V2)))</formula>
    </cfRule>
    <cfRule type="containsText" dxfId="338" priority="23" operator="containsText" text="star">
      <formula>NOT(ISERROR(SEARCH("star",V2)))</formula>
    </cfRule>
    <cfRule type="containsText" dxfId="337" priority="24" operator="containsText" text="PUZZLE">
      <formula>NOT(ISERROR(SEARCH("PUZZLE",V2)))</formula>
    </cfRule>
    <cfRule type="containsText" dxfId="336" priority="25" operator="containsText" text="HORSE">
      <formula>NOT(ISERROR(SEARCH("HORSE",V2)))</formula>
    </cfRule>
  </conditionalFormatting>
  <conditionalFormatting sqref="X15:X179">
    <cfRule type="containsText" dxfId="335" priority="15" operator="containsText" text="star">
      <formula>NOT(ISERROR(SEARCH("star",X15)))</formula>
    </cfRule>
    <cfRule type="containsText" dxfId="334" priority="16" operator="containsText" text="dog">
      <formula>NOT(ISERROR(SEARCH("dog",X15)))</formula>
    </cfRule>
    <cfRule type="containsText" dxfId="333" priority="17" operator="containsText" text="puzzle">
      <formula>NOT(ISERROR(SEARCH("puzzle",X15)))</formula>
    </cfRule>
    <cfRule type="containsText" dxfId="332" priority="18" operator="containsText" text="horse">
      <formula>NOT(ISERROR(SEARCH("horse",X15)))</formula>
    </cfRule>
  </conditionalFormatting>
  <conditionalFormatting sqref="AA7:AA8">
    <cfRule type="duplicateValues" dxfId="331" priority="2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W305"/>
  <sheetViews>
    <sheetView zoomScale="85" zoomScaleNormal="85" workbookViewId="0">
      <pane ySplit="10" topLeftCell="A17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21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21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21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  <mergeCell ref="V10:W10"/>
    <mergeCell ref="V12:W12"/>
    <mergeCell ref="AC6:AF6"/>
    <mergeCell ref="AG6:AJ6"/>
    <mergeCell ref="S7:S8"/>
    <mergeCell ref="T7:T8"/>
    <mergeCell ref="V7:V8"/>
    <mergeCell ref="W7:W8"/>
    <mergeCell ref="X7:X8"/>
    <mergeCell ref="AA7:AA8"/>
    <mergeCell ref="AB7:AB8"/>
  </mergeCells>
  <conditionalFormatting sqref="B15">
    <cfRule type="duplicateValues" dxfId="330" priority="9"/>
    <cfRule type="duplicateValues" dxfId="329" priority="10"/>
  </conditionalFormatting>
  <conditionalFormatting sqref="B102:B106">
    <cfRule type="duplicateValues" dxfId="328" priority="8"/>
  </conditionalFormatting>
  <conditionalFormatting sqref="B171">
    <cfRule type="duplicateValues" dxfId="327" priority="11"/>
    <cfRule type="duplicateValues" dxfId="326" priority="12"/>
  </conditionalFormatting>
  <conditionalFormatting sqref="B172:B1048576 B1:B14 B16:B101 B107:B170">
    <cfRule type="duplicateValues" dxfId="325" priority="21"/>
  </conditionalFormatting>
  <conditionalFormatting sqref="B16:C16 C15">
    <cfRule type="duplicateValues" dxfId="324" priority="19"/>
  </conditionalFormatting>
  <conditionalFormatting sqref="B102:C102 B103:B106">
    <cfRule type="duplicateValues" dxfId="323" priority="7"/>
  </conditionalFormatting>
  <conditionalFormatting sqref="B172:C172">
    <cfRule type="duplicateValues" dxfId="322" priority="14"/>
  </conditionalFormatting>
  <conditionalFormatting sqref="B173:C178 B24:C24 B40:C41 B101:C101 B67:B100 B65:C66 B61:B64 B59:C60 B42:B58 B26:B39 B18:B23 B107:C169">
    <cfRule type="duplicateValues" dxfId="321" priority="27"/>
  </conditionalFormatting>
  <conditionalFormatting sqref="C18:C23">
    <cfRule type="duplicateValues" dxfId="320" priority="1"/>
  </conditionalFormatting>
  <conditionalFormatting sqref="C26:C39">
    <cfRule type="duplicateValues" dxfId="319" priority="2"/>
  </conditionalFormatting>
  <conditionalFormatting sqref="C42:C58">
    <cfRule type="duplicateValues" dxfId="318" priority="3"/>
  </conditionalFormatting>
  <conditionalFormatting sqref="C61:C64">
    <cfRule type="duplicateValues" dxfId="317" priority="4"/>
  </conditionalFormatting>
  <conditionalFormatting sqref="C67:C100">
    <cfRule type="duplicateValues" dxfId="316" priority="5"/>
  </conditionalFormatting>
  <conditionalFormatting sqref="C103:C106">
    <cfRule type="duplicateValues" dxfId="315" priority="6"/>
  </conditionalFormatting>
  <conditionalFormatting sqref="C171">
    <cfRule type="duplicateValues" dxfId="314" priority="13"/>
  </conditionalFormatting>
  <conditionalFormatting sqref="J2:J3 J7:J179">
    <cfRule type="cellIs" dxfId="313" priority="26" operator="equal">
      <formula>"Disc"</formula>
    </cfRule>
  </conditionalFormatting>
  <conditionalFormatting sqref="V2:V5">
    <cfRule type="containsText" dxfId="312" priority="22" operator="containsText" text="dog">
      <formula>NOT(ISERROR(SEARCH("dog",V2)))</formula>
    </cfRule>
    <cfRule type="containsText" dxfId="311" priority="23" operator="containsText" text="star">
      <formula>NOT(ISERROR(SEARCH("star",V2)))</formula>
    </cfRule>
    <cfRule type="containsText" dxfId="310" priority="24" operator="containsText" text="PUZZLE">
      <formula>NOT(ISERROR(SEARCH("PUZZLE",V2)))</formula>
    </cfRule>
    <cfRule type="containsText" dxfId="309" priority="25" operator="containsText" text="HORSE">
      <formula>NOT(ISERROR(SEARCH("HORSE",V2)))</formula>
    </cfRule>
  </conditionalFormatting>
  <conditionalFormatting sqref="X15:X179">
    <cfRule type="containsText" dxfId="308" priority="15" operator="containsText" text="star">
      <formula>NOT(ISERROR(SEARCH("star",X15)))</formula>
    </cfRule>
    <cfRule type="containsText" dxfId="307" priority="16" operator="containsText" text="dog">
      <formula>NOT(ISERROR(SEARCH("dog",X15)))</formula>
    </cfRule>
    <cfRule type="containsText" dxfId="306" priority="17" operator="containsText" text="puzzle">
      <formula>NOT(ISERROR(SEARCH("puzzle",X15)))</formula>
    </cfRule>
    <cfRule type="containsText" dxfId="305" priority="18" operator="containsText" text="horse">
      <formula>NOT(ISERROR(SEARCH("horse",X15)))</formula>
    </cfRule>
  </conditionalFormatting>
  <conditionalFormatting sqref="AA7:AA8">
    <cfRule type="duplicateValues" dxfId="304" priority="2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W305"/>
  <sheetViews>
    <sheetView zoomScale="85" zoomScaleNormal="85" workbookViewId="0">
      <pane ySplit="10" topLeftCell="A29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9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  <mergeCell ref="V10:W10"/>
    <mergeCell ref="V12:W12"/>
    <mergeCell ref="AC6:AF6"/>
    <mergeCell ref="AG6:AJ6"/>
    <mergeCell ref="S7:S8"/>
    <mergeCell ref="T7:T8"/>
    <mergeCell ref="V7:V8"/>
    <mergeCell ref="W7:W8"/>
    <mergeCell ref="X7:X8"/>
    <mergeCell ref="AA7:AA8"/>
    <mergeCell ref="AB7:AB8"/>
  </mergeCells>
  <conditionalFormatting sqref="B15">
    <cfRule type="duplicateValues" dxfId="303" priority="9"/>
    <cfRule type="duplicateValues" dxfId="302" priority="10"/>
  </conditionalFormatting>
  <conditionalFormatting sqref="B102:B106">
    <cfRule type="duplicateValues" dxfId="301" priority="8"/>
  </conditionalFormatting>
  <conditionalFormatting sqref="B171">
    <cfRule type="duplicateValues" dxfId="300" priority="11"/>
    <cfRule type="duplicateValues" dxfId="299" priority="12"/>
  </conditionalFormatting>
  <conditionalFormatting sqref="B172:B1048576 B1:B14 B16:B101 B107:B170">
    <cfRule type="duplicateValues" dxfId="298" priority="21"/>
  </conditionalFormatting>
  <conditionalFormatting sqref="B16:C16 C15">
    <cfRule type="duplicateValues" dxfId="297" priority="19"/>
  </conditionalFormatting>
  <conditionalFormatting sqref="B102:C102 B103:B106">
    <cfRule type="duplicateValues" dxfId="296" priority="7"/>
  </conditionalFormatting>
  <conditionalFormatting sqref="B172:C172">
    <cfRule type="duplicateValues" dxfId="295" priority="14"/>
  </conditionalFormatting>
  <conditionalFormatting sqref="B173:C178 B24:C24 B40:C41 B101:C101 B67:B100 B65:C66 B61:B64 B59:C60 B42:B58 B26:B39 B18:B23 B107:C169">
    <cfRule type="duplicateValues" dxfId="294" priority="27"/>
  </conditionalFormatting>
  <conditionalFormatting sqref="C18:C23">
    <cfRule type="duplicateValues" dxfId="293" priority="1"/>
  </conditionalFormatting>
  <conditionalFormatting sqref="C26:C39">
    <cfRule type="duplicateValues" dxfId="292" priority="2"/>
  </conditionalFormatting>
  <conditionalFormatting sqref="C42:C58">
    <cfRule type="duplicateValues" dxfId="291" priority="3"/>
  </conditionalFormatting>
  <conditionalFormatting sqref="C61:C64">
    <cfRule type="duplicateValues" dxfId="290" priority="4"/>
  </conditionalFormatting>
  <conditionalFormatting sqref="C67:C100">
    <cfRule type="duplicateValues" dxfId="289" priority="5"/>
  </conditionalFormatting>
  <conditionalFormatting sqref="C103:C106">
    <cfRule type="duplicateValues" dxfId="288" priority="6"/>
  </conditionalFormatting>
  <conditionalFormatting sqref="C171">
    <cfRule type="duplicateValues" dxfId="287" priority="13"/>
  </conditionalFormatting>
  <conditionalFormatting sqref="J2:J3 J7:J179">
    <cfRule type="cellIs" dxfId="286" priority="26" operator="equal">
      <formula>"Disc"</formula>
    </cfRule>
  </conditionalFormatting>
  <conditionalFormatting sqref="V2:V5">
    <cfRule type="containsText" dxfId="285" priority="22" operator="containsText" text="dog">
      <formula>NOT(ISERROR(SEARCH("dog",V2)))</formula>
    </cfRule>
    <cfRule type="containsText" dxfId="284" priority="23" operator="containsText" text="star">
      <formula>NOT(ISERROR(SEARCH("star",V2)))</formula>
    </cfRule>
    <cfRule type="containsText" dxfId="283" priority="24" operator="containsText" text="PUZZLE">
      <formula>NOT(ISERROR(SEARCH("PUZZLE",V2)))</formula>
    </cfRule>
    <cfRule type="containsText" dxfId="282" priority="25" operator="containsText" text="HORSE">
      <formula>NOT(ISERROR(SEARCH("HORSE",V2)))</formula>
    </cfRule>
  </conditionalFormatting>
  <conditionalFormatting sqref="X15:X179">
    <cfRule type="containsText" dxfId="281" priority="15" operator="containsText" text="star">
      <formula>NOT(ISERROR(SEARCH("star",X15)))</formula>
    </cfRule>
    <cfRule type="containsText" dxfId="280" priority="16" operator="containsText" text="dog">
      <formula>NOT(ISERROR(SEARCH("dog",X15)))</formula>
    </cfRule>
    <cfRule type="containsText" dxfId="279" priority="17" operator="containsText" text="puzzle">
      <formula>NOT(ISERROR(SEARCH("puzzle",X15)))</formula>
    </cfRule>
    <cfRule type="containsText" dxfId="278" priority="18" operator="containsText" text="horse">
      <formula>NOT(ISERROR(SEARCH("horse",X15)))</formula>
    </cfRule>
  </conditionalFormatting>
  <conditionalFormatting sqref="AA7:AA8">
    <cfRule type="duplicateValues" dxfId="277" priority="2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05"/>
  <sheetViews>
    <sheetView zoomScale="85" zoomScaleNormal="85" workbookViewId="0">
      <pane ySplit="10" topLeftCell="A11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</sheetData>
  <mergeCells count="29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  <mergeCell ref="V10:W10"/>
    <mergeCell ref="V12:W12"/>
    <mergeCell ref="AC6:AF6"/>
    <mergeCell ref="AG6:AJ6"/>
    <mergeCell ref="S7:S8"/>
    <mergeCell ref="T7:T8"/>
    <mergeCell ref="V7:V8"/>
    <mergeCell ref="W7:W8"/>
    <mergeCell ref="X7:X8"/>
    <mergeCell ref="AA7:AA8"/>
    <mergeCell ref="AB7:AB8"/>
  </mergeCells>
  <conditionalFormatting sqref="B15">
    <cfRule type="duplicateValues" dxfId="276" priority="9"/>
    <cfRule type="duplicateValues" dxfId="275" priority="10"/>
  </conditionalFormatting>
  <conditionalFormatting sqref="B102:B106">
    <cfRule type="duplicateValues" dxfId="274" priority="8"/>
  </conditionalFormatting>
  <conditionalFormatting sqref="B171">
    <cfRule type="duplicateValues" dxfId="273" priority="11"/>
    <cfRule type="duplicateValues" dxfId="272" priority="12"/>
  </conditionalFormatting>
  <conditionalFormatting sqref="B172:B1048576 B1:B14 B16:B101 B107:B170">
    <cfRule type="duplicateValues" dxfId="271" priority="21"/>
  </conditionalFormatting>
  <conditionalFormatting sqref="B16:C16 C15">
    <cfRule type="duplicateValues" dxfId="270" priority="19"/>
  </conditionalFormatting>
  <conditionalFormatting sqref="B102:C102 B103:B106">
    <cfRule type="duplicateValues" dxfId="269" priority="7"/>
  </conditionalFormatting>
  <conditionalFormatting sqref="B172:C172">
    <cfRule type="duplicateValues" dxfId="268" priority="14"/>
  </conditionalFormatting>
  <conditionalFormatting sqref="B173:C178 B24:C24 B40:C41 B101:C101 B67:B100 B65:C66 B61:B64 B59:C60 B42:B58 B26:B39 B18:B23 B107:C169">
    <cfRule type="duplicateValues" dxfId="267" priority="27"/>
  </conditionalFormatting>
  <conditionalFormatting sqref="C18:C23">
    <cfRule type="duplicateValues" dxfId="266" priority="1"/>
  </conditionalFormatting>
  <conditionalFormatting sqref="C26:C39">
    <cfRule type="duplicateValues" dxfId="265" priority="2"/>
  </conditionalFormatting>
  <conditionalFormatting sqref="C42:C58">
    <cfRule type="duplicateValues" dxfId="264" priority="3"/>
  </conditionalFormatting>
  <conditionalFormatting sqref="C61:C64">
    <cfRule type="duplicateValues" dxfId="263" priority="4"/>
  </conditionalFormatting>
  <conditionalFormatting sqref="C67:C100">
    <cfRule type="duplicateValues" dxfId="262" priority="5"/>
  </conditionalFormatting>
  <conditionalFormatting sqref="C103:C106">
    <cfRule type="duplicateValues" dxfId="261" priority="6"/>
  </conditionalFormatting>
  <conditionalFormatting sqref="C171">
    <cfRule type="duplicateValues" dxfId="260" priority="13"/>
  </conditionalFormatting>
  <conditionalFormatting sqref="J2:J3 J7:J179">
    <cfRule type="cellIs" dxfId="259" priority="26" operator="equal">
      <formula>"Disc"</formula>
    </cfRule>
  </conditionalFormatting>
  <conditionalFormatting sqref="V2:V5">
    <cfRule type="containsText" dxfId="258" priority="22" operator="containsText" text="dog">
      <formula>NOT(ISERROR(SEARCH("dog",V2)))</formula>
    </cfRule>
    <cfRule type="containsText" dxfId="257" priority="23" operator="containsText" text="star">
      <formula>NOT(ISERROR(SEARCH("star",V2)))</formula>
    </cfRule>
    <cfRule type="containsText" dxfId="256" priority="24" operator="containsText" text="PUZZLE">
      <formula>NOT(ISERROR(SEARCH("PUZZLE",V2)))</formula>
    </cfRule>
    <cfRule type="containsText" dxfId="255" priority="25" operator="containsText" text="HORSE">
      <formula>NOT(ISERROR(SEARCH("HORSE",V2)))</formula>
    </cfRule>
  </conditionalFormatting>
  <conditionalFormatting sqref="X15:X179">
    <cfRule type="containsText" dxfId="254" priority="15" operator="containsText" text="star">
      <formula>NOT(ISERROR(SEARCH("star",X15)))</formula>
    </cfRule>
    <cfRule type="containsText" dxfId="253" priority="16" operator="containsText" text="dog">
      <formula>NOT(ISERROR(SEARCH("dog",X15)))</formula>
    </cfRule>
    <cfRule type="containsText" dxfId="252" priority="17" operator="containsText" text="puzzle">
      <formula>NOT(ISERROR(SEARCH("puzzle",X15)))</formula>
    </cfRule>
    <cfRule type="containsText" dxfId="251" priority="18" operator="containsText" text="horse">
      <formula>NOT(ISERROR(SEARCH("horse",X15)))</formula>
    </cfRule>
  </conditionalFormatting>
  <conditionalFormatting sqref="AA7:AA8">
    <cfRule type="duplicateValues" dxfId="250" priority="2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05"/>
  <sheetViews>
    <sheetView zoomScale="85" zoomScaleNormal="85" workbookViewId="0">
      <pane ySplit="10" topLeftCell="A158" activePane="bottomLeft" state="frozen"/>
      <selection sqref="A1:XFD1048576"/>
      <selection pane="bottomLeft" sqref="A1:XFD1048576"/>
    </sheetView>
  </sheetViews>
  <sheetFormatPr defaultColWidth="12.54296875" defaultRowHeight="13" outlineLevelCol="1" x14ac:dyDescent="0.35"/>
  <cols>
    <col min="1" max="1" width="5.54296875" style="418" customWidth="1"/>
    <col min="2" max="2" width="15.81640625" style="418" customWidth="1"/>
    <col min="3" max="3" width="48.453125" style="418" customWidth="1"/>
    <col min="4" max="4" width="9.54296875" style="418" customWidth="1"/>
    <col min="5" max="5" width="7.81640625" style="380" customWidth="1"/>
    <col min="6" max="6" width="10.81640625" style="353" customWidth="1"/>
    <col min="7" max="7" width="11.81640625" style="418" customWidth="1"/>
    <col min="8" max="8" width="12.26953125" style="418" customWidth="1"/>
    <col min="9" max="9" width="11.26953125" style="251" customWidth="1"/>
    <col min="10" max="10" width="5.453125" style="418" customWidth="1"/>
    <col min="11" max="12" width="16.7265625" style="418" customWidth="1" outlineLevel="1"/>
    <col min="13" max="13" width="15.7265625" style="418" customWidth="1" outlineLevel="1"/>
    <col min="14" max="14" width="16.26953125" style="418" customWidth="1" outlineLevel="1"/>
    <col min="15" max="15" width="18.26953125" style="418" customWidth="1" outlineLevel="1"/>
    <col min="16" max="16" width="12" style="418" customWidth="1" outlineLevel="1"/>
    <col min="17" max="17" width="13.1796875" style="418" customWidth="1" outlineLevel="1"/>
    <col min="18" max="19" width="13.26953125" style="418" customWidth="1" outlineLevel="1"/>
    <col min="20" max="20" width="17.54296875" style="418" customWidth="1"/>
    <col min="21" max="21" width="4.1796875" style="418" customWidth="1"/>
    <col min="22" max="22" width="16.7265625" style="224" customWidth="1"/>
    <col min="23" max="23" width="13.1796875" style="224" customWidth="1"/>
    <col min="24" max="24" width="17.7265625" style="224" customWidth="1"/>
    <col min="25" max="25" width="6" style="224" customWidth="1"/>
    <col min="26" max="26" width="12.54296875" style="418"/>
    <col min="27" max="27" width="15.453125" style="418" customWidth="1"/>
    <col min="28" max="28" width="39.453125" style="418" customWidth="1"/>
    <col min="29" max="29" width="19.453125" style="418" customWidth="1"/>
    <col min="30" max="30" width="12.54296875" style="418" customWidth="1"/>
    <col min="31" max="31" width="11.26953125" style="418" customWidth="1"/>
    <col min="32" max="32" width="12.81640625" style="418" customWidth="1"/>
    <col min="33" max="33" width="14.26953125" style="418" customWidth="1"/>
    <col min="34" max="34" width="11.7265625" style="418" customWidth="1"/>
    <col min="35" max="35" width="11" style="418" customWidth="1"/>
    <col min="36" max="36" width="13.54296875" style="418" customWidth="1"/>
    <col min="37" max="37" width="12.7265625" style="225" customWidth="1"/>
    <col min="38" max="38" width="17.26953125" style="226" customWidth="1"/>
    <col min="39" max="40" width="7.54296875" style="418" customWidth="1"/>
    <col min="41" max="16384" width="12.54296875" style="418"/>
  </cols>
  <sheetData>
    <row r="1" spans="1:49" ht="4.5" customHeight="1" x14ac:dyDescent="0.35">
      <c r="A1" s="216"/>
      <c r="B1" s="216"/>
      <c r="C1" s="216"/>
      <c r="D1" s="216"/>
      <c r="E1" s="217"/>
      <c r="F1" s="218"/>
      <c r="G1" s="217"/>
      <c r="H1" s="217"/>
      <c r="I1" s="219"/>
      <c r="J1" s="216"/>
      <c r="K1" s="216"/>
      <c r="L1" s="216"/>
      <c r="M1" s="216"/>
      <c r="N1" s="220"/>
      <c r="O1" s="221"/>
      <c r="P1" s="221"/>
      <c r="Q1" s="221"/>
      <c r="R1" s="222"/>
      <c r="S1" s="222"/>
      <c r="T1" s="223"/>
      <c r="U1" s="223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M1" s="216"/>
      <c r="AN1" s="216"/>
    </row>
    <row r="2" spans="1:49" ht="24.75" customHeight="1" x14ac:dyDescent="0.35">
      <c r="A2" s="227"/>
      <c r="B2" s="228"/>
      <c r="C2" s="227"/>
      <c r="D2" s="227"/>
      <c r="E2" s="219"/>
      <c r="F2" s="229"/>
      <c r="G2" s="230"/>
      <c r="H2" s="230"/>
      <c r="I2" s="227"/>
      <c r="J2" s="227"/>
      <c r="K2" s="227"/>
      <c r="L2" s="227"/>
      <c r="M2" s="227"/>
      <c r="N2" s="219"/>
      <c r="O2" s="221"/>
      <c r="P2" s="221"/>
      <c r="Q2" s="221"/>
      <c r="R2" s="222"/>
      <c r="S2" s="222"/>
      <c r="T2" s="231"/>
      <c r="U2" s="231"/>
      <c r="V2" s="232"/>
      <c r="W2" s="233"/>
      <c r="X2" s="233"/>
      <c r="Y2" s="233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34"/>
      <c r="AL2" s="235"/>
      <c r="AM2" s="227"/>
      <c r="AN2" s="227"/>
    </row>
    <row r="3" spans="1:49" ht="34.5" customHeight="1" x14ac:dyDescent="0.35">
      <c r="A3" s="216"/>
      <c r="B3" s="228"/>
      <c r="C3" s="216"/>
      <c r="D3" s="216"/>
      <c r="E3" s="217"/>
      <c r="F3" s="218"/>
      <c r="G3" s="217"/>
      <c r="H3" s="217"/>
      <c r="I3" s="219"/>
      <c r="J3" s="216"/>
      <c r="K3" s="236"/>
      <c r="L3" s="237"/>
      <c r="M3" s="238"/>
      <c r="N3" s="239"/>
      <c r="O3" s="240"/>
      <c r="P3" s="221"/>
      <c r="Q3" s="221"/>
      <c r="R3" s="222"/>
      <c r="S3" s="222"/>
      <c r="T3" s="223"/>
      <c r="U3" s="223"/>
      <c r="V3" s="232"/>
      <c r="W3" s="241"/>
      <c r="X3" s="241"/>
      <c r="Y3" s="241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M3" s="216"/>
      <c r="AN3" s="216"/>
    </row>
    <row r="4" spans="1:49" ht="30" customHeight="1" thickBot="1" x14ac:dyDescent="0.4">
      <c r="A4" s="216"/>
      <c r="B4" s="242"/>
      <c r="C4" s="435"/>
      <c r="D4" s="436"/>
      <c r="E4" s="243"/>
      <c r="F4" s="218"/>
      <c r="G4" s="217"/>
      <c r="H4" s="217"/>
      <c r="I4" s="219"/>
      <c r="J4" s="216"/>
      <c r="K4" s="417"/>
      <c r="L4" s="437"/>
      <c r="M4" s="438"/>
      <c r="N4" s="437"/>
      <c r="O4" s="438"/>
      <c r="P4" s="244"/>
      <c r="Q4" s="221"/>
      <c r="R4" s="222"/>
      <c r="S4" s="222"/>
      <c r="T4" s="410"/>
      <c r="U4" s="223"/>
      <c r="V4" s="232"/>
      <c r="W4" s="241"/>
      <c r="Y4" s="241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M4" s="216"/>
      <c r="AN4" s="216"/>
    </row>
    <row r="5" spans="1:49" ht="30" customHeight="1" thickBot="1" x14ac:dyDescent="0.4">
      <c r="A5" s="216"/>
      <c r="B5" s="242"/>
      <c r="C5" s="435"/>
      <c r="D5" s="436"/>
      <c r="E5" s="243"/>
      <c r="F5" s="218"/>
      <c r="G5" s="217"/>
      <c r="H5" s="217"/>
      <c r="I5" s="219"/>
      <c r="J5" s="216"/>
      <c r="K5" s="245"/>
      <c r="L5" s="439"/>
      <c r="M5" s="440"/>
      <c r="N5" s="441"/>
      <c r="O5" s="440"/>
      <c r="P5" s="246"/>
      <c r="Q5" s="221"/>
      <c r="R5" s="222"/>
      <c r="S5" s="384"/>
      <c r="T5" s="385"/>
      <c r="U5" s="223"/>
      <c r="V5" s="232"/>
      <c r="W5" s="241"/>
      <c r="Y5" s="241"/>
      <c r="AA5" s="216"/>
      <c r="AB5" s="247"/>
      <c r="AC5" s="248"/>
      <c r="AD5" s="249"/>
      <c r="AE5" s="250"/>
      <c r="AF5" s="216"/>
      <c r="AG5" s="248"/>
      <c r="AH5" s="249"/>
      <c r="AI5" s="216"/>
      <c r="AJ5" s="216"/>
      <c r="AM5" s="216"/>
      <c r="AN5" s="216"/>
    </row>
    <row r="6" spans="1:49" ht="19.149999999999999" customHeight="1" x14ac:dyDescent="0.35">
      <c r="A6" s="216"/>
      <c r="B6" s="216"/>
      <c r="C6" s="216"/>
      <c r="D6" s="216"/>
      <c r="E6" s="217"/>
      <c r="F6" s="216"/>
      <c r="G6" s="216"/>
      <c r="H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AC6" s="442"/>
      <c r="AD6" s="443"/>
      <c r="AE6" s="443"/>
      <c r="AF6" s="443"/>
      <c r="AG6" s="442"/>
      <c r="AH6" s="443"/>
      <c r="AI6" s="443"/>
      <c r="AJ6" s="443"/>
    </row>
    <row r="7" spans="1:49" ht="19.5" customHeight="1" x14ac:dyDescent="0.35">
      <c r="A7" s="250"/>
      <c r="B7" s="446"/>
      <c r="C7" s="447"/>
      <c r="D7" s="447"/>
      <c r="E7" s="448"/>
      <c r="F7" s="252"/>
      <c r="G7" s="414"/>
      <c r="H7" s="414"/>
      <c r="I7" s="253"/>
      <c r="J7" s="414"/>
      <c r="K7" s="447"/>
      <c r="L7" s="447"/>
      <c r="M7" s="447"/>
      <c r="N7" s="450"/>
      <c r="O7" s="451"/>
      <c r="P7" s="451"/>
      <c r="Q7" s="451"/>
      <c r="R7" s="444"/>
      <c r="S7" s="455"/>
      <c r="T7" s="457"/>
      <c r="U7" s="254"/>
      <c r="V7" s="452"/>
      <c r="W7" s="452"/>
      <c r="X7" s="452"/>
      <c r="Y7" s="255"/>
      <c r="AA7" s="461"/>
      <c r="AB7" s="459"/>
      <c r="AC7" s="256"/>
      <c r="AD7" s="257"/>
      <c r="AE7" s="257"/>
      <c r="AF7" s="257"/>
      <c r="AG7" s="256"/>
      <c r="AH7" s="257"/>
      <c r="AI7" s="257"/>
      <c r="AJ7" s="257"/>
      <c r="AK7" s="258"/>
      <c r="AL7" s="259"/>
      <c r="AM7" s="250"/>
      <c r="AN7" s="250"/>
    </row>
    <row r="8" spans="1:49" ht="15" customHeight="1" x14ac:dyDescent="0.35">
      <c r="A8" s="260"/>
      <c r="B8" s="445"/>
      <c r="C8" s="445"/>
      <c r="D8" s="445"/>
      <c r="E8" s="449"/>
      <c r="F8" s="261"/>
      <c r="G8" s="415"/>
      <c r="H8" s="415"/>
      <c r="I8" s="262"/>
      <c r="J8" s="263"/>
      <c r="K8" s="445"/>
      <c r="L8" s="445"/>
      <c r="M8" s="445"/>
      <c r="N8" s="445"/>
      <c r="O8" s="445"/>
      <c r="P8" s="445"/>
      <c r="Q8" s="445"/>
      <c r="R8" s="445"/>
      <c r="S8" s="456"/>
      <c r="T8" s="458"/>
      <c r="U8" s="254"/>
      <c r="V8" s="453"/>
      <c r="W8" s="453"/>
      <c r="X8" s="453"/>
      <c r="Y8" s="265"/>
      <c r="AA8" s="460"/>
      <c r="AB8" s="460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7"/>
      <c r="AN8" s="267"/>
    </row>
    <row r="9" spans="1:49" ht="20.25" customHeight="1" x14ac:dyDescent="0.35">
      <c r="A9" s="250"/>
      <c r="B9" s="414"/>
      <c r="C9" s="268"/>
      <c r="D9" s="414"/>
      <c r="E9" s="414"/>
      <c r="F9" s="252"/>
      <c r="G9" s="414"/>
      <c r="H9" s="414"/>
      <c r="I9" s="269"/>
      <c r="J9" s="270"/>
      <c r="K9" s="270"/>
      <c r="L9" s="270"/>
      <c r="M9" s="270"/>
      <c r="N9" s="416"/>
      <c r="O9" s="271"/>
      <c r="P9" s="271"/>
      <c r="Q9" s="271"/>
      <c r="R9" s="272"/>
      <c r="S9" s="386"/>
      <c r="T9" s="387"/>
      <c r="U9" s="254"/>
      <c r="V9" s="273"/>
      <c r="W9" s="273"/>
      <c r="X9" s="273"/>
      <c r="Y9" s="273"/>
      <c r="AA9" s="274"/>
      <c r="AB9" s="275"/>
      <c r="AC9" s="274"/>
      <c r="AD9" s="274"/>
      <c r="AE9" s="274"/>
      <c r="AF9" s="276"/>
      <c r="AG9" s="274"/>
      <c r="AH9" s="274"/>
      <c r="AI9" s="274"/>
      <c r="AJ9" s="276"/>
      <c r="AK9" s="277"/>
      <c r="AL9" s="278"/>
      <c r="AM9" s="250"/>
      <c r="AN9" s="250"/>
    </row>
    <row r="10" spans="1:49" ht="20.25" customHeight="1" x14ac:dyDescent="0.35">
      <c r="A10" s="250"/>
      <c r="B10" s="279"/>
      <c r="C10" s="280"/>
      <c r="D10" s="279"/>
      <c r="E10" s="281"/>
      <c r="F10" s="282"/>
      <c r="G10" s="283"/>
      <c r="H10" s="283"/>
      <c r="I10" s="284"/>
      <c r="J10" s="270"/>
      <c r="K10" s="270"/>
      <c r="L10" s="270"/>
      <c r="M10" s="270"/>
      <c r="N10" s="416"/>
      <c r="O10" s="271"/>
      <c r="P10" s="271"/>
      <c r="Q10" s="271"/>
      <c r="R10" s="272"/>
      <c r="S10" s="388"/>
      <c r="T10" s="389"/>
      <c r="U10" s="254"/>
      <c r="V10" s="454"/>
      <c r="W10" s="454"/>
      <c r="X10" s="285"/>
      <c r="Y10" s="273"/>
      <c r="Z10" s="286"/>
      <c r="AA10" s="274"/>
      <c r="AB10" s="275"/>
      <c r="AC10" s="274"/>
      <c r="AD10" s="274"/>
      <c r="AE10" s="274"/>
      <c r="AF10" s="276"/>
      <c r="AG10" s="274"/>
      <c r="AH10" s="274"/>
      <c r="AI10" s="274"/>
      <c r="AJ10" s="276"/>
      <c r="AK10" s="277"/>
      <c r="AL10" s="278"/>
      <c r="AM10" s="287"/>
      <c r="AN10" s="287"/>
    </row>
    <row r="11" spans="1:49" ht="20.25" customHeight="1" x14ac:dyDescent="0.35">
      <c r="A11" s="250"/>
      <c r="B11" s="270"/>
      <c r="C11" s="288"/>
      <c r="D11" s="270"/>
      <c r="E11" s="414"/>
      <c r="F11" s="289"/>
      <c r="G11" s="290"/>
      <c r="H11" s="290"/>
      <c r="I11" s="291"/>
      <c r="J11" s="270"/>
      <c r="K11" s="270"/>
      <c r="L11" s="270"/>
      <c r="M11" s="270"/>
      <c r="N11" s="416"/>
      <c r="O11" s="271"/>
      <c r="P11" s="271"/>
      <c r="Q11" s="271"/>
      <c r="R11" s="272"/>
      <c r="S11" s="272"/>
      <c r="T11" s="272"/>
      <c r="U11" s="254"/>
      <c r="V11" s="273"/>
      <c r="W11" s="273"/>
      <c r="X11" s="292"/>
      <c r="Y11" s="273"/>
      <c r="AA11" s="274"/>
      <c r="AB11" s="293"/>
      <c r="AC11" s="274"/>
      <c r="AD11" s="274"/>
      <c r="AE11" s="274"/>
      <c r="AF11" s="276"/>
      <c r="AG11" s="274"/>
      <c r="AH11" s="274"/>
      <c r="AI11" s="274"/>
      <c r="AJ11" s="276"/>
      <c r="AK11" s="277"/>
      <c r="AL11" s="278"/>
      <c r="AM11" s="287"/>
      <c r="AN11" s="287"/>
    </row>
    <row r="12" spans="1:49" ht="20.25" customHeight="1" x14ac:dyDescent="0.35">
      <c r="A12" s="250"/>
      <c r="B12" s="294"/>
      <c r="C12" s="295"/>
      <c r="D12" s="295"/>
      <c r="E12" s="296"/>
      <c r="F12" s="297"/>
      <c r="G12" s="298"/>
      <c r="H12" s="296"/>
      <c r="I12" s="284"/>
      <c r="J12" s="299"/>
      <c r="K12" s="299"/>
      <c r="L12" s="299"/>
      <c r="M12" s="299"/>
      <c r="N12" s="300"/>
      <c r="O12" s="301"/>
      <c r="P12" s="301"/>
      <c r="Q12" s="301"/>
      <c r="R12" s="302"/>
      <c r="S12" s="302"/>
      <c r="T12" s="302"/>
      <c r="U12" s="254"/>
      <c r="V12" s="454"/>
      <c r="W12" s="454"/>
      <c r="X12" s="285"/>
      <c r="Y12" s="273"/>
      <c r="AA12" s="274"/>
      <c r="AB12" s="293"/>
      <c r="AC12" s="274"/>
      <c r="AD12" s="274"/>
      <c r="AE12" s="274"/>
      <c r="AF12" s="276"/>
      <c r="AG12" s="274"/>
      <c r="AH12" s="274"/>
      <c r="AI12" s="274"/>
      <c r="AJ12" s="276"/>
      <c r="AK12" s="277"/>
      <c r="AL12" s="278"/>
      <c r="AM12" s="250"/>
      <c r="AN12" s="250"/>
    </row>
    <row r="13" spans="1:49" ht="20.25" customHeight="1" x14ac:dyDescent="0.35">
      <c r="A13" s="250"/>
      <c r="B13" s="270"/>
      <c r="C13" s="288"/>
      <c r="D13" s="270"/>
      <c r="E13" s="414"/>
      <c r="F13" s="289"/>
      <c r="G13" s="290"/>
      <c r="H13" s="290"/>
      <c r="I13" s="291"/>
      <c r="J13" s="270"/>
      <c r="K13" s="270"/>
      <c r="L13" s="270"/>
      <c r="M13" s="270"/>
      <c r="N13" s="416"/>
      <c r="O13" s="271"/>
      <c r="P13" s="271"/>
      <c r="Q13" s="271"/>
      <c r="R13" s="272"/>
      <c r="S13" s="272"/>
      <c r="T13" s="272"/>
      <c r="U13" s="254"/>
      <c r="V13" s="273"/>
      <c r="W13" s="273"/>
      <c r="X13" s="273"/>
      <c r="Y13" s="273"/>
      <c r="AA13" s="274"/>
      <c r="AB13" s="293"/>
      <c r="AC13" s="274"/>
      <c r="AD13" s="274"/>
      <c r="AE13" s="274"/>
      <c r="AF13" s="276"/>
      <c r="AG13" s="274"/>
      <c r="AH13" s="274"/>
      <c r="AI13" s="274"/>
      <c r="AJ13" s="276"/>
      <c r="AK13" s="277"/>
      <c r="AL13" s="278"/>
      <c r="AM13" s="287"/>
      <c r="AN13" s="287"/>
    </row>
    <row r="14" spans="1:49" s="316" customFormat="1" ht="20.25" customHeight="1" x14ac:dyDescent="0.35">
      <c r="A14" s="303"/>
      <c r="B14" s="304"/>
      <c r="C14" s="305"/>
      <c r="D14" s="305"/>
      <c r="E14" s="306"/>
      <c r="F14" s="307"/>
      <c r="G14" s="306"/>
      <c r="H14" s="306"/>
      <c r="I14" s="308"/>
      <c r="J14" s="309"/>
      <c r="K14" s="305"/>
      <c r="L14" s="305"/>
      <c r="M14" s="305"/>
      <c r="N14" s="310"/>
      <c r="O14" s="311"/>
      <c r="P14" s="311"/>
      <c r="Q14" s="311"/>
      <c r="R14" s="312"/>
      <c r="S14" s="390"/>
      <c r="T14" s="391"/>
      <c r="U14" s="254"/>
      <c r="V14" s="313"/>
      <c r="W14" s="313"/>
      <c r="X14" s="313"/>
      <c r="Y14" s="314"/>
      <c r="Z14" s="315"/>
      <c r="AA14" s="274"/>
      <c r="AB14" s="293"/>
      <c r="AC14" s="274"/>
      <c r="AD14" s="274"/>
      <c r="AE14" s="274"/>
      <c r="AF14" s="276"/>
      <c r="AG14" s="274"/>
      <c r="AH14" s="274"/>
      <c r="AI14" s="274"/>
      <c r="AJ14" s="276"/>
      <c r="AK14" s="277"/>
      <c r="AL14" s="278"/>
      <c r="AM14" s="250"/>
      <c r="AN14" s="250"/>
      <c r="AO14" s="315"/>
      <c r="AP14" s="315"/>
      <c r="AQ14" s="418"/>
      <c r="AR14" s="418"/>
      <c r="AS14" s="418"/>
      <c r="AT14" s="418"/>
      <c r="AU14" s="418"/>
      <c r="AV14" s="418"/>
      <c r="AW14" s="418"/>
    </row>
    <row r="15" spans="1:49" ht="20.25" customHeight="1" x14ac:dyDescent="0.35">
      <c r="A15" s="216"/>
      <c r="B15" s="317"/>
      <c r="C15" s="215"/>
      <c r="D15" s="215"/>
      <c r="E15" s="318"/>
      <c r="F15" s="319"/>
      <c r="G15" s="320"/>
      <c r="H15" s="320"/>
      <c r="I15" s="321"/>
      <c r="J15" s="274"/>
      <c r="K15" s="322"/>
      <c r="L15" s="274"/>
      <c r="M15" s="274"/>
      <c r="N15" s="323"/>
      <c r="O15" s="324"/>
      <c r="P15" s="324"/>
      <c r="Q15" s="324"/>
      <c r="R15" s="325"/>
      <c r="S15" s="392"/>
      <c r="T15" s="393"/>
      <c r="U15" s="254"/>
      <c r="V15" s="326"/>
      <c r="W15" s="326"/>
      <c r="X15" s="327"/>
      <c r="AA15" s="274"/>
      <c r="AB15" s="293"/>
      <c r="AC15" s="274"/>
      <c r="AD15" s="274"/>
      <c r="AE15" s="274"/>
      <c r="AF15" s="276"/>
      <c r="AG15" s="274"/>
      <c r="AH15" s="274"/>
      <c r="AI15" s="274"/>
      <c r="AJ15" s="276"/>
      <c r="AK15" s="277"/>
      <c r="AL15" s="278"/>
      <c r="AM15" s="216"/>
      <c r="AN15" s="216"/>
    </row>
    <row r="16" spans="1:49" ht="20.25" customHeight="1" x14ac:dyDescent="0.35">
      <c r="A16" s="216"/>
      <c r="B16" s="317"/>
      <c r="C16" s="215"/>
      <c r="D16" s="215"/>
      <c r="E16" s="318"/>
      <c r="F16" s="328"/>
      <c r="G16" s="320"/>
      <c r="H16" s="320"/>
      <c r="I16" s="321"/>
      <c r="J16" s="274"/>
      <c r="K16" s="274"/>
      <c r="L16" s="274"/>
      <c r="M16" s="274"/>
      <c r="N16" s="323"/>
      <c r="O16" s="324"/>
      <c r="P16" s="324"/>
      <c r="Q16" s="324"/>
      <c r="R16" s="325"/>
      <c r="S16" s="222"/>
      <c r="T16" s="264"/>
      <c r="U16" s="254"/>
      <c r="V16" s="326"/>
      <c r="W16" s="326"/>
      <c r="X16" s="327"/>
      <c r="AA16" s="274"/>
      <c r="AB16" s="293"/>
      <c r="AC16" s="274"/>
      <c r="AD16" s="274"/>
      <c r="AE16" s="274"/>
      <c r="AF16" s="276"/>
      <c r="AG16" s="274"/>
      <c r="AH16" s="274"/>
      <c r="AI16" s="274"/>
      <c r="AJ16" s="276"/>
      <c r="AK16" s="277"/>
      <c r="AL16" s="278"/>
      <c r="AM16" s="216"/>
      <c r="AN16" s="216"/>
    </row>
    <row r="17" spans="1:49" s="316" customFormat="1" ht="20.25" customHeight="1" x14ac:dyDescent="0.35">
      <c r="A17" s="303"/>
      <c r="B17" s="329"/>
      <c r="C17" s="330"/>
      <c r="D17" s="330"/>
      <c r="E17" s="331"/>
      <c r="F17" s="332"/>
      <c r="G17" s="331"/>
      <c r="H17" s="331"/>
      <c r="I17" s="333"/>
      <c r="J17" s="334"/>
      <c r="K17" s="330"/>
      <c r="L17" s="330"/>
      <c r="M17" s="330"/>
      <c r="N17" s="335"/>
      <c r="O17" s="336"/>
      <c r="P17" s="336"/>
      <c r="Q17" s="336"/>
      <c r="R17" s="337"/>
      <c r="S17" s="390"/>
      <c r="T17" s="391"/>
      <c r="U17" s="254"/>
      <c r="V17" s="326"/>
      <c r="W17" s="326"/>
      <c r="X17" s="327"/>
      <c r="Y17" s="314"/>
      <c r="Z17" s="315"/>
      <c r="AA17" s="274"/>
      <c r="AB17" s="293"/>
      <c r="AC17" s="274"/>
      <c r="AD17" s="274"/>
      <c r="AE17" s="274"/>
      <c r="AF17" s="276"/>
      <c r="AG17" s="274"/>
      <c r="AH17" s="274"/>
      <c r="AI17" s="274"/>
      <c r="AJ17" s="276"/>
      <c r="AK17" s="277"/>
      <c r="AL17" s="278"/>
      <c r="AM17" s="250"/>
      <c r="AN17" s="250"/>
      <c r="AO17" s="315"/>
      <c r="AP17" s="315"/>
      <c r="AQ17" s="418"/>
      <c r="AR17" s="418"/>
      <c r="AS17" s="418"/>
      <c r="AT17" s="418"/>
      <c r="AU17" s="418"/>
      <c r="AV17" s="418"/>
      <c r="AW17" s="418"/>
    </row>
    <row r="18" spans="1:49" ht="20.25" customHeight="1" x14ac:dyDescent="0.35">
      <c r="A18" s="216"/>
      <c r="B18" s="317"/>
      <c r="C18" s="215"/>
      <c r="D18" s="215"/>
      <c r="E18" s="318"/>
      <c r="F18" s="328"/>
      <c r="G18" s="320"/>
      <c r="H18" s="320"/>
      <c r="I18" s="321"/>
      <c r="J18" s="274"/>
      <c r="K18" s="274"/>
      <c r="L18" s="274"/>
      <c r="M18" s="274"/>
      <c r="N18" s="323"/>
      <c r="O18" s="324"/>
      <c r="P18" s="324"/>
      <c r="Q18" s="324"/>
      <c r="R18" s="325"/>
      <c r="S18" s="392"/>
      <c r="T18" s="393"/>
      <c r="U18" s="254"/>
      <c r="V18" s="326"/>
      <c r="W18" s="326"/>
      <c r="X18" s="327"/>
      <c r="AA18" s="274"/>
      <c r="AB18" s="293"/>
      <c r="AC18" s="274"/>
      <c r="AD18" s="274"/>
      <c r="AE18" s="274"/>
      <c r="AF18" s="276"/>
      <c r="AG18" s="274"/>
      <c r="AH18" s="274"/>
      <c r="AI18" s="274"/>
      <c r="AJ18" s="276"/>
      <c r="AK18" s="277"/>
      <c r="AL18" s="278"/>
      <c r="AM18" s="216"/>
      <c r="AN18" s="216"/>
    </row>
    <row r="19" spans="1:49" ht="20.25" customHeight="1" x14ac:dyDescent="0.35">
      <c r="A19" s="216"/>
      <c r="B19" s="317"/>
      <c r="C19" s="215"/>
      <c r="D19" s="215"/>
      <c r="E19" s="318"/>
      <c r="F19" s="328"/>
      <c r="G19" s="320"/>
      <c r="H19" s="320"/>
      <c r="I19" s="321"/>
      <c r="J19" s="274"/>
      <c r="K19" s="274"/>
      <c r="L19" s="274"/>
      <c r="M19" s="274"/>
      <c r="N19" s="323"/>
      <c r="O19" s="324"/>
      <c r="P19" s="324"/>
      <c r="Q19" s="324"/>
      <c r="R19" s="325"/>
      <c r="S19" s="392"/>
      <c r="T19" s="393"/>
      <c r="U19" s="254"/>
      <c r="V19" s="326"/>
      <c r="W19" s="326"/>
      <c r="X19" s="327"/>
      <c r="AA19" s="274"/>
      <c r="AB19" s="293"/>
      <c r="AC19" s="274"/>
      <c r="AD19" s="274"/>
      <c r="AE19" s="274"/>
      <c r="AF19" s="276"/>
      <c r="AG19" s="274"/>
      <c r="AH19" s="274"/>
      <c r="AI19" s="274"/>
      <c r="AJ19" s="276"/>
      <c r="AK19" s="277"/>
      <c r="AL19" s="278"/>
      <c r="AM19" s="216"/>
      <c r="AN19" s="216"/>
    </row>
    <row r="20" spans="1:49" ht="20.25" customHeight="1" x14ac:dyDescent="0.35">
      <c r="A20" s="216"/>
      <c r="B20" s="317"/>
      <c r="C20" s="215"/>
      <c r="D20" s="215"/>
      <c r="E20" s="318"/>
      <c r="F20" s="328"/>
      <c r="G20" s="320"/>
      <c r="H20" s="320"/>
      <c r="I20" s="321"/>
      <c r="J20" s="274"/>
      <c r="K20" s="274"/>
      <c r="L20" s="274"/>
      <c r="M20" s="274"/>
      <c r="N20" s="323"/>
      <c r="O20" s="324"/>
      <c r="P20" s="324"/>
      <c r="Q20" s="324"/>
      <c r="R20" s="325"/>
      <c r="S20" s="392"/>
      <c r="T20" s="393"/>
      <c r="U20" s="254"/>
      <c r="V20" s="326"/>
      <c r="W20" s="326"/>
      <c r="X20" s="327"/>
      <c r="AA20" s="274"/>
      <c r="AB20" s="293"/>
      <c r="AC20" s="274"/>
      <c r="AD20" s="274"/>
      <c r="AE20" s="274"/>
      <c r="AF20" s="276"/>
      <c r="AG20" s="274"/>
      <c r="AH20" s="274"/>
      <c r="AI20" s="274"/>
      <c r="AJ20" s="276"/>
      <c r="AK20" s="277"/>
      <c r="AL20" s="278"/>
      <c r="AM20" s="216"/>
      <c r="AN20" s="216"/>
    </row>
    <row r="21" spans="1:49" ht="20.25" customHeight="1" x14ac:dyDescent="0.35">
      <c r="A21" s="216"/>
      <c r="B21" s="317"/>
      <c r="C21" s="215"/>
      <c r="D21" s="215"/>
      <c r="E21" s="318"/>
      <c r="F21" s="328"/>
      <c r="G21" s="320"/>
      <c r="H21" s="320"/>
      <c r="I21" s="321"/>
      <c r="J21" s="274"/>
      <c r="K21" s="274"/>
      <c r="L21" s="274"/>
      <c r="M21" s="274"/>
      <c r="N21" s="323"/>
      <c r="O21" s="324"/>
      <c r="P21" s="324"/>
      <c r="Q21" s="324"/>
      <c r="R21" s="325"/>
      <c r="S21" s="392"/>
      <c r="T21" s="393"/>
      <c r="U21" s="254"/>
      <c r="V21" s="326"/>
      <c r="W21" s="326"/>
      <c r="X21" s="327"/>
      <c r="AA21" s="274"/>
      <c r="AB21" s="293"/>
      <c r="AC21" s="274"/>
      <c r="AD21" s="274"/>
      <c r="AE21" s="274"/>
      <c r="AF21" s="276"/>
      <c r="AG21" s="274"/>
      <c r="AH21" s="274"/>
      <c r="AI21" s="274"/>
      <c r="AJ21" s="276"/>
      <c r="AK21" s="277"/>
      <c r="AL21" s="278"/>
      <c r="AM21" s="216"/>
      <c r="AN21" s="216"/>
    </row>
    <row r="22" spans="1:49" ht="20.25" customHeight="1" x14ac:dyDescent="0.35">
      <c r="A22" s="216"/>
      <c r="B22" s="317"/>
      <c r="C22" s="215"/>
      <c r="D22" s="215"/>
      <c r="E22" s="318"/>
      <c r="F22" s="328"/>
      <c r="G22" s="320"/>
      <c r="H22" s="320"/>
      <c r="I22" s="321"/>
      <c r="J22" s="274"/>
      <c r="K22" s="274"/>
      <c r="L22" s="274"/>
      <c r="M22" s="274"/>
      <c r="N22" s="323"/>
      <c r="O22" s="324"/>
      <c r="P22" s="324"/>
      <c r="Q22" s="324"/>
      <c r="R22" s="325"/>
      <c r="S22" s="392"/>
      <c r="T22" s="393"/>
      <c r="U22" s="254"/>
      <c r="V22" s="326"/>
      <c r="W22" s="326"/>
      <c r="X22" s="327"/>
      <c r="AA22" s="274"/>
      <c r="AB22" s="293"/>
      <c r="AC22" s="274"/>
      <c r="AD22" s="274"/>
      <c r="AE22" s="274"/>
      <c r="AF22" s="276"/>
      <c r="AG22" s="274"/>
      <c r="AH22" s="274"/>
      <c r="AI22" s="274"/>
      <c r="AJ22" s="276"/>
      <c r="AK22" s="277"/>
      <c r="AL22" s="278"/>
      <c r="AM22" s="216"/>
      <c r="AN22" s="216"/>
    </row>
    <row r="23" spans="1:49" ht="20.25" customHeight="1" x14ac:dyDescent="0.35">
      <c r="A23" s="216"/>
      <c r="B23" s="317"/>
      <c r="C23" s="215"/>
      <c r="D23" s="215"/>
      <c r="E23" s="318"/>
      <c r="F23" s="328"/>
      <c r="G23" s="320"/>
      <c r="H23" s="320"/>
      <c r="I23" s="321"/>
      <c r="J23" s="274"/>
      <c r="K23" s="274"/>
      <c r="L23" s="274"/>
      <c r="M23" s="274"/>
      <c r="N23" s="323"/>
      <c r="O23" s="324"/>
      <c r="P23" s="324"/>
      <c r="Q23" s="324"/>
      <c r="R23" s="325"/>
      <c r="S23" s="392"/>
      <c r="T23" s="393"/>
      <c r="U23" s="254"/>
      <c r="V23" s="326"/>
      <c r="W23" s="326"/>
      <c r="X23" s="327"/>
      <c r="AA23" s="274"/>
      <c r="AB23" s="293"/>
      <c r="AC23" s="274"/>
      <c r="AD23" s="274"/>
      <c r="AE23" s="274"/>
      <c r="AF23" s="276"/>
      <c r="AG23" s="274"/>
      <c r="AH23" s="274"/>
      <c r="AI23" s="274"/>
      <c r="AJ23" s="276"/>
      <c r="AK23" s="277"/>
      <c r="AL23" s="278"/>
      <c r="AM23" s="216"/>
      <c r="AN23" s="216"/>
    </row>
    <row r="24" spans="1:49" ht="20.25" customHeight="1" x14ac:dyDescent="0.35">
      <c r="A24" s="216"/>
      <c r="B24" s="317"/>
      <c r="C24" s="215"/>
      <c r="D24" s="215"/>
      <c r="E24" s="318"/>
      <c r="F24" s="328"/>
      <c r="G24" s="320"/>
      <c r="H24" s="320"/>
      <c r="I24" s="321"/>
      <c r="J24" s="274"/>
      <c r="K24" s="274"/>
      <c r="L24" s="274"/>
      <c r="M24" s="274"/>
      <c r="N24" s="323"/>
      <c r="O24" s="324"/>
      <c r="P24" s="324"/>
      <c r="Q24" s="324"/>
      <c r="R24" s="325"/>
      <c r="S24" s="392"/>
      <c r="T24" s="393"/>
      <c r="U24" s="254"/>
      <c r="V24" s="326"/>
      <c r="W24" s="326"/>
      <c r="X24" s="327"/>
      <c r="AA24" s="399"/>
      <c r="AB24" s="400"/>
      <c r="AC24" s="399"/>
      <c r="AD24" s="399"/>
      <c r="AE24" s="399"/>
      <c r="AF24" s="401"/>
      <c r="AG24" s="399"/>
      <c r="AH24" s="399"/>
      <c r="AI24" s="399"/>
      <c r="AJ24" s="401"/>
      <c r="AK24" s="402"/>
      <c r="AL24" s="403"/>
      <c r="AM24" s="216"/>
      <c r="AN24" s="216"/>
    </row>
    <row r="25" spans="1:49" s="316" customFormat="1" ht="20.25" customHeight="1" x14ac:dyDescent="0.35">
      <c r="A25" s="303"/>
      <c r="B25" s="329"/>
      <c r="C25" s="330"/>
      <c r="D25" s="330"/>
      <c r="E25" s="331"/>
      <c r="F25" s="332"/>
      <c r="G25" s="331"/>
      <c r="H25" s="331"/>
      <c r="I25" s="333"/>
      <c r="J25" s="334"/>
      <c r="K25" s="330"/>
      <c r="L25" s="330"/>
      <c r="M25" s="330"/>
      <c r="N25" s="335"/>
      <c r="O25" s="336"/>
      <c r="P25" s="336"/>
      <c r="Q25" s="336"/>
      <c r="R25" s="337"/>
      <c r="S25" s="337"/>
      <c r="T25" s="337"/>
      <c r="U25" s="254"/>
      <c r="V25" s="326"/>
      <c r="W25" s="326"/>
      <c r="X25" s="327"/>
      <c r="Y25" s="224"/>
      <c r="Z25" s="418"/>
      <c r="AA25" s="404"/>
      <c r="AB25" s="405"/>
      <c r="AC25" s="404"/>
      <c r="AD25" s="404"/>
      <c r="AE25" s="404"/>
      <c r="AF25" s="406"/>
      <c r="AG25" s="404"/>
      <c r="AH25" s="404"/>
      <c r="AI25" s="404"/>
      <c r="AJ25" s="406"/>
      <c r="AK25" s="407"/>
      <c r="AL25" s="408"/>
      <c r="AM25" s="250"/>
      <c r="AN25" s="250"/>
      <c r="AO25" s="315"/>
      <c r="AP25" s="315"/>
      <c r="AQ25" s="418"/>
      <c r="AR25" s="418"/>
      <c r="AS25" s="418"/>
      <c r="AT25" s="418"/>
      <c r="AU25" s="418"/>
      <c r="AV25" s="418"/>
      <c r="AW25" s="418"/>
    </row>
    <row r="26" spans="1:49" ht="20.25" customHeight="1" x14ac:dyDescent="0.35">
      <c r="A26" s="216"/>
      <c r="B26" s="317"/>
      <c r="C26" s="215"/>
      <c r="D26" s="215"/>
      <c r="E26" s="318"/>
      <c r="F26" s="328"/>
      <c r="G26" s="320"/>
      <c r="H26" s="320"/>
      <c r="I26" s="321"/>
      <c r="J26" s="274"/>
      <c r="K26" s="274"/>
      <c r="L26" s="274"/>
      <c r="M26" s="274"/>
      <c r="N26" s="323"/>
      <c r="O26" s="324"/>
      <c r="P26" s="324"/>
      <c r="Q26" s="324"/>
      <c r="R26" s="325"/>
      <c r="S26" s="392"/>
      <c r="T26" s="393"/>
      <c r="U26" s="254"/>
      <c r="V26" s="326"/>
      <c r="W26" s="326"/>
      <c r="X26" s="327"/>
      <c r="AA26" s="216"/>
      <c r="AB26" s="381"/>
      <c r="AC26" s="216"/>
      <c r="AD26" s="216"/>
      <c r="AE26" s="216"/>
      <c r="AF26" s="419"/>
      <c r="AG26" s="216"/>
      <c r="AH26" s="216"/>
      <c r="AI26" s="216"/>
      <c r="AJ26" s="419"/>
      <c r="AK26" s="394"/>
      <c r="AL26" s="395"/>
      <c r="AM26" s="216"/>
      <c r="AN26" s="216"/>
    </row>
    <row r="27" spans="1:49" ht="20.25" customHeight="1" x14ac:dyDescent="0.35">
      <c r="A27" s="216"/>
      <c r="B27" s="317"/>
      <c r="C27" s="215"/>
      <c r="D27" s="215"/>
      <c r="E27" s="318"/>
      <c r="F27" s="328"/>
      <c r="G27" s="320"/>
      <c r="H27" s="320"/>
      <c r="I27" s="321"/>
      <c r="J27" s="274"/>
      <c r="K27" s="274"/>
      <c r="L27" s="274"/>
      <c r="M27" s="274"/>
      <c r="N27" s="323"/>
      <c r="O27" s="324"/>
      <c r="P27" s="324"/>
      <c r="Q27" s="324"/>
      <c r="R27" s="325"/>
      <c r="S27" s="392"/>
      <c r="T27" s="393"/>
      <c r="U27" s="254"/>
      <c r="V27" s="326"/>
      <c r="W27" s="326"/>
      <c r="X27" s="327"/>
      <c r="AA27" s="216"/>
      <c r="AB27" s="381"/>
      <c r="AC27" s="216"/>
      <c r="AD27" s="216"/>
      <c r="AE27" s="216"/>
      <c r="AF27" s="419"/>
      <c r="AG27" s="216"/>
      <c r="AH27" s="216"/>
      <c r="AI27" s="216"/>
      <c r="AJ27" s="419"/>
      <c r="AK27" s="382"/>
      <c r="AL27" s="383"/>
      <c r="AM27" s="216"/>
      <c r="AN27" s="216"/>
    </row>
    <row r="28" spans="1:49" ht="20.25" customHeight="1" x14ac:dyDescent="0.35">
      <c r="A28" s="216"/>
      <c r="B28" s="317"/>
      <c r="C28" s="215"/>
      <c r="D28" s="215"/>
      <c r="E28" s="318"/>
      <c r="F28" s="328"/>
      <c r="G28" s="320"/>
      <c r="H28" s="320"/>
      <c r="I28" s="321"/>
      <c r="J28" s="274"/>
      <c r="K28" s="274"/>
      <c r="L28" s="274"/>
      <c r="M28" s="274"/>
      <c r="N28" s="323"/>
      <c r="O28" s="324"/>
      <c r="P28" s="324"/>
      <c r="Q28" s="324"/>
      <c r="R28" s="325"/>
      <c r="S28" s="392"/>
      <c r="T28" s="393"/>
      <c r="U28" s="254"/>
      <c r="V28" s="326"/>
      <c r="W28" s="326"/>
      <c r="X28" s="327"/>
      <c r="AA28" s="216"/>
      <c r="AB28" s="381"/>
      <c r="AC28" s="216"/>
      <c r="AD28" s="216"/>
      <c r="AE28" s="216"/>
      <c r="AF28" s="419"/>
      <c r="AG28" s="216"/>
      <c r="AH28" s="216"/>
      <c r="AI28" s="216"/>
      <c r="AJ28" s="419"/>
      <c r="AK28" s="382"/>
      <c r="AL28" s="383"/>
      <c r="AM28" s="216"/>
      <c r="AN28" s="216"/>
    </row>
    <row r="29" spans="1:49" ht="20.25" customHeight="1" x14ac:dyDescent="0.35">
      <c r="A29" s="216"/>
      <c r="B29" s="317"/>
      <c r="C29" s="215"/>
      <c r="D29" s="215"/>
      <c r="E29" s="318"/>
      <c r="F29" s="328"/>
      <c r="G29" s="320"/>
      <c r="H29" s="320"/>
      <c r="I29" s="321"/>
      <c r="J29" s="274"/>
      <c r="K29" s="274"/>
      <c r="L29" s="274"/>
      <c r="M29" s="274"/>
      <c r="N29" s="323"/>
      <c r="O29" s="324"/>
      <c r="P29" s="324"/>
      <c r="Q29" s="324"/>
      <c r="R29" s="325"/>
      <c r="S29" s="392"/>
      <c r="T29" s="393"/>
      <c r="U29" s="254"/>
      <c r="V29" s="326"/>
      <c r="W29" s="326"/>
      <c r="X29" s="327"/>
      <c r="AA29" s="216"/>
      <c r="AB29" s="381"/>
      <c r="AC29" s="216"/>
      <c r="AD29" s="216"/>
      <c r="AE29" s="216"/>
      <c r="AF29" s="419"/>
      <c r="AG29" s="216"/>
      <c r="AH29" s="216"/>
      <c r="AI29" s="216"/>
      <c r="AJ29" s="419"/>
      <c r="AK29" s="382"/>
      <c r="AL29" s="383"/>
      <c r="AM29" s="216"/>
      <c r="AN29" s="216"/>
    </row>
    <row r="30" spans="1:49" ht="20.25" customHeight="1" x14ac:dyDescent="0.35">
      <c r="A30" s="216"/>
      <c r="B30" s="317"/>
      <c r="C30" s="215"/>
      <c r="D30" s="215"/>
      <c r="E30" s="318"/>
      <c r="F30" s="328"/>
      <c r="G30" s="320"/>
      <c r="H30" s="320"/>
      <c r="I30" s="321"/>
      <c r="J30" s="274"/>
      <c r="K30" s="274"/>
      <c r="L30" s="274"/>
      <c r="M30" s="274"/>
      <c r="N30" s="323"/>
      <c r="O30" s="324"/>
      <c r="P30" s="324"/>
      <c r="Q30" s="324"/>
      <c r="R30" s="325"/>
      <c r="S30" s="392"/>
      <c r="T30" s="393"/>
      <c r="U30" s="254"/>
      <c r="V30" s="326"/>
      <c r="W30" s="326"/>
      <c r="X30" s="327"/>
      <c r="AA30" s="216"/>
      <c r="AB30" s="381"/>
      <c r="AC30" s="216"/>
      <c r="AD30" s="216"/>
      <c r="AE30" s="216"/>
      <c r="AF30" s="419"/>
      <c r="AG30" s="216"/>
      <c r="AH30" s="216"/>
      <c r="AI30" s="216"/>
      <c r="AJ30" s="419"/>
      <c r="AK30" s="382"/>
      <c r="AL30" s="383"/>
      <c r="AM30" s="216"/>
      <c r="AN30" s="216"/>
    </row>
    <row r="31" spans="1:49" ht="20.25" customHeight="1" x14ac:dyDescent="0.35">
      <c r="A31" s="216"/>
      <c r="B31" s="317"/>
      <c r="C31" s="215"/>
      <c r="D31" s="215"/>
      <c r="E31" s="318"/>
      <c r="F31" s="328"/>
      <c r="G31" s="320"/>
      <c r="H31" s="320"/>
      <c r="I31" s="321"/>
      <c r="J31" s="274"/>
      <c r="K31" s="274"/>
      <c r="L31" s="274"/>
      <c r="M31" s="274"/>
      <c r="N31" s="323"/>
      <c r="O31" s="324"/>
      <c r="P31" s="324"/>
      <c r="Q31" s="324"/>
      <c r="R31" s="325"/>
      <c r="S31" s="392"/>
      <c r="T31" s="393"/>
      <c r="U31" s="254"/>
      <c r="V31" s="326"/>
      <c r="W31" s="326"/>
      <c r="X31" s="327"/>
      <c r="AA31" s="216"/>
      <c r="AB31" s="381"/>
      <c r="AC31" s="216"/>
      <c r="AD31" s="216"/>
      <c r="AE31" s="216"/>
      <c r="AF31" s="419"/>
      <c r="AG31" s="216"/>
      <c r="AH31" s="216"/>
      <c r="AI31" s="216"/>
      <c r="AJ31" s="419"/>
      <c r="AK31" s="382"/>
      <c r="AL31" s="383"/>
      <c r="AM31" s="216"/>
      <c r="AN31" s="216"/>
    </row>
    <row r="32" spans="1:49" ht="20.25" customHeight="1" x14ac:dyDescent="0.35">
      <c r="A32" s="216"/>
      <c r="B32" s="317"/>
      <c r="C32" s="215"/>
      <c r="D32" s="215"/>
      <c r="E32" s="318"/>
      <c r="F32" s="328"/>
      <c r="G32" s="320"/>
      <c r="H32" s="320"/>
      <c r="I32" s="321"/>
      <c r="J32" s="274"/>
      <c r="K32" s="274"/>
      <c r="L32" s="274"/>
      <c r="M32" s="274"/>
      <c r="N32" s="323"/>
      <c r="O32" s="324"/>
      <c r="P32" s="324"/>
      <c r="Q32" s="324"/>
      <c r="R32" s="325"/>
      <c r="S32" s="392"/>
      <c r="T32" s="393"/>
      <c r="U32" s="254"/>
      <c r="V32" s="326"/>
      <c r="W32" s="326"/>
      <c r="X32" s="327"/>
      <c r="AA32" s="216"/>
      <c r="AB32" s="381"/>
      <c r="AC32" s="216"/>
      <c r="AD32" s="216"/>
      <c r="AE32" s="216"/>
      <c r="AF32" s="419"/>
      <c r="AG32" s="216"/>
      <c r="AH32" s="216"/>
      <c r="AI32" s="216"/>
      <c r="AJ32" s="419"/>
      <c r="AK32" s="382"/>
      <c r="AL32" s="383"/>
      <c r="AM32" s="216"/>
      <c r="AN32" s="216"/>
    </row>
    <row r="33" spans="1:40" ht="20.25" customHeight="1" x14ac:dyDescent="0.35">
      <c r="A33" s="216"/>
      <c r="B33" s="317"/>
      <c r="C33" s="215"/>
      <c r="D33" s="215"/>
      <c r="E33" s="318"/>
      <c r="F33" s="328"/>
      <c r="G33" s="320"/>
      <c r="H33" s="320"/>
      <c r="I33" s="321"/>
      <c r="J33" s="274"/>
      <c r="K33" s="274"/>
      <c r="L33" s="274"/>
      <c r="M33" s="274"/>
      <c r="N33" s="323"/>
      <c r="O33" s="324"/>
      <c r="P33" s="324"/>
      <c r="Q33" s="324"/>
      <c r="R33" s="325"/>
      <c r="S33" s="392"/>
      <c r="T33" s="393"/>
      <c r="U33" s="254"/>
      <c r="V33" s="326"/>
      <c r="W33" s="326"/>
      <c r="X33" s="327"/>
      <c r="AA33" s="216"/>
      <c r="AB33" s="381"/>
      <c r="AC33" s="216"/>
      <c r="AD33" s="216"/>
      <c r="AE33" s="216"/>
      <c r="AF33" s="419"/>
      <c r="AG33" s="216"/>
      <c r="AH33" s="216"/>
      <c r="AI33" s="216"/>
      <c r="AJ33" s="419"/>
      <c r="AK33" s="382"/>
      <c r="AL33" s="383"/>
      <c r="AM33" s="216"/>
      <c r="AN33" s="216"/>
    </row>
    <row r="34" spans="1:40" ht="20.25" customHeight="1" x14ac:dyDescent="0.35">
      <c r="A34" s="216"/>
      <c r="B34" s="317"/>
      <c r="C34" s="215"/>
      <c r="D34" s="215"/>
      <c r="E34" s="318"/>
      <c r="F34" s="328"/>
      <c r="G34" s="320"/>
      <c r="H34" s="320"/>
      <c r="I34" s="321"/>
      <c r="J34" s="274"/>
      <c r="K34" s="274"/>
      <c r="L34" s="274"/>
      <c r="M34" s="274"/>
      <c r="N34" s="323"/>
      <c r="O34" s="324"/>
      <c r="P34" s="324"/>
      <c r="Q34" s="324"/>
      <c r="R34" s="325"/>
      <c r="S34" s="392"/>
      <c r="T34" s="393"/>
      <c r="U34" s="254"/>
      <c r="V34" s="326"/>
      <c r="W34" s="326"/>
      <c r="X34" s="327"/>
      <c r="AA34" s="216"/>
      <c r="AB34" s="381"/>
      <c r="AC34" s="216"/>
      <c r="AD34" s="216"/>
      <c r="AE34" s="216"/>
      <c r="AF34" s="419"/>
      <c r="AG34" s="216"/>
      <c r="AH34" s="216"/>
      <c r="AI34" s="216"/>
      <c r="AJ34" s="419"/>
      <c r="AK34" s="382"/>
      <c r="AL34" s="383"/>
      <c r="AM34" s="216"/>
      <c r="AN34" s="216"/>
    </row>
    <row r="35" spans="1:40" ht="20.25" customHeight="1" x14ac:dyDescent="0.35">
      <c r="A35" s="216"/>
      <c r="B35" s="317"/>
      <c r="C35" s="215"/>
      <c r="D35" s="215"/>
      <c r="E35" s="318"/>
      <c r="F35" s="328"/>
      <c r="G35" s="320"/>
      <c r="H35" s="320"/>
      <c r="I35" s="321"/>
      <c r="J35" s="274"/>
      <c r="K35" s="274"/>
      <c r="L35" s="274"/>
      <c r="M35" s="274"/>
      <c r="N35" s="323"/>
      <c r="O35" s="324"/>
      <c r="P35" s="324"/>
      <c r="Q35" s="324"/>
      <c r="R35" s="325"/>
      <c r="S35" s="392"/>
      <c r="T35" s="393"/>
      <c r="U35" s="254"/>
      <c r="V35" s="326"/>
      <c r="W35" s="326"/>
      <c r="X35" s="327"/>
      <c r="AA35" s="216"/>
      <c r="AB35" s="381"/>
      <c r="AC35" s="216"/>
      <c r="AD35" s="216"/>
      <c r="AE35" s="216"/>
      <c r="AF35" s="419"/>
      <c r="AG35" s="216"/>
      <c r="AH35" s="216"/>
      <c r="AI35" s="216"/>
      <c r="AJ35" s="419"/>
      <c r="AK35" s="382"/>
      <c r="AL35" s="383"/>
      <c r="AM35" s="216"/>
      <c r="AN35" s="216"/>
    </row>
    <row r="36" spans="1:40" ht="20.25" customHeight="1" x14ac:dyDescent="0.35">
      <c r="A36" s="216"/>
      <c r="B36" s="317"/>
      <c r="C36" s="215"/>
      <c r="D36" s="215"/>
      <c r="E36" s="318"/>
      <c r="F36" s="328"/>
      <c r="G36" s="320"/>
      <c r="H36" s="320"/>
      <c r="I36" s="321"/>
      <c r="J36" s="274"/>
      <c r="K36" s="274"/>
      <c r="L36" s="274"/>
      <c r="M36" s="274"/>
      <c r="N36" s="323"/>
      <c r="O36" s="324"/>
      <c r="P36" s="324"/>
      <c r="Q36" s="324"/>
      <c r="R36" s="325"/>
      <c r="S36" s="392"/>
      <c r="T36" s="393"/>
      <c r="U36" s="254"/>
      <c r="V36" s="326"/>
      <c r="W36" s="326"/>
      <c r="X36" s="327"/>
      <c r="AA36" s="216"/>
      <c r="AB36" s="381"/>
      <c r="AC36" s="216"/>
      <c r="AD36" s="216"/>
      <c r="AE36" s="216"/>
      <c r="AF36" s="419"/>
      <c r="AG36" s="216"/>
      <c r="AH36" s="216"/>
      <c r="AI36" s="216"/>
      <c r="AJ36" s="419"/>
      <c r="AK36" s="382"/>
      <c r="AL36" s="383"/>
      <c r="AM36" s="216"/>
      <c r="AN36" s="216"/>
    </row>
    <row r="37" spans="1:40" ht="20.25" customHeight="1" x14ac:dyDescent="0.35">
      <c r="A37" s="216"/>
      <c r="B37" s="317"/>
      <c r="C37" s="215"/>
      <c r="D37" s="215"/>
      <c r="E37" s="318"/>
      <c r="F37" s="328"/>
      <c r="G37" s="320"/>
      <c r="H37" s="320"/>
      <c r="I37" s="321"/>
      <c r="J37" s="274"/>
      <c r="K37" s="274"/>
      <c r="L37" s="274"/>
      <c r="M37" s="274"/>
      <c r="N37" s="323"/>
      <c r="O37" s="324"/>
      <c r="P37" s="324"/>
      <c r="Q37" s="324"/>
      <c r="R37" s="325"/>
      <c r="S37" s="392"/>
      <c r="T37" s="393"/>
      <c r="U37" s="254"/>
      <c r="V37" s="326"/>
      <c r="W37" s="326"/>
      <c r="X37" s="327"/>
      <c r="AA37" s="216"/>
      <c r="AB37" s="381"/>
      <c r="AC37" s="216"/>
      <c r="AD37" s="216"/>
      <c r="AE37" s="216"/>
      <c r="AF37" s="419"/>
      <c r="AG37" s="216"/>
      <c r="AH37" s="216"/>
      <c r="AI37" s="216"/>
      <c r="AJ37" s="419"/>
      <c r="AK37" s="382"/>
      <c r="AL37" s="383"/>
      <c r="AM37" s="216"/>
      <c r="AN37" s="216"/>
    </row>
    <row r="38" spans="1:40" ht="20.25" customHeight="1" x14ac:dyDescent="0.35">
      <c r="A38" s="216"/>
      <c r="B38" s="317"/>
      <c r="C38" s="215"/>
      <c r="D38" s="215"/>
      <c r="E38" s="318"/>
      <c r="F38" s="328"/>
      <c r="G38" s="320"/>
      <c r="H38" s="320"/>
      <c r="I38" s="321"/>
      <c r="J38" s="274"/>
      <c r="K38" s="274"/>
      <c r="L38" s="274"/>
      <c r="M38" s="274"/>
      <c r="N38" s="323"/>
      <c r="O38" s="324"/>
      <c r="P38" s="324"/>
      <c r="Q38" s="324"/>
      <c r="R38" s="325"/>
      <c r="S38" s="392"/>
      <c r="T38" s="393"/>
      <c r="U38" s="254"/>
      <c r="V38" s="326"/>
      <c r="W38" s="326"/>
      <c r="X38" s="327"/>
      <c r="AA38" s="216"/>
      <c r="AB38" s="381"/>
      <c r="AC38" s="216"/>
      <c r="AD38" s="216"/>
      <c r="AE38" s="216"/>
      <c r="AF38" s="419"/>
      <c r="AG38" s="216"/>
      <c r="AH38" s="216"/>
      <c r="AI38" s="216"/>
      <c r="AJ38" s="419"/>
      <c r="AK38" s="382"/>
      <c r="AL38" s="383"/>
      <c r="AM38" s="216"/>
      <c r="AN38" s="216"/>
    </row>
    <row r="39" spans="1:40" ht="20.25" customHeight="1" x14ac:dyDescent="0.35">
      <c r="A39" s="216"/>
      <c r="B39" s="317"/>
      <c r="C39" s="215"/>
      <c r="D39" s="215"/>
      <c r="E39" s="318"/>
      <c r="F39" s="328"/>
      <c r="G39" s="320"/>
      <c r="H39" s="320"/>
      <c r="I39" s="321"/>
      <c r="J39" s="274"/>
      <c r="K39" s="274"/>
      <c r="L39" s="274"/>
      <c r="M39" s="274"/>
      <c r="N39" s="323"/>
      <c r="O39" s="324"/>
      <c r="P39" s="324"/>
      <c r="Q39" s="324"/>
      <c r="R39" s="325"/>
      <c r="S39" s="392"/>
      <c r="T39" s="393"/>
      <c r="U39" s="254"/>
      <c r="V39" s="326"/>
      <c r="W39" s="326"/>
      <c r="X39" s="327"/>
      <c r="AA39" s="216"/>
      <c r="AB39" s="381"/>
      <c r="AC39" s="216"/>
      <c r="AD39" s="216"/>
      <c r="AE39" s="216"/>
      <c r="AF39" s="419"/>
      <c r="AG39" s="216"/>
      <c r="AH39" s="216"/>
      <c r="AI39" s="216"/>
      <c r="AJ39" s="419"/>
      <c r="AK39" s="382"/>
      <c r="AL39" s="383"/>
      <c r="AM39" s="216"/>
      <c r="AN39" s="216"/>
    </row>
    <row r="40" spans="1:40" ht="20.25" customHeight="1" x14ac:dyDescent="0.35">
      <c r="A40" s="216"/>
      <c r="B40" s="317"/>
      <c r="C40" s="215"/>
      <c r="D40" s="215"/>
      <c r="E40" s="318"/>
      <c r="F40" s="328"/>
      <c r="G40" s="320"/>
      <c r="H40" s="320"/>
      <c r="I40" s="321"/>
      <c r="J40" s="274"/>
      <c r="K40" s="274"/>
      <c r="L40" s="274"/>
      <c r="M40" s="274"/>
      <c r="N40" s="323"/>
      <c r="O40" s="324"/>
      <c r="P40" s="324"/>
      <c r="Q40" s="324"/>
      <c r="R40" s="325"/>
      <c r="S40" s="392"/>
      <c r="T40" s="393"/>
      <c r="U40" s="254"/>
      <c r="V40" s="326"/>
      <c r="W40" s="326"/>
      <c r="X40" s="327"/>
      <c r="Y40" s="338"/>
      <c r="AA40" s="216"/>
      <c r="AB40" s="381"/>
      <c r="AC40" s="216"/>
      <c r="AD40" s="216"/>
      <c r="AE40" s="216"/>
      <c r="AF40" s="419"/>
      <c r="AG40" s="216"/>
      <c r="AH40" s="216"/>
      <c r="AI40" s="216"/>
      <c r="AJ40" s="419"/>
      <c r="AK40" s="382"/>
      <c r="AL40" s="383"/>
      <c r="AM40" s="216"/>
      <c r="AN40" s="216"/>
    </row>
    <row r="41" spans="1:40" ht="20.25" customHeight="1" x14ac:dyDescent="0.35">
      <c r="A41" s="216"/>
      <c r="B41" s="329"/>
      <c r="C41" s="334"/>
      <c r="D41" s="334"/>
      <c r="E41" s="339"/>
      <c r="F41" s="340"/>
      <c r="G41" s="339"/>
      <c r="H41" s="339"/>
      <c r="I41" s="339"/>
      <c r="J41" s="334"/>
      <c r="K41" s="330"/>
      <c r="L41" s="330"/>
      <c r="M41" s="330"/>
      <c r="N41" s="341"/>
      <c r="O41" s="342"/>
      <c r="P41" s="342"/>
      <c r="Q41" s="342"/>
      <c r="R41" s="343"/>
      <c r="S41" s="343"/>
      <c r="T41" s="343"/>
      <c r="U41" s="254"/>
      <c r="V41" s="326"/>
      <c r="W41" s="326"/>
      <c r="X41" s="327"/>
      <c r="AA41" s="216"/>
      <c r="AB41" s="381"/>
      <c r="AC41" s="216"/>
      <c r="AD41" s="216"/>
      <c r="AE41" s="216"/>
      <c r="AF41" s="419"/>
      <c r="AG41" s="216"/>
      <c r="AH41" s="216"/>
      <c r="AI41" s="216"/>
      <c r="AJ41" s="419"/>
      <c r="AK41" s="382"/>
      <c r="AL41" s="383"/>
      <c r="AM41" s="216"/>
      <c r="AN41" s="216"/>
    </row>
    <row r="42" spans="1:40" ht="20.25" customHeight="1" x14ac:dyDescent="0.35">
      <c r="A42" s="216"/>
      <c r="B42" s="317"/>
      <c r="C42" s="215"/>
      <c r="D42" s="215"/>
      <c r="E42" s="318"/>
      <c r="F42" s="328"/>
      <c r="G42" s="320"/>
      <c r="H42" s="344"/>
      <c r="I42" s="321"/>
      <c r="J42" s="274"/>
      <c r="K42" s="345"/>
      <c r="L42" s="345"/>
      <c r="M42" s="345"/>
      <c r="N42" s="346"/>
      <c r="O42" s="347"/>
      <c r="P42" s="347"/>
      <c r="Q42" s="347"/>
      <c r="R42" s="348"/>
      <c r="S42" s="392"/>
      <c r="T42" s="393"/>
      <c r="U42" s="254"/>
      <c r="V42" s="326"/>
      <c r="W42" s="326"/>
      <c r="X42" s="327"/>
      <c r="AA42" s="216"/>
      <c r="AB42" s="381"/>
      <c r="AC42" s="216"/>
      <c r="AD42" s="216"/>
      <c r="AE42" s="216"/>
      <c r="AF42" s="419"/>
      <c r="AG42" s="216"/>
      <c r="AH42" s="216"/>
      <c r="AI42" s="216"/>
      <c r="AJ42" s="419"/>
      <c r="AK42" s="382"/>
      <c r="AL42" s="383"/>
      <c r="AM42" s="216"/>
      <c r="AN42" s="216"/>
    </row>
    <row r="43" spans="1:40" ht="20.25" customHeight="1" x14ac:dyDescent="0.35">
      <c r="A43" s="216"/>
      <c r="B43" s="317"/>
      <c r="C43" s="215"/>
      <c r="D43" s="215"/>
      <c r="E43" s="318"/>
      <c r="F43" s="328"/>
      <c r="G43" s="320"/>
      <c r="H43" s="344"/>
      <c r="I43" s="321"/>
      <c r="J43" s="274"/>
      <c r="K43" s="345"/>
      <c r="L43" s="345"/>
      <c r="M43" s="345"/>
      <c r="N43" s="346"/>
      <c r="O43" s="347"/>
      <c r="P43" s="347"/>
      <c r="Q43" s="347"/>
      <c r="R43" s="348"/>
      <c r="S43" s="392"/>
      <c r="T43" s="393"/>
      <c r="U43" s="254"/>
      <c r="V43" s="326"/>
      <c r="W43" s="326"/>
      <c r="X43" s="327"/>
      <c r="AC43" s="216"/>
      <c r="AD43" s="216"/>
      <c r="AE43" s="216"/>
      <c r="AF43" s="216"/>
      <c r="AG43" s="216"/>
      <c r="AH43" s="216"/>
      <c r="AI43" s="216"/>
      <c r="AJ43" s="216"/>
      <c r="AM43" s="216"/>
      <c r="AN43" s="216"/>
    </row>
    <row r="44" spans="1:40" ht="20.25" customHeight="1" x14ac:dyDescent="0.35">
      <c r="A44" s="216"/>
      <c r="B44" s="317"/>
      <c r="C44" s="215"/>
      <c r="D44" s="215"/>
      <c r="E44" s="318"/>
      <c r="F44" s="328"/>
      <c r="G44" s="320"/>
      <c r="H44" s="344"/>
      <c r="I44" s="321"/>
      <c r="J44" s="274"/>
      <c r="K44" s="345"/>
      <c r="L44" s="345"/>
      <c r="M44" s="345"/>
      <c r="N44" s="346"/>
      <c r="O44" s="347"/>
      <c r="P44" s="347"/>
      <c r="Q44" s="347"/>
      <c r="R44" s="348"/>
      <c r="S44" s="392"/>
      <c r="T44" s="393"/>
      <c r="U44" s="254"/>
      <c r="V44" s="326"/>
      <c r="W44" s="326"/>
      <c r="X44" s="327"/>
      <c r="AC44" s="216"/>
      <c r="AD44" s="216"/>
      <c r="AE44" s="216"/>
      <c r="AF44" s="216"/>
      <c r="AG44" s="216"/>
      <c r="AH44" s="216"/>
      <c r="AI44" s="216"/>
      <c r="AJ44" s="216"/>
      <c r="AM44" s="216"/>
      <c r="AN44" s="216"/>
    </row>
    <row r="45" spans="1:40" ht="20.25" customHeight="1" x14ac:dyDescent="0.35">
      <c r="A45" s="216"/>
      <c r="B45" s="317"/>
      <c r="C45" s="215"/>
      <c r="D45" s="215"/>
      <c r="E45" s="318"/>
      <c r="F45" s="328"/>
      <c r="G45" s="320"/>
      <c r="H45" s="344"/>
      <c r="I45" s="321"/>
      <c r="J45" s="274"/>
      <c r="K45" s="345"/>
      <c r="L45" s="345"/>
      <c r="M45" s="345"/>
      <c r="N45" s="346"/>
      <c r="O45" s="347"/>
      <c r="P45" s="347"/>
      <c r="Q45" s="347"/>
      <c r="R45" s="348"/>
      <c r="S45" s="392"/>
      <c r="T45" s="393"/>
      <c r="U45" s="254"/>
      <c r="V45" s="326"/>
      <c r="W45" s="326"/>
      <c r="X45" s="327"/>
      <c r="AC45" s="216"/>
      <c r="AD45" s="216"/>
      <c r="AE45" s="216"/>
      <c r="AF45" s="216"/>
      <c r="AG45" s="216"/>
      <c r="AH45" s="216"/>
      <c r="AI45" s="216"/>
      <c r="AJ45" s="216"/>
      <c r="AM45" s="216"/>
      <c r="AN45" s="216"/>
    </row>
    <row r="46" spans="1:40" ht="20.25" customHeight="1" x14ac:dyDescent="0.35">
      <c r="A46" s="216"/>
      <c r="B46" s="317"/>
      <c r="C46" s="215"/>
      <c r="D46" s="215"/>
      <c r="E46" s="318"/>
      <c r="F46" s="328"/>
      <c r="G46" s="320"/>
      <c r="H46" s="344"/>
      <c r="I46" s="321"/>
      <c r="J46" s="274"/>
      <c r="K46" s="345"/>
      <c r="L46" s="345"/>
      <c r="M46" s="345"/>
      <c r="N46" s="346"/>
      <c r="O46" s="347"/>
      <c r="P46" s="347"/>
      <c r="Q46" s="347"/>
      <c r="R46" s="348"/>
      <c r="S46" s="392"/>
      <c r="T46" s="393"/>
      <c r="U46" s="254"/>
      <c r="V46" s="326"/>
      <c r="W46" s="326"/>
      <c r="X46" s="327"/>
      <c r="AC46" s="216"/>
      <c r="AD46" s="216"/>
      <c r="AE46" s="216"/>
      <c r="AF46" s="216"/>
      <c r="AG46" s="216"/>
      <c r="AH46" s="216"/>
      <c r="AI46" s="216"/>
      <c r="AJ46" s="216"/>
      <c r="AM46" s="216"/>
      <c r="AN46" s="216"/>
    </row>
    <row r="47" spans="1:40" ht="20.25" customHeight="1" x14ac:dyDescent="0.35">
      <c r="A47" s="216"/>
      <c r="B47" s="317"/>
      <c r="C47" s="215"/>
      <c r="D47" s="215"/>
      <c r="E47" s="318"/>
      <c r="F47" s="328"/>
      <c r="G47" s="320"/>
      <c r="H47" s="344"/>
      <c r="I47" s="321"/>
      <c r="J47" s="274"/>
      <c r="K47" s="345"/>
      <c r="L47" s="345"/>
      <c r="M47" s="345"/>
      <c r="N47" s="346"/>
      <c r="O47" s="347"/>
      <c r="P47" s="347"/>
      <c r="Q47" s="347"/>
      <c r="R47" s="348"/>
      <c r="S47" s="392"/>
      <c r="T47" s="393"/>
      <c r="U47" s="254"/>
      <c r="V47" s="326"/>
      <c r="W47" s="326"/>
      <c r="X47" s="327"/>
      <c r="AC47" s="216"/>
      <c r="AD47" s="216"/>
      <c r="AE47" s="216"/>
      <c r="AF47" s="216"/>
      <c r="AG47" s="216"/>
      <c r="AH47" s="216"/>
      <c r="AI47" s="216"/>
      <c r="AJ47" s="216"/>
      <c r="AM47" s="216"/>
      <c r="AN47" s="216"/>
    </row>
    <row r="48" spans="1:40" ht="20.25" customHeight="1" x14ac:dyDescent="0.35">
      <c r="A48" s="216"/>
      <c r="B48" s="317"/>
      <c r="C48" s="215"/>
      <c r="D48" s="215"/>
      <c r="E48" s="318"/>
      <c r="F48" s="328"/>
      <c r="G48" s="320"/>
      <c r="H48" s="344"/>
      <c r="I48" s="321"/>
      <c r="J48" s="274"/>
      <c r="K48" s="345"/>
      <c r="L48" s="345"/>
      <c r="M48" s="345"/>
      <c r="N48" s="346"/>
      <c r="O48" s="347"/>
      <c r="P48" s="347"/>
      <c r="Q48" s="347"/>
      <c r="R48" s="348"/>
      <c r="S48" s="392"/>
      <c r="T48" s="393"/>
      <c r="U48" s="254"/>
      <c r="V48" s="326"/>
      <c r="W48" s="326"/>
      <c r="X48" s="327"/>
      <c r="AC48" s="216"/>
      <c r="AD48" s="216"/>
      <c r="AE48" s="216"/>
      <c r="AF48" s="216"/>
      <c r="AG48" s="216"/>
      <c r="AH48" s="216"/>
      <c r="AI48" s="216"/>
      <c r="AJ48" s="216"/>
      <c r="AM48" s="216"/>
      <c r="AN48" s="216"/>
    </row>
    <row r="49" spans="1:40" ht="20.25" customHeight="1" x14ac:dyDescent="0.35">
      <c r="A49" s="216"/>
      <c r="B49" s="317"/>
      <c r="C49" s="215"/>
      <c r="D49" s="215"/>
      <c r="E49" s="318"/>
      <c r="F49" s="328"/>
      <c r="G49" s="320"/>
      <c r="H49" s="344"/>
      <c r="I49" s="321"/>
      <c r="J49" s="274"/>
      <c r="K49" s="345"/>
      <c r="L49" s="345"/>
      <c r="M49" s="345"/>
      <c r="N49" s="346"/>
      <c r="O49" s="347"/>
      <c r="P49" s="347"/>
      <c r="Q49" s="347"/>
      <c r="R49" s="348"/>
      <c r="S49" s="392"/>
      <c r="T49" s="393"/>
      <c r="U49" s="254"/>
      <c r="V49" s="326"/>
      <c r="W49" s="326"/>
      <c r="X49" s="327"/>
      <c r="AC49" s="216"/>
      <c r="AD49" s="216"/>
      <c r="AE49" s="216"/>
      <c r="AF49" s="216"/>
      <c r="AG49" s="216"/>
      <c r="AH49" s="216"/>
      <c r="AI49" s="216"/>
      <c r="AJ49" s="216"/>
      <c r="AM49" s="216"/>
      <c r="AN49" s="216"/>
    </row>
    <row r="50" spans="1:40" ht="20.25" customHeight="1" x14ac:dyDescent="0.35">
      <c r="A50" s="216"/>
      <c r="B50" s="317"/>
      <c r="C50" s="215"/>
      <c r="D50" s="215"/>
      <c r="E50" s="318"/>
      <c r="F50" s="328"/>
      <c r="G50" s="320"/>
      <c r="H50" s="344"/>
      <c r="I50" s="321"/>
      <c r="J50" s="274"/>
      <c r="K50" s="345"/>
      <c r="L50" s="345"/>
      <c r="M50" s="345"/>
      <c r="N50" s="346"/>
      <c r="O50" s="347"/>
      <c r="P50" s="347"/>
      <c r="Q50" s="347"/>
      <c r="R50" s="348"/>
      <c r="S50" s="392"/>
      <c r="T50" s="393"/>
      <c r="U50" s="254"/>
      <c r="V50" s="326"/>
      <c r="W50" s="326"/>
      <c r="X50" s="327"/>
      <c r="AC50" s="216"/>
      <c r="AD50" s="216"/>
      <c r="AE50" s="216"/>
      <c r="AF50" s="216"/>
      <c r="AG50" s="216"/>
      <c r="AH50" s="216"/>
      <c r="AI50" s="216"/>
      <c r="AJ50" s="216"/>
      <c r="AM50" s="216"/>
      <c r="AN50" s="216"/>
    </row>
    <row r="51" spans="1:40" ht="20.25" customHeight="1" x14ac:dyDescent="0.35">
      <c r="A51" s="216"/>
      <c r="B51" s="317"/>
      <c r="C51" s="215"/>
      <c r="D51" s="215"/>
      <c r="E51" s="318"/>
      <c r="F51" s="328"/>
      <c r="G51" s="320"/>
      <c r="H51" s="344"/>
      <c r="I51" s="321"/>
      <c r="J51" s="274"/>
      <c r="K51" s="345"/>
      <c r="L51" s="345"/>
      <c r="M51" s="345"/>
      <c r="N51" s="346"/>
      <c r="O51" s="347"/>
      <c r="P51" s="347"/>
      <c r="Q51" s="347"/>
      <c r="R51" s="348"/>
      <c r="S51" s="392"/>
      <c r="T51" s="393"/>
      <c r="U51" s="254"/>
      <c r="V51" s="326"/>
      <c r="W51" s="326"/>
      <c r="X51" s="327"/>
      <c r="AC51" s="216"/>
      <c r="AD51" s="216"/>
      <c r="AE51" s="216"/>
      <c r="AF51" s="216"/>
      <c r="AG51" s="216"/>
      <c r="AH51" s="216"/>
      <c r="AI51" s="216"/>
      <c r="AJ51" s="216"/>
      <c r="AM51" s="216"/>
      <c r="AN51" s="216"/>
    </row>
    <row r="52" spans="1:40" ht="20.25" customHeight="1" x14ac:dyDescent="0.35">
      <c r="A52" s="216"/>
      <c r="B52" s="317"/>
      <c r="C52" s="215"/>
      <c r="D52" s="215"/>
      <c r="E52" s="318"/>
      <c r="F52" s="328"/>
      <c r="G52" s="320"/>
      <c r="H52" s="344"/>
      <c r="I52" s="321"/>
      <c r="J52" s="274"/>
      <c r="K52" s="345"/>
      <c r="L52" s="345"/>
      <c r="M52" s="345"/>
      <c r="N52" s="346"/>
      <c r="O52" s="347"/>
      <c r="P52" s="347"/>
      <c r="Q52" s="347"/>
      <c r="R52" s="348"/>
      <c r="S52" s="392"/>
      <c r="T52" s="393"/>
      <c r="U52" s="254"/>
      <c r="V52" s="326"/>
      <c r="W52" s="326"/>
      <c r="X52" s="327"/>
      <c r="AC52" s="216"/>
      <c r="AD52" s="216"/>
      <c r="AE52" s="216"/>
      <c r="AF52" s="216"/>
      <c r="AG52" s="216"/>
      <c r="AH52" s="216"/>
      <c r="AI52" s="216"/>
      <c r="AJ52" s="216"/>
      <c r="AM52" s="216"/>
      <c r="AN52" s="216"/>
    </row>
    <row r="53" spans="1:40" ht="20.25" customHeight="1" x14ac:dyDescent="0.35">
      <c r="A53" s="216"/>
      <c r="B53" s="317"/>
      <c r="C53" s="215"/>
      <c r="D53" s="215"/>
      <c r="E53" s="318"/>
      <c r="F53" s="328"/>
      <c r="G53" s="320"/>
      <c r="H53" s="344"/>
      <c r="I53" s="321"/>
      <c r="J53" s="274"/>
      <c r="K53" s="345"/>
      <c r="L53" s="345"/>
      <c r="M53" s="345"/>
      <c r="N53" s="346"/>
      <c r="O53" s="347"/>
      <c r="P53" s="347"/>
      <c r="Q53" s="347"/>
      <c r="R53" s="348"/>
      <c r="S53" s="392"/>
      <c r="T53" s="393"/>
      <c r="U53" s="254"/>
      <c r="V53" s="326"/>
      <c r="W53" s="326"/>
      <c r="X53" s="327"/>
      <c r="AA53" s="216"/>
      <c r="AB53" s="353"/>
      <c r="AC53" s="216"/>
      <c r="AD53" s="216"/>
      <c r="AE53" s="216"/>
      <c r="AF53" s="216"/>
      <c r="AG53" s="216"/>
      <c r="AH53" s="216"/>
      <c r="AI53" s="216"/>
      <c r="AJ53" s="216"/>
      <c r="AM53" s="216"/>
      <c r="AN53" s="216"/>
    </row>
    <row r="54" spans="1:40" ht="20.25" customHeight="1" x14ac:dyDescent="0.35">
      <c r="A54" s="216"/>
      <c r="B54" s="317"/>
      <c r="C54" s="215"/>
      <c r="D54" s="215"/>
      <c r="E54" s="318"/>
      <c r="F54" s="328"/>
      <c r="G54" s="320"/>
      <c r="H54" s="344"/>
      <c r="I54" s="321"/>
      <c r="J54" s="274"/>
      <c r="K54" s="345"/>
      <c r="L54" s="345"/>
      <c r="M54" s="345"/>
      <c r="N54" s="346"/>
      <c r="O54" s="347"/>
      <c r="P54" s="347"/>
      <c r="Q54" s="347"/>
      <c r="R54" s="348"/>
      <c r="S54" s="392"/>
      <c r="T54" s="393"/>
      <c r="U54" s="254"/>
      <c r="V54" s="326"/>
      <c r="W54" s="326"/>
      <c r="X54" s="327"/>
      <c r="AA54" s="216"/>
      <c r="AB54" s="353"/>
      <c r="AC54" s="216"/>
      <c r="AD54" s="216"/>
      <c r="AE54" s="216"/>
      <c r="AF54" s="216"/>
      <c r="AG54" s="216"/>
      <c r="AH54" s="216"/>
      <c r="AI54" s="216"/>
      <c r="AJ54" s="216"/>
      <c r="AM54" s="216"/>
      <c r="AN54" s="216"/>
    </row>
    <row r="55" spans="1:40" ht="20.25" customHeight="1" x14ac:dyDescent="0.35">
      <c r="A55" s="216"/>
      <c r="B55" s="317"/>
      <c r="C55" s="215"/>
      <c r="D55" s="215"/>
      <c r="E55" s="318"/>
      <c r="F55" s="328"/>
      <c r="G55" s="320"/>
      <c r="H55" s="344"/>
      <c r="I55" s="321"/>
      <c r="J55" s="274"/>
      <c r="K55" s="345"/>
      <c r="L55" s="345"/>
      <c r="M55" s="345"/>
      <c r="N55" s="346"/>
      <c r="O55" s="347"/>
      <c r="P55" s="347"/>
      <c r="Q55" s="347"/>
      <c r="R55" s="348"/>
      <c r="S55" s="392"/>
      <c r="T55" s="393"/>
      <c r="U55" s="254"/>
      <c r="V55" s="326"/>
      <c r="W55" s="326"/>
      <c r="X55" s="327"/>
      <c r="AA55" s="216"/>
      <c r="AB55" s="353"/>
      <c r="AC55" s="216"/>
      <c r="AD55" s="216"/>
      <c r="AE55" s="216"/>
      <c r="AF55" s="216"/>
      <c r="AG55" s="216"/>
      <c r="AH55" s="216"/>
      <c r="AI55" s="216"/>
      <c r="AJ55" s="216"/>
      <c r="AM55" s="216"/>
      <c r="AN55" s="216"/>
    </row>
    <row r="56" spans="1:40" ht="20.25" customHeight="1" x14ac:dyDescent="0.35">
      <c r="A56" s="216"/>
      <c r="B56" s="317"/>
      <c r="C56" s="215"/>
      <c r="D56" s="215"/>
      <c r="E56" s="318"/>
      <c r="F56" s="328"/>
      <c r="G56" s="320"/>
      <c r="H56" s="344"/>
      <c r="I56" s="321"/>
      <c r="J56" s="274"/>
      <c r="K56" s="345"/>
      <c r="L56" s="345"/>
      <c r="M56" s="345"/>
      <c r="N56" s="346"/>
      <c r="O56" s="347"/>
      <c r="P56" s="347"/>
      <c r="Q56" s="347"/>
      <c r="R56" s="348"/>
      <c r="S56" s="392"/>
      <c r="T56" s="393"/>
      <c r="U56" s="254"/>
      <c r="V56" s="326"/>
      <c r="W56" s="326"/>
      <c r="X56" s="327"/>
      <c r="AA56" s="216"/>
      <c r="AB56" s="353"/>
      <c r="AC56" s="216"/>
      <c r="AD56" s="216"/>
      <c r="AE56" s="216"/>
      <c r="AF56" s="216"/>
      <c r="AG56" s="216"/>
      <c r="AH56" s="216"/>
      <c r="AI56" s="216"/>
      <c r="AJ56" s="216"/>
      <c r="AM56" s="216"/>
      <c r="AN56" s="216"/>
    </row>
    <row r="57" spans="1:40" ht="20.25" customHeight="1" x14ac:dyDescent="0.35">
      <c r="A57" s="216"/>
      <c r="B57" s="317"/>
      <c r="C57" s="215"/>
      <c r="D57" s="215"/>
      <c r="E57" s="318"/>
      <c r="F57" s="328"/>
      <c r="G57" s="320"/>
      <c r="H57" s="344"/>
      <c r="I57" s="321"/>
      <c r="J57" s="274"/>
      <c r="K57" s="345"/>
      <c r="L57" s="345"/>
      <c r="M57" s="345"/>
      <c r="N57" s="346"/>
      <c r="O57" s="347"/>
      <c r="P57" s="347"/>
      <c r="Q57" s="347"/>
      <c r="R57" s="348"/>
      <c r="S57" s="392"/>
      <c r="T57" s="393"/>
      <c r="U57" s="254"/>
      <c r="V57" s="326"/>
      <c r="W57" s="326"/>
      <c r="X57" s="327"/>
      <c r="AA57" s="216"/>
      <c r="AB57" s="353"/>
      <c r="AC57" s="216"/>
      <c r="AD57" s="216"/>
      <c r="AE57" s="216"/>
      <c r="AF57" s="216"/>
      <c r="AG57" s="216"/>
      <c r="AH57" s="216"/>
      <c r="AI57" s="216"/>
      <c r="AJ57" s="216"/>
      <c r="AM57" s="216"/>
      <c r="AN57" s="216"/>
    </row>
    <row r="58" spans="1:40" ht="20.25" customHeight="1" x14ac:dyDescent="0.35">
      <c r="A58" s="216"/>
      <c r="B58" s="317"/>
      <c r="C58" s="215"/>
      <c r="D58" s="215"/>
      <c r="E58" s="318"/>
      <c r="F58" s="328"/>
      <c r="G58" s="320"/>
      <c r="H58" s="344"/>
      <c r="I58" s="321"/>
      <c r="J58" s="274"/>
      <c r="K58" s="345"/>
      <c r="L58" s="345"/>
      <c r="M58" s="345"/>
      <c r="N58" s="346"/>
      <c r="O58" s="347"/>
      <c r="P58" s="347"/>
      <c r="Q58" s="347"/>
      <c r="R58" s="348"/>
      <c r="S58" s="392"/>
      <c r="T58" s="393"/>
      <c r="U58" s="254"/>
      <c r="V58" s="326"/>
      <c r="W58" s="326"/>
      <c r="X58" s="327"/>
      <c r="AA58" s="216"/>
      <c r="AB58" s="353"/>
      <c r="AC58" s="216"/>
      <c r="AD58" s="216"/>
      <c r="AE58" s="216"/>
      <c r="AF58" s="216"/>
      <c r="AG58" s="216"/>
      <c r="AH58" s="216"/>
      <c r="AI58" s="216"/>
      <c r="AJ58" s="216"/>
      <c r="AM58" s="216"/>
      <c r="AN58" s="216"/>
    </row>
    <row r="59" spans="1:40" ht="20.25" customHeight="1" x14ac:dyDescent="0.35">
      <c r="A59" s="216"/>
      <c r="B59" s="317"/>
      <c r="C59" s="215"/>
      <c r="D59" s="345"/>
      <c r="E59" s="318"/>
      <c r="F59" s="328"/>
      <c r="G59" s="320"/>
      <c r="H59" s="344"/>
      <c r="I59" s="321"/>
      <c r="J59" s="274"/>
      <c r="K59" s="345"/>
      <c r="L59" s="345"/>
      <c r="M59" s="345"/>
      <c r="N59" s="346"/>
      <c r="O59" s="347"/>
      <c r="P59" s="347"/>
      <c r="Q59" s="347"/>
      <c r="R59" s="348"/>
      <c r="S59" s="392"/>
      <c r="T59" s="393"/>
      <c r="U59" s="254"/>
      <c r="V59" s="326"/>
      <c r="W59" s="326"/>
      <c r="X59" s="327"/>
      <c r="AA59" s="216"/>
      <c r="AB59" s="353"/>
      <c r="AC59" s="216"/>
      <c r="AD59" s="216"/>
      <c r="AE59" s="216"/>
      <c r="AF59" s="216"/>
      <c r="AG59" s="216"/>
      <c r="AH59" s="216"/>
      <c r="AI59" s="216"/>
      <c r="AJ59" s="216"/>
      <c r="AM59" s="216"/>
      <c r="AN59" s="216"/>
    </row>
    <row r="60" spans="1:40" ht="20.25" customHeight="1" x14ac:dyDescent="0.35">
      <c r="A60" s="303"/>
      <c r="B60" s="329"/>
      <c r="C60" s="330"/>
      <c r="D60" s="330"/>
      <c r="E60" s="331"/>
      <c r="F60" s="332"/>
      <c r="G60" s="331"/>
      <c r="H60" s="331"/>
      <c r="I60" s="331"/>
      <c r="J60" s="334"/>
      <c r="K60" s="330"/>
      <c r="L60" s="330"/>
      <c r="M60" s="330"/>
      <c r="N60" s="335"/>
      <c r="O60" s="336"/>
      <c r="P60" s="336"/>
      <c r="Q60" s="336"/>
      <c r="R60" s="337"/>
      <c r="S60" s="337"/>
      <c r="T60" s="337"/>
      <c r="U60" s="254"/>
      <c r="V60" s="326"/>
      <c r="W60" s="326"/>
      <c r="X60" s="327"/>
      <c r="AA60" s="216"/>
      <c r="AB60" s="353"/>
      <c r="AC60" s="216"/>
      <c r="AD60" s="216"/>
      <c r="AE60" s="216"/>
      <c r="AF60" s="216"/>
      <c r="AG60" s="216"/>
      <c r="AH60" s="216"/>
      <c r="AI60" s="216"/>
      <c r="AJ60" s="216"/>
      <c r="AM60" s="216"/>
      <c r="AN60" s="216"/>
    </row>
    <row r="61" spans="1:40" ht="20.25" customHeight="1" x14ac:dyDescent="0.35">
      <c r="A61" s="216"/>
      <c r="B61" s="317"/>
      <c r="C61" s="215"/>
      <c r="D61" s="215"/>
      <c r="E61" s="318"/>
      <c r="F61" s="328"/>
      <c r="G61" s="320"/>
      <c r="H61" s="344"/>
      <c r="I61" s="321"/>
      <c r="J61" s="274"/>
      <c r="K61" s="345"/>
      <c r="L61" s="345"/>
      <c r="M61" s="345"/>
      <c r="N61" s="346"/>
      <c r="O61" s="347"/>
      <c r="P61" s="347"/>
      <c r="Q61" s="347"/>
      <c r="R61" s="348"/>
      <c r="S61" s="392"/>
      <c r="T61" s="393"/>
      <c r="U61" s="254"/>
      <c r="V61" s="326"/>
      <c r="W61" s="326"/>
      <c r="X61" s="327"/>
      <c r="Y61" s="338"/>
      <c r="AA61" s="216"/>
      <c r="AB61" s="353"/>
      <c r="AC61" s="216"/>
      <c r="AD61" s="216"/>
      <c r="AE61" s="216"/>
      <c r="AF61" s="216"/>
      <c r="AG61" s="216"/>
      <c r="AH61" s="216"/>
      <c r="AI61" s="216"/>
      <c r="AJ61" s="216"/>
      <c r="AM61" s="216"/>
      <c r="AN61" s="216"/>
    </row>
    <row r="62" spans="1:40" ht="20.25" customHeight="1" x14ac:dyDescent="0.35">
      <c r="A62" s="216"/>
      <c r="B62" s="317"/>
      <c r="C62" s="215"/>
      <c r="D62" s="215"/>
      <c r="E62" s="318"/>
      <c r="F62" s="328"/>
      <c r="G62" s="320"/>
      <c r="H62" s="344"/>
      <c r="I62" s="321"/>
      <c r="J62" s="274"/>
      <c r="K62" s="345"/>
      <c r="L62" s="345"/>
      <c r="M62" s="345"/>
      <c r="N62" s="346"/>
      <c r="O62" s="347"/>
      <c r="P62" s="347"/>
      <c r="Q62" s="347"/>
      <c r="R62" s="348"/>
      <c r="S62" s="392"/>
      <c r="T62" s="393"/>
      <c r="U62" s="254"/>
      <c r="V62" s="326"/>
      <c r="W62" s="326"/>
      <c r="X62" s="327"/>
      <c r="AA62" s="216"/>
      <c r="AB62" s="353"/>
      <c r="AC62" s="216"/>
      <c r="AD62" s="216"/>
      <c r="AE62" s="216"/>
      <c r="AF62" s="216"/>
      <c r="AG62" s="216"/>
      <c r="AH62" s="216"/>
      <c r="AI62" s="216"/>
      <c r="AJ62" s="216"/>
      <c r="AM62" s="216"/>
      <c r="AN62" s="216"/>
    </row>
    <row r="63" spans="1:40" ht="20.25" customHeight="1" x14ac:dyDescent="0.35">
      <c r="A63" s="216"/>
      <c r="B63" s="317"/>
      <c r="C63" s="215"/>
      <c r="D63" s="215"/>
      <c r="E63" s="318"/>
      <c r="F63" s="328"/>
      <c r="G63" s="320"/>
      <c r="H63" s="344"/>
      <c r="I63" s="321"/>
      <c r="J63" s="274"/>
      <c r="K63" s="345"/>
      <c r="L63" s="345"/>
      <c r="M63" s="345"/>
      <c r="N63" s="346"/>
      <c r="O63" s="347"/>
      <c r="P63" s="347"/>
      <c r="Q63" s="347"/>
      <c r="R63" s="348"/>
      <c r="S63" s="392"/>
      <c r="T63" s="393"/>
      <c r="U63" s="254"/>
      <c r="V63" s="326"/>
      <c r="W63" s="326"/>
      <c r="X63" s="327"/>
      <c r="AA63" s="216"/>
      <c r="AB63" s="353"/>
      <c r="AC63" s="216"/>
      <c r="AD63" s="216"/>
      <c r="AE63" s="216"/>
      <c r="AF63" s="216"/>
      <c r="AG63" s="216"/>
      <c r="AH63" s="216"/>
      <c r="AI63" s="216"/>
      <c r="AJ63" s="216"/>
      <c r="AM63" s="216"/>
      <c r="AN63" s="216"/>
    </row>
    <row r="64" spans="1:40" ht="20.25" customHeight="1" x14ac:dyDescent="0.35">
      <c r="A64" s="216"/>
      <c r="B64" s="317"/>
      <c r="C64" s="215"/>
      <c r="D64" s="215"/>
      <c r="E64" s="318"/>
      <c r="F64" s="328"/>
      <c r="G64" s="320"/>
      <c r="H64" s="344"/>
      <c r="I64" s="321"/>
      <c r="J64" s="274"/>
      <c r="K64" s="345"/>
      <c r="L64" s="345"/>
      <c r="M64" s="345"/>
      <c r="N64" s="346"/>
      <c r="O64" s="347"/>
      <c r="P64" s="347"/>
      <c r="Q64" s="347"/>
      <c r="R64" s="348"/>
      <c r="S64" s="392"/>
      <c r="T64" s="393"/>
      <c r="U64" s="254"/>
      <c r="V64" s="326"/>
      <c r="W64" s="326"/>
      <c r="X64" s="327"/>
      <c r="AA64" s="216"/>
      <c r="AB64" s="353"/>
      <c r="AC64" s="216"/>
      <c r="AD64" s="216"/>
      <c r="AE64" s="216"/>
      <c r="AF64" s="216"/>
      <c r="AG64" s="216"/>
      <c r="AH64" s="216"/>
      <c r="AI64" s="216"/>
      <c r="AJ64" s="216"/>
      <c r="AM64" s="216"/>
      <c r="AN64" s="216"/>
    </row>
    <row r="65" spans="1:40" ht="20.25" customHeight="1" x14ac:dyDescent="0.35">
      <c r="A65" s="216"/>
      <c r="B65" s="345"/>
      <c r="C65" s="345"/>
      <c r="D65" s="345"/>
      <c r="E65" s="344"/>
      <c r="F65" s="357"/>
      <c r="G65" s="344"/>
      <c r="H65" s="344"/>
      <c r="I65" s="321"/>
      <c r="J65" s="274"/>
      <c r="K65" s="345"/>
      <c r="L65" s="345"/>
      <c r="M65" s="345"/>
      <c r="N65" s="346"/>
      <c r="O65" s="347"/>
      <c r="P65" s="347"/>
      <c r="Q65" s="347"/>
      <c r="R65" s="348"/>
      <c r="S65" s="392"/>
      <c r="T65" s="393"/>
      <c r="U65" s="254"/>
      <c r="V65" s="326"/>
      <c r="W65" s="326"/>
      <c r="X65" s="327"/>
      <c r="AA65" s="216"/>
      <c r="AB65" s="353"/>
      <c r="AC65" s="216"/>
      <c r="AD65" s="216"/>
      <c r="AE65" s="216"/>
      <c r="AF65" s="216"/>
      <c r="AG65" s="216"/>
      <c r="AH65" s="216"/>
      <c r="AI65" s="216"/>
      <c r="AJ65" s="216"/>
      <c r="AM65" s="216"/>
      <c r="AN65" s="216"/>
    </row>
    <row r="66" spans="1:40" ht="20.25" customHeight="1" x14ac:dyDescent="0.35">
      <c r="A66" s="303"/>
      <c r="B66" s="329"/>
      <c r="C66" s="334"/>
      <c r="D66" s="334"/>
      <c r="E66" s="339"/>
      <c r="F66" s="340"/>
      <c r="G66" s="339"/>
      <c r="H66" s="339"/>
      <c r="I66" s="340"/>
      <c r="J66" s="334"/>
      <c r="K66" s="330"/>
      <c r="L66" s="330"/>
      <c r="M66" s="330"/>
      <c r="N66" s="341"/>
      <c r="O66" s="336"/>
      <c r="P66" s="336"/>
      <c r="Q66" s="336"/>
      <c r="R66" s="337"/>
      <c r="S66" s="337"/>
      <c r="T66" s="337"/>
      <c r="U66" s="254"/>
      <c r="V66" s="326"/>
      <c r="W66" s="326"/>
      <c r="X66" s="327"/>
      <c r="AA66" s="216"/>
      <c r="AB66" s="353"/>
      <c r="AC66" s="216"/>
      <c r="AD66" s="216"/>
      <c r="AE66" s="216"/>
      <c r="AF66" s="216"/>
      <c r="AG66" s="216"/>
      <c r="AH66" s="216"/>
      <c r="AI66" s="216"/>
      <c r="AJ66" s="216"/>
      <c r="AM66" s="216"/>
      <c r="AN66" s="216"/>
    </row>
    <row r="67" spans="1:40" ht="20.25" customHeight="1" x14ac:dyDescent="0.35">
      <c r="A67" s="216"/>
      <c r="B67" s="358"/>
      <c r="C67" s="215"/>
      <c r="D67" s="215"/>
      <c r="E67" s="318"/>
      <c r="F67" s="328"/>
      <c r="G67" s="320"/>
      <c r="H67" s="344"/>
      <c r="I67" s="321"/>
      <c r="J67" s="274"/>
      <c r="K67" s="345"/>
      <c r="L67" s="345"/>
      <c r="M67" s="345"/>
      <c r="N67" s="346"/>
      <c r="O67" s="347"/>
      <c r="P67" s="347"/>
      <c r="Q67" s="347"/>
      <c r="R67" s="348"/>
      <c r="S67" s="392"/>
      <c r="T67" s="393"/>
      <c r="U67" s="254"/>
      <c r="V67" s="326"/>
      <c r="W67" s="326"/>
      <c r="X67" s="327"/>
      <c r="AA67" s="216"/>
      <c r="AB67" s="353"/>
      <c r="AC67" s="216"/>
      <c r="AD67" s="216"/>
      <c r="AE67" s="216"/>
      <c r="AF67" s="216"/>
      <c r="AG67" s="216"/>
      <c r="AH67" s="216"/>
      <c r="AI67" s="216"/>
      <c r="AJ67" s="216"/>
      <c r="AM67" s="216"/>
      <c r="AN67" s="216"/>
    </row>
    <row r="68" spans="1:40" ht="20.25" customHeight="1" x14ac:dyDescent="0.35">
      <c r="A68" s="216"/>
      <c r="B68" s="358"/>
      <c r="C68" s="215"/>
      <c r="D68" s="215"/>
      <c r="E68" s="318"/>
      <c r="F68" s="328"/>
      <c r="G68" s="320"/>
      <c r="H68" s="344"/>
      <c r="I68" s="321"/>
      <c r="J68" s="274"/>
      <c r="K68" s="345"/>
      <c r="L68" s="345"/>
      <c r="M68" s="345"/>
      <c r="N68" s="346"/>
      <c r="O68" s="347"/>
      <c r="P68" s="347"/>
      <c r="Q68" s="347"/>
      <c r="R68" s="348"/>
      <c r="S68" s="392"/>
      <c r="T68" s="393"/>
      <c r="U68" s="254"/>
      <c r="V68" s="326"/>
      <c r="W68" s="326"/>
      <c r="X68" s="327"/>
      <c r="AA68" s="216"/>
      <c r="AB68" s="353"/>
      <c r="AC68" s="216"/>
      <c r="AD68" s="216"/>
      <c r="AE68" s="216"/>
      <c r="AF68" s="216"/>
      <c r="AG68" s="216"/>
      <c r="AH68" s="216"/>
      <c r="AI68" s="216"/>
      <c r="AJ68" s="216"/>
      <c r="AM68" s="216"/>
      <c r="AN68" s="216"/>
    </row>
    <row r="69" spans="1:40" ht="20.25" customHeight="1" x14ac:dyDescent="0.35">
      <c r="A69" s="216"/>
      <c r="B69" s="358"/>
      <c r="C69" s="215"/>
      <c r="D69" s="215"/>
      <c r="E69" s="318"/>
      <c r="F69" s="328"/>
      <c r="G69" s="320"/>
      <c r="H69" s="344"/>
      <c r="I69" s="321"/>
      <c r="J69" s="274"/>
      <c r="K69" s="345"/>
      <c r="L69" s="345"/>
      <c r="M69" s="345"/>
      <c r="N69" s="346"/>
      <c r="O69" s="347"/>
      <c r="P69" s="347"/>
      <c r="Q69" s="347"/>
      <c r="R69" s="348"/>
      <c r="S69" s="392"/>
      <c r="T69" s="393"/>
      <c r="U69" s="254"/>
      <c r="V69" s="326"/>
      <c r="W69" s="326"/>
      <c r="X69" s="327"/>
      <c r="AA69" s="216"/>
      <c r="AB69" s="353"/>
      <c r="AC69" s="216"/>
      <c r="AD69" s="216"/>
      <c r="AE69" s="216"/>
      <c r="AF69" s="216"/>
      <c r="AG69" s="216"/>
      <c r="AH69" s="216"/>
      <c r="AI69" s="216"/>
      <c r="AJ69" s="216"/>
      <c r="AM69" s="216"/>
      <c r="AN69" s="216"/>
    </row>
    <row r="70" spans="1:40" ht="20.25" customHeight="1" x14ac:dyDescent="0.35">
      <c r="A70" s="216"/>
      <c r="B70" s="358"/>
      <c r="C70" s="215"/>
      <c r="D70" s="215"/>
      <c r="E70" s="318"/>
      <c r="F70" s="328"/>
      <c r="G70" s="320"/>
      <c r="H70" s="344"/>
      <c r="I70" s="321"/>
      <c r="J70" s="274"/>
      <c r="K70" s="345"/>
      <c r="L70" s="345"/>
      <c r="M70" s="345"/>
      <c r="N70" s="346"/>
      <c r="O70" s="347"/>
      <c r="P70" s="347"/>
      <c r="Q70" s="347"/>
      <c r="R70" s="348"/>
      <c r="S70" s="392"/>
      <c r="T70" s="393"/>
      <c r="U70" s="254"/>
      <c r="V70" s="326"/>
      <c r="W70" s="326"/>
      <c r="X70" s="327"/>
      <c r="AA70" s="216"/>
      <c r="AB70" s="353"/>
      <c r="AC70" s="216"/>
      <c r="AD70" s="216"/>
      <c r="AE70" s="216"/>
      <c r="AF70" s="216"/>
      <c r="AG70" s="216"/>
      <c r="AH70" s="216"/>
      <c r="AI70" s="216"/>
      <c r="AJ70" s="216"/>
      <c r="AM70" s="216"/>
      <c r="AN70" s="216"/>
    </row>
    <row r="71" spans="1:40" ht="20.25" customHeight="1" x14ac:dyDescent="0.35">
      <c r="A71" s="216"/>
      <c r="B71" s="358"/>
      <c r="C71" s="215"/>
      <c r="D71" s="215"/>
      <c r="E71" s="318"/>
      <c r="F71" s="328"/>
      <c r="G71" s="320"/>
      <c r="H71" s="344"/>
      <c r="I71" s="321"/>
      <c r="J71" s="274"/>
      <c r="K71" s="345"/>
      <c r="L71" s="345"/>
      <c r="M71" s="345"/>
      <c r="N71" s="346"/>
      <c r="O71" s="347"/>
      <c r="P71" s="347"/>
      <c r="Q71" s="347"/>
      <c r="R71" s="348"/>
      <c r="S71" s="392"/>
      <c r="T71" s="393"/>
      <c r="U71" s="254"/>
      <c r="V71" s="326"/>
      <c r="W71" s="326"/>
      <c r="X71" s="327"/>
      <c r="AA71" s="216"/>
      <c r="AB71" s="353"/>
      <c r="AC71" s="216"/>
      <c r="AD71" s="216"/>
      <c r="AE71" s="216"/>
      <c r="AF71" s="216"/>
      <c r="AG71" s="216"/>
      <c r="AH71" s="216"/>
      <c r="AI71" s="216"/>
      <c r="AJ71" s="216"/>
      <c r="AM71" s="216"/>
      <c r="AN71" s="216"/>
    </row>
    <row r="72" spans="1:40" ht="20.25" customHeight="1" x14ac:dyDescent="0.35">
      <c r="A72" s="216"/>
      <c r="B72" s="358"/>
      <c r="C72" s="215"/>
      <c r="D72" s="215"/>
      <c r="E72" s="318"/>
      <c r="F72" s="328"/>
      <c r="G72" s="320"/>
      <c r="H72" s="344"/>
      <c r="I72" s="321"/>
      <c r="J72" s="274"/>
      <c r="K72" s="345"/>
      <c r="L72" s="345"/>
      <c r="M72" s="345"/>
      <c r="N72" s="346"/>
      <c r="O72" s="347"/>
      <c r="P72" s="347"/>
      <c r="Q72" s="347"/>
      <c r="R72" s="348"/>
      <c r="S72" s="392"/>
      <c r="T72" s="393"/>
      <c r="U72" s="254"/>
      <c r="V72" s="326"/>
      <c r="W72" s="326"/>
      <c r="X72" s="327"/>
      <c r="AA72" s="216"/>
      <c r="AB72" s="353"/>
      <c r="AC72" s="216"/>
      <c r="AD72" s="216"/>
      <c r="AE72" s="216"/>
      <c r="AF72" s="216"/>
      <c r="AG72" s="216"/>
      <c r="AH72" s="216"/>
      <c r="AI72" s="216"/>
      <c r="AJ72" s="216"/>
      <c r="AM72" s="216"/>
      <c r="AN72" s="216"/>
    </row>
    <row r="73" spans="1:40" ht="20.25" customHeight="1" x14ac:dyDescent="0.35">
      <c r="A73" s="216"/>
      <c r="B73" s="358"/>
      <c r="C73" s="215"/>
      <c r="D73" s="215"/>
      <c r="E73" s="318"/>
      <c r="F73" s="328"/>
      <c r="G73" s="320"/>
      <c r="H73" s="344"/>
      <c r="I73" s="321"/>
      <c r="J73" s="274"/>
      <c r="K73" s="345"/>
      <c r="L73" s="345"/>
      <c r="M73" s="345"/>
      <c r="N73" s="346"/>
      <c r="O73" s="347"/>
      <c r="P73" s="347"/>
      <c r="Q73" s="347"/>
      <c r="R73" s="348"/>
      <c r="S73" s="392"/>
      <c r="T73" s="393"/>
      <c r="U73" s="254"/>
      <c r="V73" s="326"/>
      <c r="W73" s="326"/>
      <c r="X73" s="327"/>
      <c r="AA73" s="216"/>
      <c r="AB73" s="353"/>
      <c r="AC73" s="216"/>
      <c r="AD73" s="216"/>
      <c r="AE73" s="216"/>
      <c r="AF73" s="216"/>
      <c r="AG73" s="216"/>
      <c r="AH73" s="216"/>
      <c r="AI73" s="216"/>
      <c r="AJ73" s="216"/>
      <c r="AM73" s="216"/>
      <c r="AN73" s="216"/>
    </row>
    <row r="74" spans="1:40" ht="20.25" customHeight="1" x14ac:dyDescent="0.35">
      <c r="A74" s="216"/>
      <c r="B74" s="358"/>
      <c r="C74" s="215"/>
      <c r="D74" s="215"/>
      <c r="E74" s="318"/>
      <c r="F74" s="328"/>
      <c r="G74" s="320"/>
      <c r="H74" s="344"/>
      <c r="I74" s="321"/>
      <c r="J74" s="274"/>
      <c r="K74" s="345"/>
      <c r="L74" s="345"/>
      <c r="M74" s="345"/>
      <c r="N74" s="346"/>
      <c r="O74" s="347"/>
      <c r="P74" s="347"/>
      <c r="Q74" s="347"/>
      <c r="R74" s="348"/>
      <c r="S74" s="392"/>
      <c r="T74" s="393"/>
      <c r="U74" s="254"/>
      <c r="V74" s="326"/>
      <c r="W74" s="326"/>
      <c r="X74" s="327"/>
      <c r="AA74" s="216"/>
      <c r="AB74" s="353"/>
      <c r="AC74" s="216"/>
      <c r="AD74" s="216"/>
      <c r="AE74" s="216"/>
      <c r="AF74" s="216"/>
      <c r="AG74" s="216"/>
      <c r="AH74" s="216"/>
      <c r="AI74" s="216"/>
      <c r="AJ74" s="216"/>
      <c r="AM74" s="216"/>
      <c r="AN74" s="216"/>
    </row>
    <row r="75" spans="1:40" ht="20.25" customHeight="1" x14ac:dyDescent="0.35">
      <c r="A75" s="216"/>
      <c r="B75" s="358"/>
      <c r="C75" s="215"/>
      <c r="D75" s="215"/>
      <c r="E75" s="318"/>
      <c r="F75" s="328"/>
      <c r="G75" s="320"/>
      <c r="H75" s="344"/>
      <c r="I75" s="321"/>
      <c r="J75" s="274"/>
      <c r="K75" s="345"/>
      <c r="L75" s="345"/>
      <c r="M75" s="345"/>
      <c r="N75" s="346"/>
      <c r="O75" s="347"/>
      <c r="P75" s="347"/>
      <c r="Q75" s="347"/>
      <c r="R75" s="348"/>
      <c r="S75" s="392"/>
      <c r="T75" s="393"/>
      <c r="U75" s="254"/>
      <c r="V75" s="326"/>
      <c r="W75" s="326"/>
      <c r="X75" s="327"/>
      <c r="AA75" s="216"/>
      <c r="AB75" s="353"/>
      <c r="AC75" s="216"/>
      <c r="AD75" s="216"/>
      <c r="AE75" s="216"/>
      <c r="AF75" s="216"/>
      <c r="AG75" s="216"/>
      <c r="AH75" s="216"/>
      <c r="AI75" s="216"/>
      <c r="AJ75" s="216"/>
      <c r="AM75" s="216"/>
      <c r="AN75" s="216"/>
    </row>
    <row r="76" spans="1:40" ht="20.25" customHeight="1" x14ac:dyDescent="0.35">
      <c r="A76" s="216"/>
      <c r="B76" s="358"/>
      <c r="C76" s="215"/>
      <c r="D76" s="215"/>
      <c r="E76" s="318"/>
      <c r="F76" s="328"/>
      <c r="G76" s="320"/>
      <c r="H76" s="344"/>
      <c r="I76" s="321"/>
      <c r="J76" s="274"/>
      <c r="K76" s="345"/>
      <c r="L76" s="345"/>
      <c r="M76" s="345"/>
      <c r="N76" s="346"/>
      <c r="O76" s="347"/>
      <c r="P76" s="347"/>
      <c r="Q76" s="347"/>
      <c r="R76" s="348"/>
      <c r="S76" s="392"/>
      <c r="T76" s="393"/>
      <c r="U76" s="254"/>
      <c r="V76" s="326"/>
      <c r="W76" s="326"/>
      <c r="X76" s="327"/>
      <c r="AA76" s="216"/>
      <c r="AB76" s="353"/>
      <c r="AC76" s="216"/>
      <c r="AD76" s="216"/>
      <c r="AE76" s="216"/>
      <c r="AF76" s="216"/>
      <c r="AG76" s="216"/>
      <c r="AH76" s="216"/>
      <c r="AI76" s="216"/>
      <c r="AJ76" s="216"/>
      <c r="AM76" s="216"/>
      <c r="AN76" s="216"/>
    </row>
    <row r="77" spans="1:40" ht="20.25" customHeight="1" x14ac:dyDescent="0.35">
      <c r="A77" s="216"/>
      <c r="B77" s="358"/>
      <c r="C77" s="215"/>
      <c r="D77" s="215"/>
      <c r="E77" s="318"/>
      <c r="F77" s="328"/>
      <c r="G77" s="320"/>
      <c r="H77" s="344"/>
      <c r="I77" s="321"/>
      <c r="J77" s="274"/>
      <c r="K77" s="345"/>
      <c r="L77" s="345"/>
      <c r="M77" s="345"/>
      <c r="N77" s="346"/>
      <c r="O77" s="347"/>
      <c r="P77" s="347"/>
      <c r="Q77" s="347"/>
      <c r="R77" s="348"/>
      <c r="S77" s="392"/>
      <c r="T77" s="393"/>
      <c r="U77" s="254"/>
      <c r="V77" s="326"/>
      <c r="W77" s="326"/>
      <c r="X77" s="327"/>
      <c r="AA77" s="216"/>
      <c r="AB77" s="353"/>
      <c r="AC77" s="216"/>
      <c r="AD77" s="216"/>
      <c r="AE77" s="216"/>
      <c r="AF77" s="216"/>
      <c r="AG77" s="216"/>
      <c r="AH77" s="216"/>
      <c r="AI77" s="216"/>
      <c r="AJ77" s="216"/>
      <c r="AM77" s="216"/>
      <c r="AN77" s="216"/>
    </row>
    <row r="78" spans="1:40" ht="20.25" customHeight="1" x14ac:dyDescent="0.35">
      <c r="A78" s="216"/>
      <c r="B78" s="358"/>
      <c r="C78" s="215"/>
      <c r="D78" s="215"/>
      <c r="E78" s="318"/>
      <c r="F78" s="328"/>
      <c r="G78" s="320"/>
      <c r="H78" s="344"/>
      <c r="I78" s="321"/>
      <c r="J78" s="274"/>
      <c r="K78" s="345"/>
      <c r="L78" s="345"/>
      <c r="M78" s="345"/>
      <c r="N78" s="346"/>
      <c r="O78" s="347"/>
      <c r="P78" s="347"/>
      <c r="Q78" s="347"/>
      <c r="R78" s="348"/>
      <c r="S78" s="392"/>
      <c r="T78" s="393"/>
      <c r="U78" s="254"/>
      <c r="V78" s="326"/>
      <c r="W78" s="326"/>
      <c r="X78" s="327"/>
      <c r="AA78" s="216"/>
      <c r="AB78" s="353"/>
      <c r="AC78" s="216"/>
      <c r="AD78" s="216"/>
      <c r="AE78" s="216"/>
      <c r="AF78" s="216"/>
      <c r="AG78" s="216"/>
      <c r="AH78" s="216"/>
      <c r="AI78" s="216"/>
      <c r="AJ78" s="216"/>
      <c r="AM78" s="216"/>
      <c r="AN78" s="216"/>
    </row>
    <row r="79" spans="1:40" ht="20.25" customHeight="1" x14ac:dyDescent="0.35">
      <c r="A79" s="216"/>
      <c r="B79" s="358"/>
      <c r="C79" s="215"/>
      <c r="D79" s="215"/>
      <c r="E79" s="318"/>
      <c r="F79" s="328"/>
      <c r="G79" s="320"/>
      <c r="H79" s="344"/>
      <c r="I79" s="321"/>
      <c r="J79" s="274"/>
      <c r="K79" s="345"/>
      <c r="L79" s="345"/>
      <c r="M79" s="345"/>
      <c r="N79" s="346"/>
      <c r="O79" s="347"/>
      <c r="P79" s="347"/>
      <c r="Q79" s="347"/>
      <c r="R79" s="348"/>
      <c r="S79" s="392"/>
      <c r="T79" s="393"/>
      <c r="U79" s="254"/>
      <c r="V79" s="326"/>
      <c r="W79" s="326"/>
      <c r="X79" s="327"/>
      <c r="AA79" s="216"/>
      <c r="AB79" s="353"/>
      <c r="AC79" s="216"/>
      <c r="AD79" s="216"/>
      <c r="AE79" s="216"/>
      <c r="AF79" s="216"/>
      <c r="AG79" s="216"/>
      <c r="AH79" s="216"/>
      <c r="AI79" s="216"/>
      <c r="AJ79" s="216"/>
      <c r="AM79" s="216"/>
      <c r="AN79" s="216"/>
    </row>
    <row r="80" spans="1:40" ht="20.25" customHeight="1" x14ac:dyDescent="0.35">
      <c r="A80" s="216"/>
      <c r="B80" s="358"/>
      <c r="C80" s="215"/>
      <c r="D80" s="215"/>
      <c r="E80" s="318"/>
      <c r="F80" s="328"/>
      <c r="G80" s="320"/>
      <c r="H80" s="344"/>
      <c r="I80" s="321"/>
      <c r="J80" s="274"/>
      <c r="K80" s="345"/>
      <c r="L80" s="345"/>
      <c r="M80" s="345"/>
      <c r="N80" s="346"/>
      <c r="O80" s="347"/>
      <c r="P80" s="347"/>
      <c r="Q80" s="347"/>
      <c r="R80" s="348"/>
      <c r="S80" s="392"/>
      <c r="T80" s="393"/>
      <c r="U80" s="254"/>
      <c r="V80" s="326"/>
      <c r="W80" s="326"/>
      <c r="X80" s="327"/>
      <c r="AA80" s="216"/>
      <c r="AB80" s="353"/>
      <c r="AC80" s="216"/>
      <c r="AD80" s="216"/>
      <c r="AE80" s="216"/>
      <c r="AF80" s="216"/>
      <c r="AG80" s="216"/>
      <c r="AH80" s="216"/>
      <c r="AI80" s="216"/>
      <c r="AJ80" s="216"/>
      <c r="AM80" s="216"/>
      <c r="AN80" s="216"/>
    </row>
    <row r="81" spans="1:40" ht="20.25" customHeight="1" x14ac:dyDescent="0.35">
      <c r="A81" s="216"/>
      <c r="B81" s="358"/>
      <c r="C81" s="215"/>
      <c r="D81" s="215"/>
      <c r="E81" s="318"/>
      <c r="F81" s="328"/>
      <c r="G81" s="320"/>
      <c r="H81" s="344"/>
      <c r="I81" s="321"/>
      <c r="J81" s="274"/>
      <c r="K81" s="345"/>
      <c r="L81" s="345"/>
      <c r="M81" s="345"/>
      <c r="N81" s="346"/>
      <c r="O81" s="347"/>
      <c r="P81" s="347"/>
      <c r="Q81" s="347"/>
      <c r="R81" s="348"/>
      <c r="S81" s="392"/>
      <c r="T81" s="393"/>
      <c r="U81" s="254"/>
      <c r="V81" s="326"/>
      <c r="W81" s="326"/>
      <c r="X81" s="327"/>
      <c r="AA81" s="216"/>
      <c r="AB81" s="353"/>
      <c r="AC81" s="216"/>
      <c r="AD81" s="216"/>
      <c r="AE81" s="216"/>
      <c r="AF81" s="216"/>
      <c r="AG81" s="216"/>
      <c r="AH81" s="216"/>
      <c r="AI81" s="216"/>
      <c r="AJ81" s="216"/>
      <c r="AM81" s="216"/>
      <c r="AN81" s="216"/>
    </row>
    <row r="82" spans="1:40" ht="20.25" customHeight="1" x14ac:dyDescent="0.35">
      <c r="A82" s="216"/>
      <c r="B82" s="358"/>
      <c r="C82" s="215"/>
      <c r="D82" s="215"/>
      <c r="E82" s="318"/>
      <c r="F82" s="328"/>
      <c r="G82" s="320"/>
      <c r="H82" s="344"/>
      <c r="I82" s="321"/>
      <c r="J82" s="274"/>
      <c r="K82" s="345"/>
      <c r="L82" s="345"/>
      <c r="M82" s="345"/>
      <c r="N82" s="346"/>
      <c r="O82" s="347"/>
      <c r="P82" s="347"/>
      <c r="Q82" s="347"/>
      <c r="R82" s="348"/>
      <c r="S82" s="392"/>
      <c r="T82" s="393"/>
      <c r="U82" s="254"/>
      <c r="V82" s="326"/>
      <c r="W82" s="326"/>
      <c r="X82" s="327"/>
      <c r="AA82" s="216"/>
      <c r="AB82" s="353"/>
      <c r="AC82" s="216"/>
      <c r="AD82" s="216"/>
      <c r="AE82" s="216"/>
      <c r="AF82" s="216"/>
      <c r="AG82" s="216"/>
      <c r="AH82" s="216"/>
      <c r="AI82" s="216"/>
      <c r="AJ82" s="216"/>
      <c r="AM82" s="216"/>
      <c r="AN82" s="216"/>
    </row>
    <row r="83" spans="1:40" ht="20.25" customHeight="1" x14ac:dyDescent="0.35">
      <c r="A83" s="216"/>
      <c r="B83" s="358"/>
      <c r="C83" s="215"/>
      <c r="D83" s="215"/>
      <c r="E83" s="318"/>
      <c r="F83" s="328"/>
      <c r="G83" s="320"/>
      <c r="H83" s="344"/>
      <c r="I83" s="321"/>
      <c r="J83" s="274"/>
      <c r="K83" s="345"/>
      <c r="L83" s="345"/>
      <c r="M83" s="345"/>
      <c r="N83" s="346"/>
      <c r="O83" s="347"/>
      <c r="P83" s="347"/>
      <c r="Q83" s="347"/>
      <c r="R83" s="348"/>
      <c r="S83" s="392"/>
      <c r="T83" s="393"/>
      <c r="U83" s="254"/>
      <c r="V83" s="326"/>
      <c r="W83" s="326"/>
      <c r="X83" s="327"/>
      <c r="AA83" s="216"/>
      <c r="AB83" s="353"/>
      <c r="AC83" s="216"/>
      <c r="AD83" s="216"/>
      <c r="AE83" s="216"/>
      <c r="AF83" s="216"/>
      <c r="AG83" s="216"/>
      <c r="AH83" s="216"/>
      <c r="AI83" s="216"/>
      <c r="AJ83" s="216"/>
      <c r="AM83" s="216"/>
      <c r="AN83" s="216"/>
    </row>
    <row r="84" spans="1:40" ht="20.25" customHeight="1" x14ac:dyDescent="0.35">
      <c r="A84" s="216"/>
      <c r="B84" s="358"/>
      <c r="C84" s="215"/>
      <c r="D84" s="215"/>
      <c r="E84" s="318"/>
      <c r="F84" s="328"/>
      <c r="G84" s="320"/>
      <c r="H84" s="344"/>
      <c r="I84" s="321"/>
      <c r="J84" s="274"/>
      <c r="K84" s="345"/>
      <c r="L84" s="345"/>
      <c r="M84" s="345"/>
      <c r="N84" s="346"/>
      <c r="O84" s="347"/>
      <c r="P84" s="347"/>
      <c r="Q84" s="347"/>
      <c r="R84" s="348"/>
      <c r="S84" s="392"/>
      <c r="T84" s="393"/>
      <c r="U84" s="254"/>
      <c r="V84" s="326"/>
      <c r="W84" s="326"/>
      <c r="X84" s="327"/>
      <c r="AA84" s="216"/>
      <c r="AB84" s="353"/>
      <c r="AC84" s="216"/>
      <c r="AD84" s="216"/>
      <c r="AE84" s="216"/>
      <c r="AF84" s="216"/>
      <c r="AG84" s="216"/>
      <c r="AH84" s="216"/>
      <c r="AI84" s="216"/>
      <c r="AJ84" s="216"/>
      <c r="AM84" s="216"/>
      <c r="AN84" s="216"/>
    </row>
    <row r="85" spans="1:40" ht="20.25" customHeight="1" x14ac:dyDescent="0.35">
      <c r="A85" s="216"/>
      <c r="B85" s="358"/>
      <c r="C85" s="215"/>
      <c r="D85" s="215"/>
      <c r="E85" s="318"/>
      <c r="F85" s="328"/>
      <c r="G85" s="320"/>
      <c r="H85" s="344"/>
      <c r="I85" s="321"/>
      <c r="J85" s="274"/>
      <c r="K85" s="345"/>
      <c r="L85" s="345"/>
      <c r="M85" s="345"/>
      <c r="N85" s="346"/>
      <c r="O85" s="347"/>
      <c r="P85" s="347"/>
      <c r="Q85" s="347"/>
      <c r="R85" s="348"/>
      <c r="S85" s="392"/>
      <c r="T85" s="393"/>
      <c r="U85" s="254"/>
      <c r="V85" s="326"/>
      <c r="W85" s="326"/>
      <c r="X85" s="327"/>
      <c r="AA85" s="216"/>
      <c r="AB85" s="353"/>
      <c r="AC85" s="216"/>
      <c r="AD85" s="216"/>
      <c r="AE85" s="216"/>
      <c r="AF85" s="216"/>
      <c r="AG85" s="216"/>
      <c r="AH85" s="216"/>
      <c r="AI85" s="216"/>
      <c r="AJ85" s="216"/>
      <c r="AM85" s="216"/>
      <c r="AN85" s="216"/>
    </row>
    <row r="86" spans="1:40" ht="20.25" customHeight="1" x14ac:dyDescent="0.35">
      <c r="A86" s="216"/>
      <c r="B86" s="358"/>
      <c r="C86" s="215"/>
      <c r="D86" s="215"/>
      <c r="E86" s="318"/>
      <c r="F86" s="328"/>
      <c r="G86" s="320"/>
      <c r="H86" s="344"/>
      <c r="I86" s="321"/>
      <c r="J86" s="274"/>
      <c r="K86" s="345"/>
      <c r="L86" s="345"/>
      <c r="M86" s="345"/>
      <c r="N86" s="346"/>
      <c r="O86" s="347"/>
      <c r="P86" s="347"/>
      <c r="Q86" s="347"/>
      <c r="R86" s="348"/>
      <c r="S86" s="392"/>
      <c r="T86" s="393"/>
      <c r="U86" s="254"/>
      <c r="V86" s="326"/>
      <c r="W86" s="326"/>
      <c r="X86" s="327"/>
      <c r="AA86" s="216"/>
      <c r="AB86" s="353"/>
      <c r="AC86" s="216"/>
      <c r="AD86" s="216"/>
      <c r="AE86" s="216"/>
      <c r="AF86" s="216"/>
      <c r="AG86" s="216"/>
      <c r="AH86" s="216"/>
      <c r="AI86" s="216"/>
      <c r="AJ86" s="216"/>
      <c r="AM86" s="216"/>
      <c r="AN86" s="216"/>
    </row>
    <row r="87" spans="1:40" ht="20.25" customHeight="1" x14ac:dyDescent="0.35">
      <c r="A87" s="216"/>
      <c r="B87" s="358"/>
      <c r="C87" s="215"/>
      <c r="D87" s="215"/>
      <c r="E87" s="318"/>
      <c r="F87" s="328"/>
      <c r="G87" s="320"/>
      <c r="H87" s="344"/>
      <c r="I87" s="321"/>
      <c r="J87" s="274"/>
      <c r="K87" s="345"/>
      <c r="L87" s="345"/>
      <c r="M87" s="345"/>
      <c r="N87" s="346"/>
      <c r="O87" s="347"/>
      <c r="P87" s="347"/>
      <c r="Q87" s="347"/>
      <c r="R87" s="348"/>
      <c r="S87" s="392"/>
      <c r="T87" s="393"/>
      <c r="U87" s="254"/>
      <c r="V87" s="326"/>
      <c r="W87" s="326"/>
      <c r="X87" s="327"/>
      <c r="AA87" s="216"/>
      <c r="AB87" s="353"/>
      <c r="AC87" s="216"/>
      <c r="AD87" s="216"/>
      <c r="AE87" s="216"/>
      <c r="AF87" s="216"/>
      <c r="AG87" s="216"/>
      <c r="AH87" s="216"/>
      <c r="AI87" s="216"/>
      <c r="AJ87" s="216"/>
      <c r="AM87" s="216"/>
      <c r="AN87" s="216"/>
    </row>
    <row r="88" spans="1:40" ht="20.25" customHeight="1" x14ac:dyDescent="0.35">
      <c r="A88" s="216"/>
      <c r="B88" s="358"/>
      <c r="C88" s="215"/>
      <c r="D88" s="215"/>
      <c r="E88" s="318"/>
      <c r="F88" s="328"/>
      <c r="G88" s="320"/>
      <c r="H88" s="344"/>
      <c r="I88" s="321"/>
      <c r="J88" s="274"/>
      <c r="K88" s="345"/>
      <c r="L88" s="345"/>
      <c r="M88" s="345"/>
      <c r="N88" s="346"/>
      <c r="O88" s="347"/>
      <c r="P88" s="347"/>
      <c r="Q88" s="347"/>
      <c r="R88" s="348"/>
      <c r="S88" s="392"/>
      <c r="T88" s="393"/>
      <c r="U88" s="254"/>
      <c r="V88" s="326"/>
      <c r="W88" s="326"/>
      <c r="X88" s="327"/>
      <c r="AA88" s="216"/>
      <c r="AB88" s="353"/>
      <c r="AC88" s="216"/>
      <c r="AD88" s="216"/>
      <c r="AE88" s="216"/>
      <c r="AF88" s="216"/>
      <c r="AG88" s="216"/>
      <c r="AH88" s="216"/>
      <c r="AI88" s="216"/>
      <c r="AJ88" s="216"/>
      <c r="AM88" s="216"/>
      <c r="AN88" s="216"/>
    </row>
    <row r="89" spans="1:40" ht="20.25" customHeight="1" x14ac:dyDescent="0.35">
      <c r="A89" s="216"/>
      <c r="B89" s="358"/>
      <c r="C89" s="215"/>
      <c r="D89" s="215"/>
      <c r="E89" s="318"/>
      <c r="F89" s="328"/>
      <c r="G89" s="320"/>
      <c r="H89" s="344"/>
      <c r="I89" s="321"/>
      <c r="J89" s="274"/>
      <c r="K89" s="345"/>
      <c r="L89" s="345"/>
      <c r="M89" s="345"/>
      <c r="N89" s="346"/>
      <c r="O89" s="347"/>
      <c r="P89" s="347"/>
      <c r="Q89" s="347"/>
      <c r="R89" s="348"/>
      <c r="S89" s="392"/>
      <c r="T89" s="393"/>
      <c r="U89" s="254"/>
      <c r="V89" s="326"/>
      <c r="W89" s="326"/>
      <c r="X89" s="327"/>
      <c r="AA89" s="216"/>
      <c r="AB89" s="353"/>
      <c r="AC89" s="216"/>
      <c r="AD89" s="216"/>
      <c r="AE89" s="216"/>
      <c r="AF89" s="216"/>
      <c r="AG89" s="216"/>
      <c r="AH89" s="216"/>
      <c r="AI89" s="216"/>
      <c r="AJ89" s="216"/>
      <c r="AM89" s="216"/>
      <c r="AN89" s="216"/>
    </row>
    <row r="90" spans="1:40" ht="20.25" customHeight="1" x14ac:dyDescent="0.35">
      <c r="A90" s="216"/>
      <c r="B90" s="358"/>
      <c r="C90" s="215"/>
      <c r="D90" s="215"/>
      <c r="E90" s="318"/>
      <c r="F90" s="328"/>
      <c r="G90" s="320"/>
      <c r="H90" s="344"/>
      <c r="I90" s="321"/>
      <c r="J90" s="274"/>
      <c r="K90" s="345"/>
      <c r="L90" s="345"/>
      <c r="M90" s="345"/>
      <c r="N90" s="346"/>
      <c r="O90" s="347"/>
      <c r="P90" s="347"/>
      <c r="Q90" s="347"/>
      <c r="R90" s="348"/>
      <c r="S90" s="392"/>
      <c r="T90" s="393"/>
      <c r="U90" s="254"/>
      <c r="V90" s="326"/>
      <c r="W90" s="326"/>
      <c r="X90" s="327"/>
      <c r="AA90" s="216"/>
      <c r="AB90" s="353"/>
      <c r="AC90" s="216"/>
      <c r="AD90" s="216"/>
      <c r="AE90" s="216"/>
      <c r="AF90" s="216"/>
      <c r="AG90" s="216"/>
      <c r="AH90" s="216"/>
      <c r="AI90" s="216"/>
      <c r="AJ90" s="216"/>
      <c r="AM90" s="216"/>
      <c r="AN90" s="216"/>
    </row>
    <row r="91" spans="1:40" ht="20.25" customHeight="1" x14ac:dyDescent="0.35">
      <c r="A91" s="216"/>
      <c r="B91" s="358"/>
      <c r="C91" s="215"/>
      <c r="D91" s="215"/>
      <c r="E91" s="318"/>
      <c r="F91" s="328"/>
      <c r="G91" s="320"/>
      <c r="H91" s="344"/>
      <c r="I91" s="321"/>
      <c r="J91" s="274"/>
      <c r="K91" s="345"/>
      <c r="L91" s="345"/>
      <c r="M91" s="345"/>
      <c r="N91" s="346"/>
      <c r="O91" s="347"/>
      <c r="P91" s="347"/>
      <c r="Q91" s="347"/>
      <c r="R91" s="348"/>
      <c r="S91" s="392"/>
      <c r="T91" s="393"/>
      <c r="U91" s="254"/>
      <c r="V91" s="326"/>
      <c r="W91" s="326"/>
      <c r="X91" s="327"/>
      <c r="AA91" s="216"/>
      <c r="AB91" s="353"/>
      <c r="AC91" s="216"/>
      <c r="AD91" s="216"/>
      <c r="AE91" s="216"/>
      <c r="AF91" s="216"/>
      <c r="AG91" s="216"/>
      <c r="AH91" s="216"/>
      <c r="AI91" s="216"/>
      <c r="AJ91" s="216"/>
      <c r="AM91" s="216"/>
      <c r="AN91" s="216"/>
    </row>
    <row r="92" spans="1:40" ht="20.25" customHeight="1" x14ac:dyDescent="0.35">
      <c r="A92" s="216"/>
      <c r="B92" s="358"/>
      <c r="C92" s="215"/>
      <c r="D92" s="215"/>
      <c r="E92" s="318"/>
      <c r="F92" s="328"/>
      <c r="G92" s="320"/>
      <c r="H92" s="344"/>
      <c r="I92" s="321"/>
      <c r="J92" s="274"/>
      <c r="K92" s="345"/>
      <c r="L92" s="345"/>
      <c r="M92" s="345"/>
      <c r="N92" s="346"/>
      <c r="O92" s="347"/>
      <c r="P92" s="347"/>
      <c r="Q92" s="347"/>
      <c r="R92" s="348"/>
      <c r="S92" s="392"/>
      <c r="T92" s="393"/>
      <c r="U92" s="254"/>
      <c r="V92" s="326"/>
      <c r="W92" s="326"/>
      <c r="X92" s="327"/>
      <c r="AA92" s="216"/>
      <c r="AB92" s="353"/>
      <c r="AC92" s="216"/>
      <c r="AD92" s="216"/>
      <c r="AE92" s="216"/>
      <c r="AF92" s="216"/>
      <c r="AG92" s="216"/>
      <c r="AH92" s="216"/>
      <c r="AI92" s="216"/>
      <c r="AJ92" s="216"/>
      <c r="AM92" s="216"/>
      <c r="AN92" s="216"/>
    </row>
    <row r="93" spans="1:40" ht="20.25" customHeight="1" x14ac:dyDescent="0.35">
      <c r="A93" s="216"/>
      <c r="B93" s="358"/>
      <c r="C93" s="215"/>
      <c r="D93" s="215"/>
      <c r="E93" s="318"/>
      <c r="F93" s="328"/>
      <c r="G93" s="320"/>
      <c r="H93" s="344"/>
      <c r="I93" s="321"/>
      <c r="J93" s="274"/>
      <c r="K93" s="345"/>
      <c r="L93" s="345"/>
      <c r="M93" s="345"/>
      <c r="N93" s="346"/>
      <c r="O93" s="347"/>
      <c r="P93" s="347"/>
      <c r="Q93" s="347"/>
      <c r="R93" s="348"/>
      <c r="S93" s="392"/>
      <c r="T93" s="393"/>
      <c r="U93" s="254"/>
      <c r="V93" s="326"/>
      <c r="W93" s="326"/>
      <c r="X93" s="327"/>
      <c r="AA93" s="216"/>
      <c r="AB93" s="353"/>
      <c r="AC93" s="216"/>
      <c r="AD93" s="216"/>
      <c r="AE93" s="216"/>
      <c r="AF93" s="216"/>
      <c r="AG93" s="216"/>
      <c r="AH93" s="216"/>
      <c r="AI93" s="216"/>
      <c r="AJ93" s="216"/>
      <c r="AM93" s="216"/>
      <c r="AN93" s="216"/>
    </row>
    <row r="94" spans="1:40" ht="20.25" customHeight="1" x14ac:dyDescent="0.35">
      <c r="A94" s="216"/>
      <c r="B94" s="358"/>
      <c r="C94" s="215"/>
      <c r="D94" s="215"/>
      <c r="E94" s="318"/>
      <c r="F94" s="328"/>
      <c r="G94" s="320"/>
      <c r="H94" s="344"/>
      <c r="I94" s="321"/>
      <c r="J94" s="274"/>
      <c r="K94" s="345"/>
      <c r="L94" s="345"/>
      <c r="M94" s="345"/>
      <c r="N94" s="346"/>
      <c r="O94" s="347"/>
      <c r="P94" s="347"/>
      <c r="Q94" s="347"/>
      <c r="R94" s="348"/>
      <c r="S94" s="392"/>
      <c r="T94" s="393"/>
      <c r="U94" s="254"/>
      <c r="V94" s="326"/>
      <c r="W94" s="326"/>
      <c r="X94" s="327"/>
      <c r="AA94" s="216"/>
      <c r="AB94" s="353"/>
      <c r="AC94" s="216"/>
      <c r="AD94" s="216"/>
      <c r="AE94" s="216"/>
      <c r="AF94" s="216"/>
      <c r="AG94" s="216"/>
      <c r="AH94" s="216"/>
      <c r="AI94" s="216"/>
      <c r="AJ94" s="216"/>
      <c r="AM94" s="216"/>
      <c r="AN94" s="216"/>
    </row>
    <row r="95" spans="1:40" ht="20.25" customHeight="1" x14ac:dyDescent="0.35">
      <c r="A95" s="216"/>
      <c r="B95" s="358"/>
      <c r="C95" s="215"/>
      <c r="D95" s="215"/>
      <c r="E95" s="318"/>
      <c r="F95" s="328"/>
      <c r="G95" s="320"/>
      <c r="H95" s="344"/>
      <c r="I95" s="321"/>
      <c r="J95" s="274"/>
      <c r="K95" s="345"/>
      <c r="L95" s="345"/>
      <c r="M95" s="345"/>
      <c r="N95" s="346"/>
      <c r="O95" s="347"/>
      <c r="P95" s="347"/>
      <c r="Q95" s="347"/>
      <c r="R95" s="348"/>
      <c r="S95" s="392"/>
      <c r="T95" s="393"/>
      <c r="U95" s="254"/>
      <c r="V95" s="326"/>
      <c r="W95" s="326"/>
      <c r="X95" s="327"/>
      <c r="AA95" s="216"/>
      <c r="AB95" s="353"/>
      <c r="AC95" s="216"/>
      <c r="AD95" s="216"/>
      <c r="AE95" s="216"/>
      <c r="AF95" s="216"/>
      <c r="AG95" s="216"/>
      <c r="AH95" s="216"/>
      <c r="AI95" s="216"/>
      <c r="AJ95" s="216"/>
      <c r="AM95" s="216"/>
      <c r="AN95" s="216"/>
    </row>
    <row r="96" spans="1:40" ht="20.25" customHeight="1" x14ac:dyDescent="0.35">
      <c r="A96" s="216"/>
      <c r="B96" s="358"/>
      <c r="C96" s="215"/>
      <c r="D96" s="215"/>
      <c r="E96" s="318"/>
      <c r="F96" s="328"/>
      <c r="G96" s="320"/>
      <c r="H96" s="344"/>
      <c r="I96" s="321"/>
      <c r="J96" s="274"/>
      <c r="K96" s="345"/>
      <c r="L96" s="345"/>
      <c r="M96" s="345"/>
      <c r="N96" s="346"/>
      <c r="O96" s="347"/>
      <c r="P96" s="347"/>
      <c r="Q96" s="347"/>
      <c r="R96" s="348"/>
      <c r="S96" s="392"/>
      <c r="T96" s="393"/>
      <c r="U96" s="254"/>
      <c r="V96" s="326"/>
      <c r="W96" s="326"/>
      <c r="X96" s="327"/>
      <c r="AA96" s="216"/>
      <c r="AB96" s="353"/>
      <c r="AC96" s="216"/>
      <c r="AD96" s="216"/>
      <c r="AE96" s="216"/>
      <c r="AF96" s="216"/>
      <c r="AG96" s="216"/>
      <c r="AH96" s="216"/>
      <c r="AI96" s="216"/>
      <c r="AJ96" s="216"/>
      <c r="AM96" s="216"/>
      <c r="AN96" s="216"/>
    </row>
    <row r="97" spans="1:40" ht="20.25" customHeight="1" x14ac:dyDescent="0.35">
      <c r="A97" s="216"/>
      <c r="B97" s="358"/>
      <c r="C97" s="215"/>
      <c r="D97" s="215"/>
      <c r="E97" s="318"/>
      <c r="F97" s="328"/>
      <c r="G97" s="320"/>
      <c r="H97" s="344"/>
      <c r="I97" s="321"/>
      <c r="J97" s="274"/>
      <c r="K97" s="345"/>
      <c r="L97" s="345"/>
      <c r="M97" s="345"/>
      <c r="N97" s="346"/>
      <c r="O97" s="347"/>
      <c r="P97" s="347"/>
      <c r="Q97" s="347"/>
      <c r="R97" s="348"/>
      <c r="S97" s="392"/>
      <c r="T97" s="393"/>
      <c r="U97" s="254"/>
      <c r="V97" s="326"/>
      <c r="W97" s="326"/>
      <c r="X97" s="327"/>
      <c r="AA97" s="216"/>
      <c r="AB97" s="353"/>
      <c r="AC97" s="216"/>
      <c r="AD97" s="216"/>
      <c r="AE97" s="216"/>
      <c r="AF97" s="216"/>
      <c r="AG97" s="216"/>
      <c r="AH97" s="216"/>
      <c r="AI97" s="216"/>
      <c r="AJ97" s="216"/>
      <c r="AM97" s="216"/>
      <c r="AN97" s="216"/>
    </row>
    <row r="98" spans="1:40" ht="20.25" customHeight="1" x14ac:dyDescent="0.35">
      <c r="A98" s="216"/>
      <c r="B98" s="358"/>
      <c r="C98" s="215"/>
      <c r="D98" s="215"/>
      <c r="E98" s="318"/>
      <c r="F98" s="328"/>
      <c r="G98" s="320"/>
      <c r="H98" s="344"/>
      <c r="I98" s="321"/>
      <c r="J98" s="274"/>
      <c r="K98" s="345"/>
      <c r="L98" s="345"/>
      <c r="M98" s="345"/>
      <c r="N98" s="346"/>
      <c r="O98" s="347"/>
      <c r="P98" s="347"/>
      <c r="Q98" s="347"/>
      <c r="R98" s="348"/>
      <c r="S98" s="392"/>
      <c r="T98" s="393"/>
      <c r="U98" s="254"/>
      <c r="V98" s="326"/>
      <c r="W98" s="326"/>
      <c r="X98" s="327"/>
      <c r="AA98" s="216"/>
      <c r="AB98" s="353"/>
      <c r="AC98" s="216"/>
      <c r="AD98" s="216"/>
      <c r="AE98" s="216"/>
      <c r="AF98" s="216"/>
      <c r="AG98" s="216"/>
      <c r="AH98" s="216"/>
      <c r="AI98" s="216"/>
      <c r="AJ98" s="216"/>
      <c r="AM98" s="216"/>
      <c r="AN98" s="216"/>
    </row>
    <row r="99" spans="1:40" ht="20.25" customHeight="1" x14ac:dyDescent="0.35">
      <c r="A99" s="216"/>
      <c r="B99" s="358"/>
      <c r="C99" s="215"/>
      <c r="D99" s="215"/>
      <c r="E99" s="318"/>
      <c r="F99" s="328"/>
      <c r="G99" s="320"/>
      <c r="H99" s="344"/>
      <c r="I99" s="321"/>
      <c r="J99" s="274"/>
      <c r="K99" s="345"/>
      <c r="L99" s="345"/>
      <c r="M99" s="345"/>
      <c r="N99" s="346"/>
      <c r="O99" s="347"/>
      <c r="P99" s="347"/>
      <c r="Q99" s="347"/>
      <c r="R99" s="348"/>
      <c r="S99" s="392"/>
      <c r="T99" s="393"/>
      <c r="U99" s="254"/>
      <c r="V99" s="326"/>
      <c r="W99" s="326"/>
      <c r="X99" s="327"/>
      <c r="AA99" s="216"/>
      <c r="AB99" s="353"/>
      <c r="AC99" s="216"/>
      <c r="AD99" s="216"/>
      <c r="AE99" s="216"/>
      <c r="AF99" s="216"/>
      <c r="AG99" s="216"/>
      <c r="AH99" s="216"/>
      <c r="AI99" s="216"/>
      <c r="AJ99" s="216"/>
      <c r="AM99" s="216"/>
      <c r="AN99" s="216"/>
    </row>
    <row r="100" spans="1:40" ht="20.25" customHeight="1" x14ac:dyDescent="0.35">
      <c r="A100" s="216"/>
      <c r="B100" s="358"/>
      <c r="C100" s="215"/>
      <c r="D100" s="215"/>
      <c r="E100" s="318"/>
      <c r="F100" s="328"/>
      <c r="G100" s="320"/>
      <c r="H100" s="344"/>
      <c r="I100" s="321"/>
      <c r="J100" s="274"/>
      <c r="K100" s="345"/>
      <c r="L100" s="345"/>
      <c r="M100" s="345"/>
      <c r="N100" s="346"/>
      <c r="O100" s="347"/>
      <c r="P100" s="347"/>
      <c r="Q100" s="347"/>
      <c r="R100" s="348"/>
      <c r="S100" s="392"/>
      <c r="T100" s="393"/>
      <c r="U100" s="254"/>
      <c r="V100" s="326"/>
      <c r="W100" s="326"/>
      <c r="X100" s="327"/>
      <c r="AA100" s="216"/>
      <c r="AB100" s="353"/>
      <c r="AC100" s="216"/>
      <c r="AD100" s="216"/>
      <c r="AE100" s="216"/>
      <c r="AF100" s="216"/>
      <c r="AG100" s="216"/>
      <c r="AH100" s="216"/>
      <c r="AI100" s="216"/>
      <c r="AJ100" s="216"/>
      <c r="AM100" s="216"/>
      <c r="AN100" s="216"/>
    </row>
    <row r="101" spans="1:40" ht="20.25" customHeight="1" x14ac:dyDescent="0.35">
      <c r="A101" s="216"/>
      <c r="B101" s="358"/>
      <c r="C101" s="215"/>
      <c r="D101" s="345"/>
      <c r="E101" s="318"/>
      <c r="F101" s="328"/>
      <c r="G101" s="320"/>
      <c r="H101" s="344"/>
      <c r="I101" s="321"/>
      <c r="J101" s="274"/>
      <c r="K101" s="345"/>
      <c r="L101" s="345"/>
      <c r="M101" s="345"/>
      <c r="N101" s="346"/>
      <c r="O101" s="347"/>
      <c r="P101" s="347"/>
      <c r="Q101" s="347"/>
      <c r="R101" s="348"/>
      <c r="S101" s="392"/>
      <c r="T101" s="393"/>
      <c r="U101" s="254"/>
      <c r="V101" s="326"/>
      <c r="W101" s="326"/>
      <c r="X101" s="327"/>
      <c r="AA101" s="216"/>
      <c r="AB101" s="353"/>
      <c r="AC101" s="216"/>
      <c r="AD101" s="216"/>
      <c r="AE101" s="216"/>
      <c r="AF101" s="216"/>
      <c r="AG101" s="216"/>
      <c r="AH101" s="216"/>
      <c r="AI101" s="216"/>
      <c r="AJ101" s="216"/>
      <c r="AM101" s="216"/>
      <c r="AN101" s="216"/>
    </row>
    <row r="102" spans="1:40" ht="20.25" customHeight="1" x14ac:dyDescent="0.35">
      <c r="A102" s="303"/>
      <c r="B102" s="213"/>
      <c r="C102" s="214"/>
      <c r="D102" s="334"/>
      <c r="E102" s="339"/>
      <c r="F102" s="340"/>
      <c r="G102" s="339"/>
      <c r="H102" s="339"/>
      <c r="I102" s="339"/>
      <c r="J102" s="334"/>
      <c r="K102" s="330"/>
      <c r="L102" s="330"/>
      <c r="M102" s="330"/>
      <c r="N102" s="341"/>
      <c r="O102" s="336"/>
      <c r="P102" s="336"/>
      <c r="Q102" s="336"/>
      <c r="R102" s="337"/>
      <c r="S102" s="337"/>
      <c r="T102" s="337"/>
      <c r="U102" s="254"/>
      <c r="V102" s="326"/>
      <c r="W102" s="326"/>
      <c r="X102" s="327"/>
      <c r="AA102" s="216"/>
      <c r="AB102" s="353"/>
      <c r="AC102" s="216"/>
      <c r="AD102" s="216"/>
      <c r="AE102" s="216"/>
      <c r="AF102" s="216"/>
      <c r="AG102" s="216"/>
      <c r="AH102" s="216"/>
      <c r="AI102" s="216"/>
      <c r="AJ102" s="216"/>
      <c r="AM102" s="216"/>
      <c r="AN102" s="216"/>
    </row>
    <row r="103" spans="1:40" ht="20.25" customHeight="1" x14ac:dyDescent="0.35">
      <c r="A103" s="216"/>
      <c r="B103" s="211"/>
      <c r="C103" s="215"/>
      <c r="D103" s="215"/>
      <c r="E103" s="318"/>
      <c r="F103" s="328"/>
      <c r="G103" s="320"/>
      <c r="H103" s="344"/>
      <c r="I103" s="321"/>
      <c r="J103" s="274"/>
      <c r="K103" s="345"/>
      <c r="L103" s="345"/>
      <c r="M103" s="345"/>
      <c r="N103" s="346"/>
      <c r="O103" s="347"/>
      <c r="P103" s="347"/>
      <c r="Q103" s="347"/>
      <c r="R103" s="348"/>
      <c r="S103" s="392"/>
      <c r="T103" s="393"/>
      <c r="U103" s="254"/>
      <c r="V103" s="326"/>
      <c r="W103" s="326"/>
      <c r="X103" s="327"/>
      <c r="AA103" s="216"/>
      <c r="AB103" s="353"/>
      <c r="AC103" s="216"/>
      <c r="AD103" s="216"/>
      <c r="AE103" s="216"/>
      <c r="AF103" s="216"/>
      <c r="AG103" s="216"/>
      <c r="AH103" s="216"/>
      <c r="AI103" s="216"/>
      <c r="AJ103" s="216"/>
      <c r="AM103" s="216"/>
      <c r="AN103" s="216"/>
    </row>
    <row r="104" spans="1:40" ht="20.25" customHeight="1" x14ac:dyDescent="0.35">
      <c r="A104" s="216"/>
      <c r="B104" s="317"/>
      <c r="C104" s="215"/>
      <c r="D104" s="215"/>
      <c r="E104" s="318"/>
      <c r="F104" s="328"/>
      <c r="G104" s="320"/>
      <c r="H104" s="344"/>
      <c r="I104" s="321"/>
      <c r="J104" s="274"/>
      <c r="K104" s="345"/>
      <c r="L104" s="345"/>
      <c r="M104" s="345"/>
      <c r="N104" s="346"/>
      <c r="O104" s="347"/>
      <c r="P104" s="347"/>
      <c r="Q104" s="347"/>
      <c r="R104" s="348"/>
      <c r="S104" s="392"/>
      <c r="T104" s="393"/>
      <c r="U104" s="254"/>
      <c r="V104" s="326"/>
      <c r="W104" s="326"/>
      <c r="X104" s="327"/>
      <c r="AA104" s="216"/>
      <c r="AB104" s="353"/>
      <c r="AC104" s="216"/>
      <c r="AD104" s="216"/>
      <c r="AE104" s="216"/>
      <c r="AF104" s="216"/>
      <c r="AG104" s="216"/>
      <c r="AH104" s="216"/>
      <c r="AI104" s="216"/>
      <c r="AJ104" s="216"/>
      <c r="AM104" s="216"/>
      <c r="AN104" s="216"/>
    </row>
    <row r="105" spans="1:40" ht="20.25" customHeight="1" x14ac:dyDescent="0.35">
      <c r="A105" s="216"/>
      <c r="B105" s="317"/>
      <c r="C105" s="215"/>
      <c r="D105" s="215"/>
      <c r="E105" s="318"/>
      <c r="F105" s="328"/>
      <c r="G105" s="320"/>
      <c r="H105" s="344"/>
      <c r="I105" s="321"/>
      <c r="J105" s="274"/>
      <c r="K105" s="345"/>
      <c r="L105" s="345"/>
      <c r="M105" s="345"/>
      <c r="N105" s="346"/>
      <c r="O105" s="347"/>
      <c r="P105" s="347"/>
      <c r="Q105" s="347"/>
      <c r="R105" s="348"/>
      <c r="S105" s="392"/>
      <c r="T105" s="393"/>
      <c r="U105" s="254"/>
      <c r="V105" s="326"/>
      <c r="W105" s="326"/>
      <c r="X105" s="327"/>
      <c r="Y105" s="338"/>
      <c r="AA105" s="216"/>
      <c r="AB105" s="353"/>
      <c r="AC105" s="216"/>
      <c r="AD105" s="216"/>
      <c r="AE105" s="216"/>
      <c r="AF105" s="216"/>
      <c r="AG105" s="216"/>
      <c r="AH105" s="216"/>
      <c r="AI105" s="216"/>
      <c r="AJ105" s="216"/>
      <c r="AM105" s="216"/>
      <c r="AN105" s="216"/>
    </row>
    <row r="106" spans="1:40" ht="20.25" customHeight="1" x14ac:dyDescent="0.35">
      <c r="A106" s="216"/>
      <c r="B106" s="317"/>
      <c r="C106" s="215"/>
      <c r="D106" s="215"/>
      <c r="E106" s="318"/>
      <c r="F106" s="328"/>
      <c r="G106" s="320"/>
      <c r="H106" s="344"/>
      <c r="I106" s="321"/>
      <c r="J106" s="274"/>
      <c r="K106" s="345"/>
      <c r="L106" s="345"/>
      <c r="M106" s="345"/>
      <c r="N106" s="346"/>
      <c r="O106" s="347"/>
      <c r="P106" s="347"/>
      <c r="Q106" s="347"/>
      <c r="R106" s="348"/>
      <c r="S106" s="392"/>
      <c r="T106" s="393"/>
      <c r="U106" s="254"/>
      <c r="V106" s="326"/>
      <c r="W106" s="326"/>
      <c r="X106" s="327"/>
      <c r="AA106" s="216"/>
      <c r="AB106" s="353"/>
      <c r="AC106" s="216"/>
      <c r="AD106" s="216"/>
      <c r="AE106" s="216"/>
      <c r="AF106" s="216"/>
      <c r="AG106" s="216"/>
      <c r="AH106" s="216"/>
      <c r="AI106" s="216"/>
      <c r="AJ106" s="216"/>
      <c r="AM106" s="216"/>
      <c r="AN106" s="216"/>
    </row>
    <row r="107" spans="1:40" ht="20.25" customHeight="1" x14ac:dyDescent="0.35">
      <c r="A107" s="216"/>
      <c r="B107" s="317"/>
      <c r="C107" s="215"/>
      <c r="D107" s="345"/>
      <c r="E107" s="318"/>
      <c r="F107" s="328"/>
      <c r="G107" s="320"/>
      <c r="H107" s="344"/>
      <c r="I107" s="321"/>
      <c r="J107" s="274"/>
      <c r="K107" s="345"/>
      <c r="L107" s="345"/>
      <c r="M107" s="345"/>
      <c r="N107" s="346"/>
      <c r="O107" s="347"/>
      <c r="P107" s="347"/>
      <c r="Q107" s="347"/>
      <c r="R107" s="348"/>
      <c r="S107" s="392"/>
      <c r="T107" s="393"/>
      <c r="U107" s="254"/>
      <c r="V107" s="326"/>
      <c r="W107" s="326"/>
      <c r="X107" s="327"/>
      <c r="AA107" s="216"/>
      <c r="AB107" s="353"/>
      <c r="AC107" s="216"/>
      <c r="AD107" s="216"/>
      <c r="AE107" s="216"/>
      <c r="AF107" s="216"/>
      <c r="AG107" s="216"/>
      <c r="AH107" s="216"/>
      <c r="AI107" s="216"/>
      <c r="AJ107" s="216"/>
      <c r="AM107" s="216"/>
      <c r="AN107" s="216"/>
    </row>
    <row r="108" spans="1:40" ht="20.25" customHeight="1" x14ac:dyDescent="0.35">
      <c r="A108" s="303"/>
      <c r="B108" s="329"/>
      <c r="C108" s="329"/>
      <c r="D108" s="334"/>
      <c r="E108" s="339"/>
      <c r="F108" s="340"/>
      <c r="G108" s="339"/>
      <c r="H108" s="339"/>
      <c r="I108" s="339"/>
      <c r="J108" s="334"/>
      <c r="K108" s="330"/>
      <c r="L108" s="330"/>
      <c r="M108" s="330"/>
      <c r="N108" s="341"/>
      <c r="O108" s="336"/>
      <c r="P108" s="336"/>
      <c r="Q108" s="336"/>
      <c r="R108" s="337"/>
      <c r="S108" s="337"/>
      <c r="T108" s="337"/>
      <c r="U108" s="254"/>
      <c r="V108" s="326"/>
      <c r="W108" s="326"/>
      <c r="X108" s="327"/>
      <c r="AA108" s="216"/>
      <c r="AB108" s="353"/>
      <c r="AC108" s="216"/>
      <c r="AD108" s="216"/>
      <c r="AE108" s="216"/>
      <c r="AF108" s="216"/>
      <c r="AG108" s="216"/>
      <c r="AH108" s="216"/>
      <c r="AI108" s="216"/>
      <c r="AJ108" s="216"/>
      <c r="AM108" s="216"/>
      <c r="AN108" s="216"/>
    </row>
    <row r="109" spans="1:40" ht="20.25" customHeight="1" x14ac:dyDescent="0.35">
      <c r="A109" s="216"/>
      <c r="B109" s="359"/>
      <c r="C109" s="215"/>
      <c r="D109" s="215"/>
      <c r="E109" s="318"/>
      <c r="F109" s="328"/>
      <c r="G109" s="320"/>
      <c r="H109" s="344"/>
      <c r="I109" s="321"/>
      <c r="J109" s="274"/>
      <c r="K109" s="345"/>
      <c r="L109" s="345"/>
      <c r="M109" s="345"/>
      <c r="N109" s="346"/>
      <c r="O109" s="347"/>
      <c r="P109" s="347"/>
      <c r="Q109" s="347"/>
      <c r="R109" s="348"/>
      <c r="S109" s="392"/>
      <c r="T109" s="393"/>
      <c r="U109" s="254"/>
      <c r="V109" s="326"/>
      <c r="W109" s="326"/>
      <c r="X109" s="327"/>
      <c r="AA109" s="216"/>
      <c r="AB109" s="353"/>
      <c r="AC109" s="216"/>
      <c r="AD109" s="216"/>
      <c r="AE109" s="216"/>
      <c r="AF109" s="216"/>
      <c r="AG109" s="216"/>
      <c r="AH109" s="216"/>
      <c r="AI109" s="216"/>
      <c r="AJ109" s="216"/>
      <c r="AM109" s="216"/>
      <c r="AN109" s="216"/>
    </row>
    <row r="110" spans="1:40" ht="20.25" customHeight="1" x14ac:dyDescent="0.35">
      <c r="A110" s="216"/>
      <c r="B110" s="345"/>
      <c r="C110" s="345"/>
      <c r="D110" s="345"/>
      <c r="E110" s="344"/>
      <c r="F110" s="357"/>
      <c r="G110" s="344"/>
      <c r="H110" s="344"/>
      <c r="I110" s="321"/>
      <c r="J110" s="274"/>
      <c r="K110" s="345"/>
      <c r="L110" s="345"/>
      <c r="M110" s="345"/>
      <c r="N110" s="346"/>
      <c r="O110" s="347"/>
      <c r="P110" s="347"/>
      <c r="Q110" s="347"/>
      <c r="R110" s="348"/>
      <c r="S110" s="392"/>
      <c r="T110" s="393"/>
      <c r="U110" s="254"/>
      <c r="V110" s="326"/>
      <c r="W110" s="326"/>
      <c r="X110" s="327"/>
      <c r="AA110" s="216"/>
      <c r="AB110" s="353"/>
      <c r="AC110" s="216"/>
      <c r="AD110" s="216"/>
      <c r="AE110" s="216"/>
      <c r="AF110" s="216"/>
      <c r="AG110" s="216"/>
      <c r="AH110" s="216"/>
      <c r="AI110" s="216"/>
      <c r="AJ110" s="216"/>
      <c r="AM110" s="216"/>
      <c r="AN110" s="216"/>
    </row>
    <row r="111" spans="1:40" ht="20.25" customHeight="1" x14ac:dyDescent="0.35">
      <c r="A111" s="303"/>
      <c r="B111" s="329"/>
      <c r="C111" s="329"/>
      <c r="D111" s="334"/>
      <c r="E111" s="339"/>
      <c r="F111" s="340"/>
      <c r="G111" s="339"/>
      <c r="H111" s="339"/>
      <c r="I111" s="340"/>
      <c r="J111" s="334"/>
      <c r="K111" s="330"/>
      <c r="L111" s="330"/>
      <c r="M111" s="330"/>
      <c r="N111" s="341"/>
      <c r="O111" s="336"/>
      <c r="P111" s="336"/>
      <c r="Q111" s="336"/>
      <c r="R111" s="337"/>
      <c r="S111" s="337"/>
      <c r="T111" s="337"/>
      <c r="U111" s="254"/>
      <c r="V111" s="326"/>
      <c r="W111" s="326"/>
      <c r="X111" s="327"/>
      <c r="AA111" s="216"/>
      <c r="AB111" s="353"/>
      <c r="AC111" s="216"/>
      <c r="AD111" s="216"/>
      <c r="AE111" s="216"/>
      <c r="AF111" s="216"/>
      <c r="AG111" s="216"/>
      <c r="AH111" s="216"/>
      <c r="AI111" s="216"/>
      <c r="AJ111" s="216"/>
      <c r="AM111" s="216"/>
      <c r="AN111" s="216"/>
    </row>
    <row r="112" spans="1:40" ht="20.25" customHeight="1" x14ac:dyDescent="0.35">
      <c r="A112" s="216"/>
      <c r="B112" s="317"/>
      <c r="C112" s="215"/>
      <c r="D112" s="215"/>
      <c r="E112" s="318"/>
      <c r="F112" s="328"/>
      <c r="G112" s="320"/>
      <c r="H112" s="344"/>
      <c r="I112" s="321"/>
      <c r="J112" s="274"/>
      <c r="K112" s="345"/>
      <c r="L112" s="345"/>
      <c r="M112" s="345"/>
      <c r="N112" s="346"/>
      <c r="O112" s="347"/>
      <c r="P112" s="347"/>
      <c r="Q112" s="347"/>
      <c r="R112" s="348"/>
      <c r="S112" s="392"/>
      <c r="T112" s="393"/>
      <c r="U112" s="254"/>
      <c r="V112" s="326"/>
      <c r="W112" s="326"/>
      <c r="X112" s="327"/>
      <c r="AA112" s="216"/>
      <c r="AB112" s="353"/>
      <c r="AC112" s="216"/>
      <c r="AD112" s="216"/>
      <c r="AE112" s="216"/>
      <c r="AF112" s="216"/>
      <c r="AG112" s="216"/>
      <c r="AH112" s="216"/>
      <c r="AI112" s="216"/>
      <c r="AJ112" s="216"/>
      <c r="AM112" s="216"/>
      <c r="AN112" s="216"/>
    </row>
    <row r="113" spans="1:40" ht="20.25" customHeight="1" x14ac:dyDescent="0.35">
      <c r="A113" s="216"/>
      <c r="B113" s="317"/>
      <c r="C113" s="215"/>
      <c r="D113" s="215"/>
      <c r="E113" s="318"/>
      <c r="F113" s="328"/>
      <c r="G113" s="320"/>
      <c r="H113" s="344"/>
      <c r="I113" s="321"/>
      <c r="J113" s="274"/>
      <c r="K113" s="345"/>
      <c r="L113" s="345"/>
      <c r="M113" s="345"/>
      <c r="N113" s="346"/>
      <c r="O113" s="347"/>
      <c r="P113" s="347"/>
      <c r="Q113" s="347"/>
      <c r="R113" s="348"/>
      <c r="S113" s="392"/>
      <c r="T113" s="393"/>
      <c r="U113" s="254"/>
      <c r="V113" s="326"/>
      <c r="W113" s="326"/>
      <c r="X113" s="327"/>
      <c r="AA113" s="216"/>
      <c r="AB113" s="353"/>
      <c r="AC113" s="216"/>
      <c r="AD113" s="216"/>
      <c r="AE113" s="216"/>
      <c r="AF113" s="216"/>
      <c r="AG113" s="216"/>
      <c r="AH113" s="216"/>
      <c r="AI113" s="216"/>
      <c r="AJ113" s="216"/>
      <c r="AM113" s="216"/>
      <c r="AN113" s="216"/>
    </row>
    <row r="114" spans="1:40" ht="20.25" customHeight="1" x14ac:dyDescent="0.35">
      <c r="A114" s="216"/>
      <c r="B114" s="317"/>
      <c r="C114" s="215"/>
      <c r="D114" s="215"/>
      <c r="E114" s="318"/>
      <c r="F114" s="328"/>
      <c r="G114" s="320"/>
      <c r="H114" s="344"/>
      <c r="I114" s="321"/>
      <c r="J114" s="274"/>
      <c r="K114" s="345"/>
      <c r="L114" s="345"/>
      <c r="M114" s="345"/>
      <c r="N114" s="346"/>
      <c r="O114" s="347"/>
      <c r="P114" s="347"/>
      <c r="Q114" s="347"/>
      <c r="R114" s="348"/>
      <c r="S114" s="392"/>
      <c r="T114" s="393"/>
      <c r="U114" s="254"/>
      <c r="V114" s="326"/>
      <c r="W114" s="326"/>
      <c r="X114" s="327"/>
      <c r="AA114" s="216"/>
      <c r="AB114" s="353"/>
      <c r="AC114" s="216"/>
      <c r="AD114" s="216"/>
      <c r="AE114" s="216"/>
      <c r="AF114" s="216"/>
      <c r="AG114" s="216"/>
      <c r="AH114" s="216"/>
      <c r="AI114" s="216"/>
      <c r="AJ114" s="216"/>
      <c r="AM114" s="216"/>
      <c r="AN114" s="216"/>
    </row>
    <row r="115" spans="1:40" ht="20.25" customHeight="1" x14ac:dyDescent="0.35">
      <c r="A115" s="216"/>
      <c r="B115" s="317"/>
      <c r="C115" s="215"/>
      <c r="D115" s="215"/>
      <c r="E115" s="318"/>
      <c r="F115" s="328"/>
      <c r="G115" s="320"/>
      <c r="H115" s="344"/>
      <c r="I115" s="321"/>
      <c r="J115" s="274"/>
      <c r="K115" s="345"/>
      <c r="L115" s="345"/>
      <c r="M115" s="345"/>
      <c r="N115" s="346"/>
      <c r="O115" s="347"/>
      <c r="P115" s="347"/>
      <c r="Q115" s="347"/>
      <c r="R115" s="348"/>
      <c r="S115" s="392"/>
      <c r="T115" s="393"/>
      <c r="U115" s="254"/>
      <c r="V115" s="326"/>
      <c r="W115" s="326"/>
      <c r="X115" s="327"/>
      <c r="AA115" s="216"/>
      <c r="AB115" s="353"/>
      <c r="AC115" s="216"/>
      <c r="AD115" s="216"/>
      <c r="AE115" s="216"/>
      <c r="AF115" s="216"/>
      <c r="AG115" s="216"/>
      <c r="AH115" s="216"/>
      <c r="AI115" s="216"/>
      <c r="AJ115" s="216"/>
      <c r="AM115" s="216"/>
      <c r="AN115" s="216"/>
    </row>
    <row r="116" spans="1:40" ht="20.25" customHeight="1" x14ac:dyDescent="0.35">
      <c r="A116" s="216"/>
      <c r="B116" s="317"/>
      <c r="C116" s="215"/>
      <c r="D116" s="215"/>
      <c r="E116" s="318"/>
      <c r="F116" s="328"/>
      <c r="G116" s="320"/>
      <c r="H116" s="344"/>
      <c r="I116" s="321"/>
      <c r="J116" s="274"/>
      <c r="K116" s="345"/>
      <c r="L116" s="345"/>
      <c r="M116" s="345"/>
      <c r="N116" s="346"/>
      <c r="O116" s="347"/>
      <c r="P116" s="347"/>
      <c r="Q116" s="347"/>
      <c r="R116" s="348"/>
      <c r="S116" s="392"/>
      <c r="T116" s="393"/>
      <c r="U116" s="254"/>
      <c r="V116" s="326"/>
      <c r="W116" s="326"/>
      <c r="X116" s="327"/>
      <c r="AA116" s="216"/>
      <c r="AB116" s="353"/>
      <c r="AC116" s="216"/>
      <c r="AD116" s="216"/>
      <c r="AE116" s="216"/>
      <c r="AF116" s="216"/>
      <c r="AG116" s="216"/>
      <c r="AH116" s="216"/>
      <c r="AI116" s="216"/>
      <c r="AJ116" s="216"/>
      <c r="AM116" s="216"/>
      <c r="AN116" s="216"/>
    </row>
    <row r="117" spans="1:40" ht="20.25" customHeight="1" x14ac:dyDescent="0.35">
      <c r="A117" s="216"/>
      <c r="B117" s="317"/>
      <c r="C117" s="215"/>
      <c r="D117" s="215"/>
      <c r="E117" s="318"/>
      <c r="F117" s="328"/>
      <c r="G117" s="320"/>
      <c r="H117" s="344"/>
      <c r="I117" s="321"/>
      <c r="J117" s="274"/>
      <c r="K117" s="345"/>
      <c r="L117" s="345"/>
      <c r="M117" s="345"/>
      <c r="N117" s="346"/>
      <c r="O117" s="347"/>
      <c r="P117" s="347"/>
      <c r="Q117" s="347"/>
      <c r="R117" s="348"/>
      <c r="S117" s="392"/>
      <c r="T117" s="393"/>
      <c r="U117" s="254"/>
      <c r="V117" s="326"/>
      <c r="W117" s="326"/>
      <c r="X117" s="327"/>
      <c r="AA117" s="216"/>
      <c r="AB117" s="353"/>
      <c r="AC117" s="216"/>
      <c r="AD117" s="216"/>
      <c r="AE117" s="216"/>
      <c r="AF117" s="216"/>
      <c r="AG117" s="216"/>
      <c r="AH117" s="216"/>
      <c r="AI117" s="216"/>
      <c r="AJ117" s="216"/>
      <c r="AM117" s="216"/>
      <c r="AN117" s="216"/>
    </row>
    <row r="118" spans="1:40" ht="20.25" customHeight="1" x14ac:dyDescent="0.35">
      <c r="A118" s="216"/>
      <c r="B118" s="317"/>
      <c r="C118" s="215"/>
      <c r="D118" s="215"/>
      <c r="E118" s="318"/>
      <c r="F118" s="328"/>
      <c r="G118" s="320"/>
      <c r="H118" s="344"/>
      <c r="I118" s="321"/>
      <c r="J118" s="274"/>
      <c r="K118" s="345"/>
      <c r="L118" s="345"/>
      <c r="M118" s="345"/>
      <c r="N118" s="346"/>
      <c r="O118" s="347"/>
      <c r="P118" s="347"/>
      <c r="Q118" s="347"/>
      <c r="R118" s="348"/>
      <c r="S118" s="392"/>
      <c r="T118" s="393"/>
      <c r="U118" s="254"/>
      <c r="V118" s="326"/>
      <c r="W118" s="326"/>
      <c r="X118" s="327"/>
      <c r="AA118" s="216"/>
      <c r="AB118" s="353"/>
      <c r="AC118" s="216"/>
      <c r="AD118" s="216"/>
      <c r="AE118" s="216"/>
      <c r="AF118" s="216"/>
      <c r="AG118" s="216"/>
      <c r="AH118" s="216"/>
      <c r="AI118" s="216"/>
      <c r="AJ118" s="216"/>
      <c r="AM118" s="216"/>
      <c r="AN118" s="216"/>
    </row>
    <row r="119" spans="1:40" ht="20.25" customHeight="1" x14ac:dyDescent="0.35">
      <c r="A119" s="216"/>
      <c r="B119" s="317"/>
      <c r="C119" s="215"/>
      <c r="D119" s="215"/>
      <c r="E119" s="318"/>
      <c r="F119" s="328"/>
      <c r="G119" s="320"/>
      <c r="H119" s="344"/>
      <c r="I119" s="321"/>
      <c r="J119" s="274"/>
      <c r="K119" s="345"/>
      <c r="L119" s="345"/>
      <c r="M119" s="345"/>
      <c r="N119" s="346"/>
      <c r="O119" s="347"/>
      <c r="P119" s="347"/>
      <c r="Q119" s="347"/>
      <c r="R119" s="348"/>
      <c r="S119" s="392"/>
      <c r="T119" s="393"/>
      <c r="U119" s="254"/>
      <c r="V119" s="326"/>
      <c r="W119" s="326"/>
      <c r="X119" s="327"/>
      <c r="AA119" s="216"/>
      <c r="AB119" s="353"/>
      <c r="AC119" s="216"/>
      <c r="AD119" s="216"/>
      <c r="AE119" s="216"/>
      <c r="AF119" s="216"/>
      <c r="AG119" s="216"/>
      <c r="AH119" s="216"/>
      <c r="AI119" s="216"/>
      <c r="AJ119" s="216"/>
      <c r="AM119" s="216"/>
      <c r="AN119" s="216"/>
    </row>
    <row r="120" spans="1:40" ht="20.25" customHeight="1" x14ac:dyDescent="0.35">
      <c r="A120" s="216"/>
      <c r="B120" s="317"/>
      <c r="C120" s="215"/>
      <c r="D120" s="215"/>
      <c r="E120" s="318"/>
      <c r="F120" s="328"/>
      <c r="G120" s="320"/>
      <c r="H120" s="344"/>
      <c r="I120" s="321"/>
      <c r="J120" s="274"/>
      <c r="K120" s="345"/>
      <c r="L120" s="345"/>
      <c r="M120" s="345"/>
      <c r="N120" s="346"/>
      <c r="O120" s="347"/>
      <c r="P120" s="347"/>
      <c r="Q120" s="347"/>
      <c r="R120" s="348"/>
      <c r="S120" s="392"/>
      <c r="T120" s="393"/>
      <c r="U120" s="254"/>
      <c r="V120" s="326"/>
      <c r="W120" s="326"/>
      <c r="X120" s="327"/>
      <c r="AA120" s="216"/>
      <c r="AB120" s="353"/>
      <c r="AC120" s="216"/>
      <c r="AD120" s="216"/>
      <c r="AE120" s="216"/>
      <c r="AF120" s="216"/>
      <c r="AG120" s="216"/>
      <c r="AH120" s="216"/>
      <c r="AI120" s="216"/>
      <c r="AJ120" s="216"/>
      <c r="AM120" s="216"/>
      <c r="AN120" s="216"/>
    </row>
    <row r="121" spans="1:40" ht="20.25" customHeight="1" x14ac:dyDescent="0.35">
      <c r="A121" s="216"/>
      <c r="B121" s="317"/>
      <c r="C121" s="215"/>
      <c r="D121" s="215"/>
      <c r="E121" s="318"/>
      <c r="F121" s="328"/>
      <c r="G121" s="320"/>
      <c r="H121" s="344"/>
      <c r="I121" s="321"/>
      <c r="J121" s="274"/>
      <c r="K121" s="345"/>
      <c r="L121" s="345"/>
      <c r="M121" s="345"/>
      <c r="N121" s="346"/>
      <c r="O121" s="347"/>
      <c r="P121" s="347"/>
      <c r="Q121" s="347"/>
      <c r="R121" s="348"/>
      <c r="S121" s="392"/>
      <c r="T121" s="393"/>
      <c r="U121" s="254"/>
      <c r="V121" s="326"/>
      <c r="W121" s="326"/>
      <c r="X121" s="327"/>
      <c r="AA121" s="216"/>
      <c r="AB121" s="353"/>
      <c r="AC121" s="216"/>
      <c r="AD121" s="216"/>
      <c r="AE121" s="216"/>
      <c r="AF121" s="216"/>
      <c r="AG121" s="216"/>
      <c r="AH121" s="216"/>
      <c r="AI121" s="216"/>
      <c r="AJ121" s="216"/>
      <c r="AM121" s="216"/>
      <c r="AN121" s="216"/>
    </row>
    <row r="122" spans="1:40" ht="20.25" customHeight="1" x14ac:dyDescent="0.35">
      <c r="A122" s="216"/>
      <c r="B122" s="317"/>
      <c r="C122" s="215"/>
      <c r="D122" s="215"/>
      <c r="E122" s="318"/>
      <c r="F122" s="328"/>
      <c r="G122" s="320"/>
      <c r="H122" s="344"/>
      <c r="I122" s="321"/>
      <c r="J122" s="274"/>
      <c r="K122" s="345"/>
      <c r="L122" s="345"/>
      <c r="M122" s="345"/>
      <c r="N122" s="346"/>
      <c r="O122" s="347"/>
      <c r="P122" s="347"/>
      <c r="Q122" s="347"/>
      <c r="R122" s="348"/>
      <c r="S122" s="392"/>
      <c r="T122" s="393"/>
      <c r="U122" s="254"/>
      <c r="V122" s="326"/>
      <c r="W122" s="326"/>
      <c r="X122" s="327"/>
      <c r="AA122" s="216"/>
      <c r="AB122" s="353"/>
      <c r="AC122" s="216"/>
      <c r="AD122" s="216"/>
      <c r="AE122" s="216"/>
      <c r="AF122" s="216"/>
      <c r="AG122" s="216"/>
      <c r="AH122" s="216"/>
      <c r="AI122" s="216"/>
      <c r="AJ122" s="216"/>
      <c r="AM122" s="216"/>
      <c r="AN122" s="216"/>
    </row>
    <row r="123" spans="1:40" ht="20.25" customHeight="1" x14ac:dyDescent="0.35">
      <c r="A123" s="216"/>
      <c r="B123" s="317"/>
      <c r="C123" s="215"/>
      <c r="D123" s="215"/>
      <c r="E123" s="318"/>
      <c r="F123" s="328"/>
      <c r="G123" s="320"/>
      <c r="H123" s="344"/>
      <c r="I123" s="321"/>
      <c r="J123" s="274"/>
      <c r="K123" s="345"/>
      <c r="L123" s="345"/>
      <c r="M123" s="345"/>
      <c r="N123" s="346"/>
      <c r="O123" s="347"/>
      <c r="P123" s="347"/>
      <c r="Q123" s="347"/>
      <c r="R123" s="348"/>
      <c r="S123" s="392"/>
      <c r="T123" s="393"/>
      <c r="U123" s="254"/>
      <c r="V123" s="326"/>
      <c r="W123" s="326"/>
      <c r="X123" s="327"/>
      <c r="AA123" s="216"/>
      <c r="AB123" s="353"/>
      <c r="AC123" s="216"/>
      <c r="AD123" s="216"/>
      <c r="AE123" s="216"/>
      <c r="AF123" s="216"/>
      <c r="AG123" s="216"/>
      <c r="AH123" s="216"/>
      <c r="AI123" s="216"/>
      <c r="AJ123" s="216"/>
      <c r="AM123" s="216"/>
      <c r="AN123" s="216"/>
    </row>
    <row r="124" spans="1:40" ht="20.25" customHeight="1" x14ac:dyDescent="0.35">
      <c r="A124" s="216"/>
      <c r="B124" s="345"/>
      <c r="C124" s="345"/>
      <c r="D124" s="345"/>
      <c r="E124" s="344"/>
      <c r="F124" s="357"/>
      <c r="G124" s="344"/>
      <c r="H124" s="344"/>
      <c r="I124" s="321"/>
      <c r="J124" s="274"/>
      <c r="K124" s="345"/>
      <c r="L124" s="345"/>
      <c r="M124" s="345"/>
      <c r="N124" s="346"/>
      <c r="O124" s="347"/>
      <c r="P124" s="347"/>
      <c r="Q124" s="347"/>
      <c r="R124" s="348"/>
      <c r="S124" s="392"/>
      <c r="T124" s="393"/>
      <c r="U124" s="254"/>
      <c r="V124" s="326"/>
      <c r="W124" s="326"/>
      <c r="X124" s="327"/>
      <c r="Y124" s="338"/>
      <c r="AA124" s="216"/>
      <c r="AB124" s="353"/>
      <c r="AC124" s="216"/>
      <c r="AD124" s="216"/>
      <c r="AE124" s="216"/>
      <c r="AF124" s="216"/>
      <c r="AG124" s="216"/>
      <c r="AH124" s="216"/>
      <c r="AI124" s="216"/>
      <c r="AJ124" s="216"/>
      <c r="AM124" s="216"/>
      <c r="AN124" s="216"/>
    </row>
    <row r="125" spans="1:40" ht="20.25" customHeight="1" x14ac:dyDescent="0.35">
      <c r="A125" s="303"/>
      <c r="B125" s="329"/>
      <c r="C125" s="329"/>
      <c r="D125" s="334"/>
      <c r="E125" s="339"/>
      <c r="F125" s="340"/>
      <c r="G125" s="339"/>
      <c r="H125" s="339"/>
      <c r="I125" s="340"/>
      <c r="J125" s="334"/>
      <c r="K125" s="330"/>
      <c r="L125" s="330"/>
      <c r="M125" s="330"/>
      <c r="N125" s="341"/>
      <c r="O125" s="336"/>
      <c r="P125" s="336"/>
      <c r="Q125" s="336"/>
      <c r="R125" s="337"/>
      <c r="S125" s="337"/>
      <c r="T125" s="337"/>
      <c r="U125" s="254"/>
      <c r="V125" s="326"/>
      <c r="W125" s="326"/>
      <c r="X125" s="327"/>
      <c r="AA125" s="216"/>
      <c r="AB125" s="353"/>
      <c r="AC125" s="216"/>
      <c r="AD125" s="216"/>
      <c r="AE125" s="216"/>
      <c r="AF125" s="216"/>
      <c r="AG125" s="216"/>
      <c r="AH125" s="216"/>
      <c r="AI125" s="216"/>
      <c r="AJ125" s="216"/>
      <c r="AM125" s="216"/>
      <c r="AN125" s="216"/>
    </row>
    <row r="126" spans="1:40" ht="20.25" customHeight="1" x14ac:dyDescent="0.35">
      <c r="A126" s="216"/>
      <c r="B126" s="317"/>
      <c r="C126" s="215"/>
      <c r="D126" s="215"/>
      <c r="E126" s="318"/>
      <c r="F126" s="328"/>
      <c r="G126" s="320"/>
      <c r="H126" s="344"/>
      <c r="I126" s="321"/>
      <c r="J126" s="274"/>
      <c r="K126" s="345"/>
      <c r="L126" s="345"/>
      <c r="M126" s="345"/>
      <c r="N126" s="346"/>
      <c r="O126" s="347"/>
      <c r="P126" s="347"/>
      <c r="Q126" s="347"/>
      <c r="R126" s="348"/>
      <c r="S126" s="392"/>
      <c r="T126" s="393"/>
      <c r="U126" s="254"/>
      <c r="V126" s="326"/>
      <c r="W126" s="326"/>
      <c r="X126" s="327"/>
      <c r="AA126" s="216"/>
      <c r="AB126" s="353"/>
      <c r="AC126" s="216"/>
      <c r="AD126" s="216"/>
      <c r="AE126" s="216"/>
      <c r="AF126" s="216"/>
      <c r="AG126" s="216"/>
      <c r="AH126" s="216"/>
      <c r="AI126" s="216"/>
      <c r="AJ126" s="216"/>
      <c r="AM126" s="216"/>
      <c r="AN126" s="216"/>
    </row>
    <row r="127" spans="1:40" ht="20.25" customHeight="1" x14ac:dyDescent="0.35">
      <c r="A127" s="216"/>
      <c r="B127" s="317"/>
      <c r="C127" s="215"/>
      <c r="D127" s="215"/>
      <c r="E127" s="318"/>
      <c r="F127" s="328"/>
      <c r="G127" s="320"/>
      <c r="H127" s="344"/>
      <c r="I127" s="321"/>
      <c r="J127" s="274"/>
      <c r="K127" s="345"/>
      <c r="L127" s="345"/>
      <c r="M127" s="345"/>
      <c r="N127" s="346"/>
      <c r="O127" s="347"/>
      <c r="P127" s="347"/>
      <c r="Q127" s="347"/>
      <c r="R127" s="348"/>
      <c r="S127" s="392"/>
      <c r="T127" s="393"/>
      <c r="U127" s="254"/>
      <c r="V127" s="326"/>
      <c r="W127" s="326"/>
      <c r="X127" s="327"/>
      <c r="AA127" s="216"/>
      <c r="AB127" s="353"/>
      <c r="AC127" s="216"/>
      <c r="AD127" s="216"/>
      <c r="AE127" s="216"/>
      <c r="AF127" s="216"/>
      <c r="AG127" s="216"/>
      <c r="AH127" s="216"/>
      <c r="AI127" s="216"/>
      <c r="AJ127" s="216"/>
      <c r="AM127" s="216"/>
      <c r="AN127" s="216"/>
    </row>
    <row r="128" spans="1:40" ht="20.25" customHeight="1" x14ac:dyDescent="0.35">
      <c r="A128" s="216"/>
      <c r="B128" s="317"/>
      <c r="C128" s="215"/>
      <c r="D128" s="215"/>
      <c r="E128" s="318"/>
      <c r="F128" s="328"/>
      <c r="G128" s="320"/>
      <c r="H128" s="344"/>
      <c r="I128" s="321"/>
      <c r="J128" s="274"/>
      <c r="K128" s="345"/>
      <c r="L128" s="345"/>
      <c r="M128" s="345"/>
      <c r="N128" s="346"/>
      <c r="O128" s="347"/>
      <c r="P128" s="347"/>
      <c r="Q128" s="347"/>
      <c r="R128" s="348"/>
      <c r="S128" s="392"/>
      <c r="T128" s="393"/>
      <c r="U128" s="254"/>
      <c r="V128" s="326"/>
      <c r="W128" s="326"/>
      <c r="X128" s="327"/>
      <c r="AA128" s="216"/>
      <c r="AB128" s="353"/>
      <c r="AC128" s="216"/>
      <c r="AD128" s="216"/>
      <c r="AE128" s="216"/>
      <c r="AF128" s="216"/>
      <c r="AG128" s="216"/>
      <c r="AH128" s="216"/>
      <c r="AI128" s="216"/>
      <c r="AJ128" s="216"/>
      <c r="AM128" s="216"/>
      <c r="AN128" s="216"/>
    </row>
    <row r="129" spans="1:40" ht="20.25" customHeight="1" x14ac:dyDescent="0.35">
      <c r="A129" s="216"/>
      <c r="B129" s="345"/>
      <c r="C129" s="215"/>
      <c r="D129" s="215"/>
      <c r="E129" s="318"/>
      <c r="F129" s="328"/>
      <c r="G129" s="320"/>
      <c r="H129" s="344"/>
      <c r="I129" s="321"/>
      <c r="J129" s="274"/>
      <c r="K129" s="345"/>
      <c r="L129" s="345"/>
      <c r="M129" s="345"/>
      <c r="N129" s="346"/>
      <c r="O129" s="347"/>
      <c r="P129" s="347"/>
      <c r="Q129" s="347"/>
      <c r="R129" s="348"/>
      <c r="S129" s="392"/>
      <c r="T129" s="393"/>
      <c r="U129" s="254"/>
      <c r="V129" s="326"/>
      <c r="W129" s="326"/>
      <c r="X129" s="327"/>
      <c r="AA129" s="216"/>
      <c r="AB129" s="353"/>
      <c r="AC129" s="216"/>
      <c r="AD129" s="216"/>
      <c r="AE129" s="216"/>
      <c r="AF129" s="216"/>
      <c r="AG129" s="216"/>
      <c r="AH129" s="216"/>
      <c r="AI129" s="216"/>
      <c r="AJ129" s="216"/>
      <c r="AM129" s="216"/>
      <c r="AN129" s="216"/>
    </row>
    <row r="130" spans="1:40" ht="20.25" customHeight="1" x14ac:dyDescent="0.35">
      <c r="A130" s="216"/>
      <c r="B130" s="345"/>
      <c r="C130" s="345"/>
      <c r="D130" s="345"/>
      <c r="E130" s="344"/>
      <c r="F130" s="357"/>
      <c r="G130" s="344"/>
      <c r="H130" s="344"/>
      <c r="I130" s="321"/>
      <c r="J130" s="274"/>
      <c r="K130" s="345"/>
      <c r="L130" s="345"/>
      <c r="M130" s="345"/>
      <c r="N130" s="346"/>
      <c r="O130" s="347"/>
      <c r="P130" s="347"/>
      <c r="Q130" s="347"/>
      <c r="R130" s="348"/>
      <c r="S130" s="392"/>
      <c r="T130" s="393"/>
      <c r="U130" s="254"/>
      <c r="V130" s="326"/>
      <c r="W130" s="326"/>
      <c r="X130" s="327"/>
      <c r="AA130" s="216"/>
      <c r="AB130" s="353"/>
      <c r="AC130" s="216"/>
      <c r="AD130" s="216"/>
      <c r="AE130" s="216"/>
      <c r="AF130" s="216"/>
      <c r="AG130" s="216"/>
      <c r="AH130" s="216"/>
      <c r="AI130" s="216"/>
      <c r="AJ130" s="216"/>
      <c r="AM130" s="216"/>
      <c r="AN130" s="216"/>
    </row>
    <row r="131" spans="1:40" ht="20.25" customHeight="1" x14ac:dyDescent="0.35">
      <c r="A131" s="303"/>
      <c r="B131" s="329"/>
      <c r="C131" s="329"/>
      <c r="D131" s="334"/>
      <c r="E131" s="339"/>
      <c r="F131" s="340"/>
      <c r="G131" s="339"/>
      <c r="H131" s="339"/>
      <c r="I131" s="340"/>
      <c r="J131" s="334"/>
      <c r="K131" s="330"/>
      <c r="L131" s="330"/>
      <c r="M131" s="330"/>
      <c r="N131" s="341"/>
      <c r="O131" s="336"/>
      <c r="P131" s="336"/>
      <c r="Q131" s="336"/>
      <c r="R131" s="337"/>
      <c r="S131" s="337"/>
      <c r="T131" s="337"/>
      <c r="U131" s="254"/>
      <c r="V131" s="326"/>
      <c r="W131" s="326"/>
      <c r="X131" s="327"/>
      <c r="AA131" s="216"/>
      <c r="AB131" s="353"/>
      <c r="AC131" s="216"/>
      <c r="AD131" s="216"/>
      <c r="AE131" s="216"/>
      <c r="AF131" s="216"/>
      <c r="AG131" s="216"/>
      <c r="AH131" s="216"/>
      <c r="AI131" s="216"/>
      <c r="AJ131" s="216"/>
      <c r="AM131" s="216"/>
      <c r="AN131" s="216"/>
    </row>
    <row r="132" spans="1:40" ht="20.25" customHeight="1" x14ac:dyDescent="0.35">
      <c r="A132" s="216"/>
      <c r="B132" s="359"/>
      <c r="C132" s="215"/>
      <c r="D132" s="215"/>
      <c r="E132" s="318"/>
      <c r="F132" s="328"/>
      <c r="G132" s="320"/>
      <c r="H132" s="344"/>
      <c r="I132" s="321"/>
      <c r="J132" s="274"/>
      <c r="K132" s="345"/>
      <c r="L132" s="345"/>
      <c r="M132" s="345"/>
      <c r="N132" s="346"/>
      <c r="O132" s="347"/>
      <c r="P132" s="347"/>
      <c r="Q132" s="347"/>
      <c r="R132" s="348"/>
      <c r="S132" s="392"/>
      <c r="T132" s="393"/>
      <c r="U132" s="254"/>
      <c r="V132" s="326"/>
      <c r="W132" s="326"/>
      <c r="X132" s="327"/>
      <c r="AA132" s="216"/>
      <c r="AB132" s="353"/>
      <c r="AC132" s="216"/>
      <c r="AD132" s="216"/>
      <c r="AE132" s="216"/>
      <c r="AF132" s="216"/>
      <c r="AG132" s="216"/>
      <c r="AH132" s="216"/>
      <c r="AI132" s="216"/>
      <c r="AJ132" s="216"/>
      <c r="AM132" s="216"/>
      <c r="AN132" s="216"/>
    </row>
    <row r="133" spans="1:40" ht="20.25" customHeight="1" x14ac:dyDescent="0.35">
      <c r="A133" s="216"/>
      <c r="B133" s="359"/>
      <c r="C133" s="215"/>
      <c r="D133" s="215"/>
      <c r="E133" s="318"/>
      <c r="F133" s="328"/>
      <c r="G133" s="320"/>
      <c r="H133" s="344"/>
      <c r="I133" s="321"/>
      <c r="J133" s="274"/>
      <c r="K133" s="345"/>
      <c r="L133" s="345"/>
      <c r="M133" s="345"/>
      <c r="N133" s="346"/>
      <c r="O133" s="347"/>
      <c r="P133" s="347"/>
      <c r="Q133" s="347"/>
      <c r="R133" s="348"/>
      <c r="S133" s="392"/>
      <c r="T133" s="393"/>
      <c r="U133" s="254"/>
      <c r="V133" s="326"/>
      <c r="W133" s="326"/>
      <c r="X133" s="327"/>
      <c r="Y133" s="338"/>
      <c r="AA133" s="216"/>
      <c r="AB133" s="353"/>
      <c r="AC133" s="216"/>
      <c r="AD133" s="216"/>
      <c r="AE133" s="216"/>
      <c r="AF133" s="216"/>
      <c r="AG133" s="216"/>
      <c r="AH133" s="216"/>
      <c r="AI133" s="216"/>
      <c r="AJ133" s="216"/>
      <c r="AM133" s="216"/>
      <c r="AN133" s="216"/>
    </row>
    <row r="134" spans="1:40" ht="20.25" customHeight="1" x14ac:dyDescent="0.35">
      <c r="A134" s="216"/>
      <c r="B134" s="359"/>
      <c r="C134" s="215"/>
      <c r="D134" s="345"/>
      <c r="E134" s="318"/>
      <c r="F134" s="328"/>
      <c r="G134" s="320"/>
      <c r="H134" s="344"/>
      <c r="I134" s="321"/>
      <c r="J134" s="274"/>
      <c r="K134" s="345"/>
      <c r="L134" s="345"/>
      <c r="M134" s="345"/>
      <c r="N134" s="346"/>
      <c r="O134" s="347"/>
      <c r="P134" s="347"/>
      <c r="Q134" s="347"/>
      <c r="R134" s="348"/>
      <c r="S134" s="392"/>
      <c r="T134" s="393"/>
      <c r="U134" s="254"/>
      <c r="V134" s="326"/>
      <c r="W134" s="326"/>
      <c r="X134" s="327"/>
      <c r="Y134" s="338"/>
      <c r="AA134" s="216"/>
      <c r="AB134" s="353"/>
      <c r="AC134" s="216"/>
      <c r="AD134" s="216"/>
      <c r="AE134" s="216"/>
      <c r="AF134" s="216"/>
      <c r="AG134" s="216"/>
      <c r="AH134" s="216"/>
      <c r="AI134" s="216"/>
      <c r="AJ134" s="216"/>
      <c r="AM134" s="216"/>
      <c r="AN134" s="216"/>
    </row>
    <row r="135" spans="1:40" ht="20.25" customHeight="1" x14ac:dyDescent="0.35">
      <c r="A135" s="216"/>
      <c r="B135" s="359"/>
      <c r="C135" s="215"/>
      <c r="D135" s="345"/>
      <c r="E135" s="318"/>
      <c r="F135" s="328"/>
      <c r="G135" s="320"/>
      <c r="H135" s="344"/>
      <c r="I135" s="321"/>
      <c r="J135" s="274"/>
      <c r="K135" s="345"/>
      <c r="L135" s="345"/>
      <c r="M135" s="345"/>
      <c r="N135" s="346"/>
      <c r="O135" s="347"/>
      <c r="P135" s="347"/>
      <c r="Q135" s="347"/>
      <c r="R135" s="348"/>
      <c r="S135" s="392"/>
      <c r="T135" s="393"/>
      <c r="U135" s="254"/>
      <c r="V135" s="326"/>
      <c r="W135" s="326"/>
      <c r="X135" s="327"/>
      <c r="Y135" s="338"/>
      <c r="AA135" s="216"/>
      <c r="AB135" s="353"/>
      <c r="AC135" s="216"/>
      <c r="AD135" s="216"/>
      <c r="AE135" s="216"/>
      <c r="AF135" s="216"/>
      <c r="AG135" s="216"/>
      <c r="AH135" s="216"/>
      <c r="AI135" s="216"/>
      <c r="AJ135" s="216"/>
      <c r="AM135" s="216"/>
      <c r="AN135" s="216"/>
    </row>
    <row r="136" spans="1:40" ht="20.25" customHeight="1" x14ac:dyDescent="0.35">
      <c r="A136" s="216"/>
      <c r="B136" s="359"/>
      <c r="C136" s="215"/>
      <c r="D136" s="345"/>
      <c r="E136" s="318"/>
      <c r="F136" s="328"/>
      <c r="G136" s="320"/>
      <c r="H136" s="344"/>
      <c r="I136" s="321"/>
      <c r="J136" s="274"/>
      <c r="K136" s="345"/>
      <c r="L136" s="345"/>
      <c r="M136" s="345"/>
      <c r="N136" s="346"/>
      <c r="O136" s="347"/>
      <c r="P136" s="347"/>
      <c r="Q136" s="347"/>
      <c r="R136" s="348"/>
      <c r="S136" s="392"/>
      <c r="T136" s="393"/>
      <c r="U136" s="254"/>
      <c r="V136" s="326"/>
      <c r="W136" s="326"/>
      <c r="X136" s="327"/>
      <c r="Y136" s="338"/>
      <c r="AA136" s="216"/>
      <c r="AB136" s="353"/>
      <c r="AC136" s="216"/>
      <c r="AD136" s="216"/>
      <c r="AE136" s="216"/>
      <c r="AF136" s="216"/>
      <c r="AG136" s="216"/>
      <c r="AH136" s="216"/>
      <c r="AI136" s="216"/>
      <c r="AJ136" s="216"/>
      <c r="AM136" s="216"/>
      <c r="AN136" s="216"/>
    </row>
    <row r="137" spans="1:40" ht="20.25" customHeight="1" x14ac:dyDescent="0.35">
      <c r="A137" s="216"/>
      <c r="B137" s="359"/>
      <c r="C137" s="215"/>
      <c r="D137" s="345"/>
      <c r="E137" s="318"/>
      <c r="F137" s="328"/>
      <c r="G137" s="320"/>
      <c r="H137" s="344"/>
      <c r="I137" s="321"/>
      <c r="J137" s="274"/>
      <c r="K137" s="345"/>
      <c r="L137" s="345"/>
      <c r="M137" s="345"/>
      <c r="N137" s="346"/>
      <c r="O137" s="347"/>
      <c r="P137" s="347"/>
      <c r="Q137" s="347"/>
      <c r="R137" s="348"/>
      <c r="S137" s="392"/>
      <c r="T137" s="393"/>
      <c r="U137" s="254"/>
      <c r="V137" s="326"/>
      <c r="W137" s="326"/>
      <c r="X137" s="327"/>
      <c r="Y137" s="338"/>
      <c r="AA137" s="216"/>
      <c r="AB137" s="353"/>
      <c r="AC137" s="216"/>
      <c r="AD137" s="216"/>
      <c r="AE137" s="216"/>
      <c r="AF137" s="216"/>
      <c r="AG137" s="216"/>
      <c r="AH137" s="216"/>
      <c r="AI137" s="216"/>
      <c r="AJ137" s="216"/>
      <c r="AM137" s="216"/>
      <c r="AN137" s="216"/>
    </row>
    <row r="138" spans="1:40" ht="20.25" customHeight="1" x14ac:dyDescent="0.35">
      <c r="A138" s="216"/>
      <c r="B138" s="345"/>
      <c r="C138" s="345"/>
      <c r="D138" s="345"/>
      <c r="E138" s="344"/>
      <c r="F138" s="328"/>
      <c r="G138" s="344"/>
      <c r="H138" s="344"/>
      <c r="I138" s="321"/>
      <c r="J138" s="274"/>
      <c r="K138" s="345"/>
      <c r="L138" s="345"/>
      <c r="M138" s="345"/>
      <c r="N138" s="346"/>
      <c r="O138" s="347"/>
      <c r="P138" s="347"/>
      <c r="Q138" s="347"/>
      <c r="R138" s="348"/>
      <c r="S138" s="392"/>
      <c r="T138" s="393"/>
      <c r="U138" s="254"/>
      <c r="V138" s="326"/>
      <c r="W138" s="326"/>
      <c r="X138" s="327"/>
      <c r="AA138" s="303"/>
      <c r="AB138" s="354"/>
      <c r="AC138" s="303"/>
      <c r="AD138" s="303"/>
      <c r="AE138" s="303"/>
      <c r="AF138" s="303"/>
      <c r="AG138" s="303"/>
      <c r="AH138" s="303"/>
      <c r="AI138" s="303"/>
      <c r="AJ138" s="303"/>
      <c r="AK138" s="355"/>
      <c r="AL138" s="356"/>
      <c r="AM138" s="216"/>
      <c r="AN138" s="216"/>
    </row>
    <row r="139" spans="1:40" ht="20.25" customHeight="1" x14ac:dyDescent="0.35">
      <c r="A139" s="216"/>
      <c r="B139" s="360"/>
      <c r="C139" s="360"/>
      <c r="D139" s="360"/>
      <c r="E139" s="361"/>
      <c r="F139" s="362"/>
      <c r="G139" s="361"/>
      <c r="H139" s="361"/>
      <c r="I139" s="363"/>
      <c r="J139" s="364"/>
      <c r="K139" s="364"/>
      <c r="L139" s="364"/>
      <c r="M139" s="364"/>
      <c r="N139" s="365"/>
      <c r="O139" s="366"/>
      <c r="P139" s="366"/>
      <c r="Q139" s="366"/>
      <c r="R139" s="367"/>
      <c r="S139" s="367"/>
      <c r="T139" s="367"/>
      <c r="U139" s="254"/>
      <c r="V139" s="326"/>
      <c r="W139" s="326"/>
      <c r="X139" s="327"/>
      <c r="AA139" s="216"/>
      <c r="AB139" s="353"/>
      <c r="AC139" s="216"/>
      <c r="AD139" s="216"/>
      <c r="AE139" s="216"/>
      <c r="AF139" s="216"/>
      <c r="AG139" s="216"/>
      <c r="AH139" s="216"/>
      <c r="AI139" s="216"/>
      <c r="AJ139" s="216"/>
      <c r="AM139" s="216"/>
      <c r="AN139" s="216"/>
    </row>
    <row r="140" spans="1:40" ht="20.25" customHeight="1" x14ac:dyDescent="0.35">
      <c r="A140" s="303"/>
      <c r="B140" s="329"/>
      <c r="C140" s="330"/>
      <c r="D140" s="330"/>
      <c r="E140" s="331"/>
      <c r="F140" s="332"/>
      <c r="G140" s="331"/>
      <c r="H140" s="331"/>
      <c r="I140" s="332"/>
      <c r="J140" s="334"/>
      <c r="K140" s="330"/>
      <c r="L140" s="330"/>
      <c r="M140" s="330"/>
      <c r="N140" s="341"/>
      <c r="O140" s="342"/>
      <c r="P140" s="342"/>
      <c r="Q140" s="342"/>
      <c r="R140" s="343"/>
      <c r="S140" s="392"/>
      <c r="T140" s="393"/>
      <c r="U140" s="254"/>
      <c r="V140" s="326"/>
      <c r="W140" s="326"/>
      <c r="X140" s="327"/>
      <c r="AA140" s="216"/>
      <c r="AB140" s="353"/>
      <c r="AC140" s="216"/>
      <c r="AD140" s="216"/>
      <c r="AE140" s="216"/>
      <c r="AF140" s="216"/>
      <c r="AG140" s="216"/>
      <c r="AH140" s="216"/>
      <c r="AI140" s="216"/>
      <c r="AJ140" s="216"/>
      <c r="AM140" s="216"/>
      <c r="AN140" s="216"/>
    </row>
    <row r="141" spans="1:40" ht="20.25" customHeight="1" x14ac:dyDescent="0.35">
      <c r="A141" s="216"/>
      <c r="B141" s="368"/>
      <c r="C141" s="215"/>
      <c r="D141" s="215"/>
      <c r="E141" s="318"/>
      <c r="F141" s="328"/>
      <c r="G141" s="320"/>
      <c r="H141" s="344"/>
      <c r="I141" s="321"/>
      <c r="J141" s="274"/>
      <c r="K141" s="345"/>
      <c r="L141" s="345"/>
      <c r="M141" s="345"/>
      <c r="N141" s="346"/>
      <c r="O141" s="347"/>
      <c r="P141" s="347"/>
      <c r="Q141" s="347"/>
      <c r="R141" s="348"/>
      <c r="S141" s="392"/>
      <c r="T141" s="393"/>
      <c r="U141" s="254"/>
      <c r="V141" s="326"/>
      <c r="W141" s="326"/>
      <c r="X141" s="327"/>
      <c r="AA141" s="216"/>
      <c r="AB141" s="353"/>
      <c r="AC141" s="216"/>
      <c r="AD141" s="216"/>
      <c r="AE141" s="216"/>
      <c r="AF141" s="216"/>
      <c r="AG141" s="216"/>
      <c r="AH141" s="216"/>
      <c r="AI141" s="216"/>
      <c r="AJ141" s="216"/>
      <c r="AM141" s="216"/>
      <c r="AN141" s="216"/>
    </row>
    <row r="142" spans="1:40" ht="20.25" customHeight="1" x14ac:dyDescent="0.35">
      <c r="A142" s="216"/>
      <c r="B142" s="368"/>
      <c r="C142" s="215"/>
      <c r="D142" s="215"/>
      <c r="E142" s="318"/>
      <c r="F142" s="328"/>
      <c r="G142" s="320"/>
      <c r="H142" s="344"/>
      <c r="I142" s="321"/>
      <c r="J142" s="274"/>
      <c r="K142" s="345"/>
      <c r="L142" s="345"/>
      <c r="M142" s="345"/>
      <c r="N142" s="346"/>
      <c r="O142" s="347"/>
      <c r="P142" s="347"/>
      <c r="Q142" s="347"/>
      <c r="R142" s="348"/>
      <c r="S142" s="392"/>
      <c r="T142" s="393"/>
      <c r="U142" s="254"/>
      <c r="V142" s="326"/>
      <c r="W142" s="326"/>
      <c r="X142" s="327"/>
      <c r="AA142" s="216"/>
      <c r="AB142" s="353"/>
      <c r="AC142" s="216"/>
      <c r="AD142" s="216"/>
      <c r="AE142" s="216"/>
      <c r="AF142" s="216"/>
      <c r="AG142" s="216"/>
      <c r="AH142" s="216"/>
      <c r="AI142" s="216"/>
      <c r="AJ142" s="216"/>
      <c r="AM142" s="216"/>
      <c r="AN142" s="216"/>
    </row>
    <row r="143" spans="1:40" ht="20.25" customHeight="1" x14ac:dyDescent="0.35">
      <c r="A143" s="216"/>
      <c r="B143" s="368"/>
      <c r="C143" s="215"/>
      <c r="D143" s="215"/>
      <c r="E143" s="318"/>
      <c r="F143" s="328"/>
      <c r="G143" s="320"/>
      <c r="H143" s="344"/>
      <c r="I143" s="321"/>
      <c r="J143" s="274"/>
      <c r="K143" s="345"/>
      <c r="L143" s="345"/>
      <c r="M143" s="345"/>
      <c r="N143" s="346"/>
      <c r="O143" s="347"/>
      <c r="P143" s="347"/>
      <c r="Q143" s="347"/>
      <c r="R143" s="348"/>
      <c r="S143" s="392"/>
      <c r="T143" s="393"/>
      <c r="U143" s="254"/>
      <c r="V143" s="326"/>
      <c r="W143" s="326"/>
      <c r="X143" s="327"/>
      <c r="AA143" s="216"/>
      <c r="AB143" s="353"/>
      <c r="AC143" s="216"/>
      <c r="AD143" s="216"/>
      <c r="AE143" s="216"/>
      <c r="AF143" s="216"/>
      <c r="AG143" s="216"/>
      <c r="AH143" s="216"/>
      <c r="AI143" s="216"/>
      <c r="AJ143" s="216"/>
      <c r="AM143" s="216"/>
      <c r="AN143" s="216"/>
    </row>
    <row r="144" spans="1:40" ht="20.25" customHeight="1" x14ac:dyDescent="0.35">
      <c r="A144" s="216"/>
      <c r="B144" s="368"/>
      <c r="C144" s="215"/>
      <c r="D144" s="215"/>
      <c r="E144" s="318"/>
      <c r="F144" s="328"/>
      <c r="G144" s="320"/>
      <c r="H144" s="344"/>
      <c r="I144" s="321"/>
      <c r="J144" s="274"/>
      <c r="K144" s="345"/>
      <c r="L144" s="345"/>
      <c r="M144" s="345"/>
      <c r="N144" s="346"/>
      <c r="O144" s="347"/>
      <c r="P144" s="347"/>
      <c r="Q144" s="347"/>
      <c r="R144" s="348"/>
      <c r="S144" s="392"/>
      <c r="T144" s="393"/>
      <c r="U144" s="254"/>
      <c r="V144" s="326"/>
      <c r="W144" s="326"/>
      <c r="X144" s="327"/>
      <c r="AA144" s="216"/>
      <c r="AB144" s="353"/>
      <c r="AC144" s="216"/>
      <c r="AD144" s="216"/>
      <c r="AE144" s="216"/>
      <c r="AF144" s="216"/>
      <c r="AG144" s="216"/>
      <c r="AH144" s="216"/>
      <c r="AI144" s="216"/>
      <c r="AJ144" s="216"/>
      <c r="AM144" s="216"/>
      <c r="AN144" s="216"/>
    </row>
    <row r="145" spans="1:40" ht="20.25" customHeight="1" x14ac:dyDescent="0.35">
      <c r="A145" s="216"/>
      <c r="B145" s="368"/>
      <c r="C145" s="215"/>
      <c r="D145" s="215"/>
      <c r="E145" s="318"/>
      <c r="F145" s="328"/>
      <c r="G145" s="320"/>
      <c r="H145" s="344"/>
      <c r="I145" s="321"/>
      <c r="J145" s="274"/>
      <c r="K145" s="345"/>
      <c r="L145" s="345"/>
      <c r="M145" s="345"/>
      <c r="N145" s="346"/>
      <c r="O145" s="347"/>
      <c r="P145" s="347"/>
      <c r="Q145" s="347"/>
      <c r="R145" s="348"/>
      <c r="S145" s="392"/>
      <c r="T145" s="393"/>
      <c r="U145" s="254"/>
      <c r="V145" s="326"/>
      <c r="W145" s="326"/>
      <c r="X145" s="327"/>
      <c r="AA145" s="216"/>
      <c r="AB145" s="353"/>
      <c r="AC145" s="216"/>
      <c r="AD145" s="216"/>
      <c r="AE145" s="216"/>
      <c r="AF145" s="216"/>
      <c r="AG145" s="216"/>
      <c r="AH145" s="216"/>
      <c r="AI145" s="216"/>
      <c r="AJ145" s="216"/>
      <c r="AM145" s="216"/>
      <c r="AN145" s="216"/>
    </row>
    <row r="146" spans="1:40" ht="20.25" customHeight="1" x14ac:dyDescent="0.35">
      <c r="A146" s="216"/>
      <c r="B146" s="368"/>
      <c r="C146" s="215"/>
      <c r="D146" s="215"/>
      <c r="E146" s="318"/>
      <c r="F146" s="328"/>
      <c r="G146" s="320"/>
      <c r="H146" s="344"/>
      <c r="I146" s="321"/>
      <c r="J146" s="274"/>
      <c r="K146" s="345"/>
      <c r="L146" s="345"/>
      <c r="M146" s="345"/>
      <c r="N146" s="346"/>
      <c r="O146" s="347"/>
      <c r="P146" s="347"/>
      <c r="Q146" s="347"/>
      <c r="R146" s="348"/>
      <c r="S146" s="392"/>
      <c r="T146" s="393"/>
      <c r="U146" s="254"/>
      <c r="V146" s="326"/>
      <c r="W146" s="326"/>
      <c r="X146" s="327"/>
      <c r="AA146" s="216"/>
      <c r="AB146" s="353"/>
      <c r="AC146" s="216"/>
      <c r="AD146" s="216"/>
      <c r="AE146" s="216"/>
      <c r="AF146" s="216"/>
      <c r="AG146" s="216"/>
      <c r="AH146" s="216"/>
      <c r="AI146" s="216"/>
      <c r="AJ146" s="216"/>
      <c r="AM146" s="216"/>
      <c r="AN146" s="216"/>
    </row>
    <row r="147" spans="1:40" ht="20.25" customHeight="1" x14ac:dyDescent="0.35">
      <c r="A147" s="216"/>
      <c r="B147" s="368"/>
      <c r="C147" s="215"/>
      <c r="D147" s="215"/>
      <c r="E147" s="318"/>
      <c r="F147" s="328"/>
      <c r="G147" s="320"/>
      <c r="H147" s="344"/>
      <c r="I147" s="321"/>
      <c r="J147" s="274"/>
      <c r="K147" s="345"/>
      <c r="L147" s="345"/>
      <c r="M147" s="345"/>
      <c r="N147" s="346"/>
      <c r="O147" s="347"/>
      <c r="P147" s="347"/>
      <c r="Q147" s="347"/>
      <c r="R147" s="348"/>
      <c r="S147" s="392"/>
      <c r="T147" s="393"/>
      <c r="U147" s="254"/>
      <c r="V147" s="326"/>
      <c r="W147" s="326"/>
      <c r="X147" s="327"/>
      <c r="AA147" s="216"/>
      <c r="AB147" s="353"/>
      <c r="AC147" s="216"/>
      <c r="AD147" s="216"/>
      <c r="AE147" s="216"/>
      <c r="AF147" s="216"/>
      <c r="AG147" s="216"/>
      <c r="AH147" s="216"/>
      <c r="AI147" s="216"/>
      <c r="AJ147" s="216"/>
      <c r="AM147" s="216"/>
      <c r="AN147" s="216"/>
    </row>
    <row r="148" spans="1:40" s="316" customFormat="1" ht="20.25" customHeight="1" x14ac:dyDescent="0.35">
      <c r="A148" s="216"/>
      <c r="B148" s="368"/>
      <c r="C148" s="215"/>
      <c r="D148" s="215"/>
      <c r="E148" s="318"/>
      <c r="F148" s="328"/>
      <c r="G148" s="320"/>
      <c r="H148" s="344"/>
      <c r="I148" s="321"/>
      <c r="J148" s="274"/>
      <c r="K148" s="345"/>
      <c r="L148" s="345"/>
      <c r="M148" s="345"/>
      <c r="N148" s="346"/>
      <c r="O148" s="347"/>
      <c r="P148" s="347"/>
      <c r="Q148" s="347"/>
      <c r="R148" s="348"/>
      <c r="S148" s="392"/>
      <c r="T148" s="393"/>
      <c r="U148" s="254"/>
      <c r="V148" s="326"/>
      <c r="W148" s="326"/>
      <c r="X148" s="327"/>
      <c r="Y148" s="224"/>
      <c r="Z148" s="418"/>
      <c r="AA148" s="216"/>
      <c r="AB148" s="353"/>
      <c r="AC148" s="216"/>
      <c r="AD148" s="216"/>
      <c r="AE148" s="216"/>
      <c r="AF148" s="216"/>
      <c r="AG148" s="216"/>
      <c r="AH148" s="216"/>
      <c r="AI148" s="216"/>
      <c r="AJ148" s="216"/>
      <c r="AK148" s="225"/>
      <c r="AL148" s="226"/>
      <c r="AM148" s="303"/>
      <c r="AN148" s="303"/>
    </row>
    <row r="149" spans="1:40" s="316" customFormat="1" ht="20.25" customHeight="1" x14ac:dyDescent="0.35">
      <c r="A149" s="216"/>
      <c r="B149" s="368"/>
      <c r="C149" s="215"/>
      <c r="D149" s="215"/>
      <c r="E149" s="318"/>
      <c r="F149" s="328"/>
      <c r="G149" s="320"/>
      <c r="H149" s="344"/>
      <c r="I149" s="321"/>
      <c r="J149" s="274"/>
      <c r="K149" s="345"/>
      <c r="L149" s="345"/>
      <c r="M149" s="345"/>
      <c r="N149" s="346"/>
      <c r="O149" s="347"/>
      <c r="P149" s="347"/>
      <c r="Q149" s="347"/>
      <c r="R149" s="348"/>
      <c r="S149" s="392"/>
      <c r="T149" s="393"/>
      <c r="U149" s="254"/>
      <c r="V149" s="326"/>
      <c r="W149" s="326"/>
      <c r="X149" s="327"/>
      <c r="Y149" s="224"/>
      <c r="Z149" s="418"/>
      <c r="AA149" s="216"/>
      <c r="AB149" s="353"/>
      <c r="AC149" s="216"/>
      <c r="AD149" s="216"/>
      <c r="AE149" s="216"/>
      <c r="AF149" s="216"/>
      <c r="AG149" s="216"/>
      <c r="AH149" s="216"/>
      <c r="AI149" s="216"/>
      <c r="AJ149" s="216"/>
      <c r="AK149" s="225"/>
      <c r="AL149" s="226"/>
      <c r="AM149" s="303"/>
      <c r="AN149" s="303"/>
    </row>
    <row r="150" spans="1:40" s="316" customFormat="1" ht="20.25" customHeight="1" x14ac:dyDescent="0.35">
      <c r="A150" s="216"/>
      <c r="B150" s="368"/>
      <c r="C150" s="215"/>
      <c r="D150" s="215"/>
      <c r="E150" s="318"/>
      <c r="F150" s="328"/>
      <c r="G150" s="320"/>
      <c r="H150" s="344"/>
      <c r="I150" s="321"/>
      <c r="J150" s="274"/>
      <c r="K150" s="345"/>
      <c r="L150" s="345"/>
      <c r="M150" s="345"/>
      <c r="N150" s="346"/>
      <c r="O150" s="347"/>
      <c r="P150" s="347"/>
      <c r="Q150" s="347"/>
      <c r="R150" s="348"/>
      <c r="S150" s="392"/>
      <c r="T150" s="393"/>
      <c r="U150" s="254"/>
      <c r="V150" s="326"/>
      <c r="W150" s="326"/>
      <c r="X150" s="327"/>
      <c r="Y150" s="224"/>
      <c r="Z150" s="418"/>
      <c r="AA150" s="216"/>
      <c r="AB150" s="353"/>
      <c r="AC150" s="216"/>
      <c r="AD150" s="216"/>
      <c r="AE150" s="216"/>
      <c r="AF150" s="216"/>
      <c r="AG150" s="216"/>
      <c r="AH150" s="216"/>
      <c r="AI150" s="216"/>
      <c r="AJ150" s="216"/>
      <c r="AK150" s="225"/>
      <c r="AL150" s="226"/>
      <c r="AM150" s="303"/>
      <c r="AN150" s="303"/>
    </row>
    <row r="151" spans="1:40" s="316" customFormat="1" ht="20.25" customHeight="1" x14ac:dyDescent="0.35">
      <c r="A151" s="216"/>
      <c r="B151" s="368"/>
      <c r="C151" s="215"/>
      <c r="D151" s="215"/>
      <c r="E151" s="318"/>
      <c r="F151" s="328"/>
      <c r="G151" s="320"/>
      <c r="H151" s="344"/>
      <c r="I151" s="321"/>
      <c r="J151" s="274"/>
      <c r="K151" s="345"/>
      <c r="L151" s="345"/>
      <c r="M151" s="345"/>
      <c r="N151" s="346"/>
      <c r="O151" s="347"/>
      <c r="P151" s="347"/>
      <c r="Q151" s="347"/>
      <c r="R151" s="348"/>
      <c r="S151" s="392"/>
      <c r="T151" s="393"/>
      <c r="U151" s="254"/>
      <c r="V151" s="326"/>
      <c r="W151" s="326"/>
      <c r="X151" s="327"/>
      <c r="Y151" s="224"/>
      <c r="Z151" s="418"/>
      <c r="AA151" s="216"/>
      <c r="AB151" s="353"/>
      <c r="AC151" s="216"/>
      <c r="AD151" s="216"/>
      <c r="AE151" s="216"/>
      <c r="AF151" s="216"/>
      <c r="AG151" s="216"/>
      <c r="AH151" s="216"/>
      <c r="AI151" s="216"/>
      <c r="AJ151" s="216"/>
      <c r="AK151" s="225"/>
      <c r="AL151" s="226"/>
      <c r="AM151" s="303"/>
      <c r="AN151" s="303"/>
    </row>
    <row r="152" spans="1:40" ht="20.25" customHeight="1" x14ac:dyDescent="0.35">
      <c r="A152" s="216"/>
      <c r="B152" s="368"/>
      <c r="C152" s="215"/>
      <c r="D152" s="215"/>
      <c r="E152" s="318"/>
      <c r="F152" s="328"/>
      <c r="G152" s="320"/>
      <c r="H152" s="344"/>
      <c r="I152" s="321"/>
      <c r="J152" s="274"/>
      <c r="K152" s="345"/>
      <c r="L152" s="345"/>
      <c r="M152" s="345"/>
      <c r="N152" s="346"/>
      <c r="O152" s="347"/>
      <c r="P152" s="347"/>
      <c r="Q152" s="347"/>
      <c r="R152" s="348"/>
      <c r="S152" s="392"/>
      <c r="T152" s="393"/>
      <c r="U152" s="254"/>
      <c r="V152" s="326"/>
      <c r="W152" s="326"/>
      <c r="X152" s="327"/>
      <c r="AA152" s="303"/>
      <c r="AB152" s="354"/>
      <c r="AC152" s="303"/>
      <c r="AD152" s="303"/>
      <c r="AE152" s="303"/>
      <c r="AF152" s="303"/>
      <c r="AG152" s="303"/>
      <c r="AH152" s="303"/>
      <c r="AI152" s="303"/>
      <c r="AJ152" s="303"/>
      <c r="AK152" s="355"/>
      <c r="AL152" s="356"/>
      <c r="AM152" s="216"/>
      <c r="AN152" s="216"/>
    </row>
    <row r="153" spans="1:40" ht="20.25" customHeight="1" x14ac:dyDescent="0.35">
      <c r="A153" s="216"/>
      <c r="B153" s="368"/>
      <c r="C153" s="368"/>
      <c r="D153" s="345"/>
      <c r="E153" s="318"/>
      <c r="F153" s="328"/>
      <c r="G153" s="320"/>
      <c r="H153" s="344"/>
      <c r="I153" s="321"/>
      <c r="J153" s="274"/>
      <c r="K153" s="345"/>
      <c r="L153" s="345"/>
      <c r="M153" s="345"/>
      <c r="N153" s="346"/>
      <c r="O153" s="347"/>
      <c r="P153" s="347"/>
      <c r="Q153" s="347"/>
      <c r="R153" s="348"/>
      <c r="S153" s="392"/>
      <c r="T153" s="393"/>
      <c r="U153" s="254"/>
      <c r="V153" s="326"/>
      <c r="W153" s="326"/>
      <c r="X153" s="327"/>
      <c r="AA153" s="216"/>
      <c r="AB153" s="353"/>
      <c r="AC153" s="216"/>
      <c r="AD153" s="216"/>
      <c r="AE153" s="216"/>
      <c r="AF153" s="216"/>
      <c r="AG153" s="216"/>
      <c r="AH153" s="216"/>
      <c r="AI153" s="216"/>
      <c r="AJ153" s="216"/>
      <c r="AM153" s="216"/>
      <c r="AN153" s="216"/>
    </row>
    <row r="154" spans="1:40" ht="20.25" customHeight="1" x14ac:dyDescent="0.35">
      <c r="A154" s="303"/>
      <c r="B154" s="329"/>
      <c r="C154" s="330"/>
      <c r="D154" s="330"/>
      <c r="E154" s="331"/>
      <c r="F154" s="332"/>
      <c r="G154" s="331"/>
      <c r="H154" s="331"/>
      <c r="I154" s="332"/>
      <c r="J154" s="334"/>
      <c r="K154" s="330"/>
      <c r="L154" s="330"/>
      <c r="M154" s="330"/>
      <c r="N154" s="341"/>
      <c r="O154" s="342"/>
      <c r="P154" s="342"/>
      <c r="Q154" s="342"/>
      <c r="R154" s="343"/>
      <c r="S154" s="343"/>
      <c r="T154" s="343"/>
      <c r="U154" s="254"/>
      <c r="V154" s="326"/>
      <c r="W154" s="326"/>
      <c r="X154" s="327"/>
      <c r="Y154" s="338"/>
      <c r="AA154" s="216"/>
      <c r="AB154" s="353"/>
      <c r="AC154" s="216"/>
      <c r="AD154" s="216"/>
      <c r="AE154" s="216"/>
      <c r="AF154" s="216"/>
      <c r="AG154" s="216"/>
      <c r="AH154" s="216"/>
      <c r="AI154" s="216"/>
      <c r="AJ154" s="216"/>
      <c r="AM154" s="216"/>
      <c r="AN154" s="216"/>
    </row>
    <row r="155" spans="1:40" ht="20.25" customHeight="1" x14ac:dyDescent="0.35">
      <c r="A155" s="216"/>
      <c r="B155" s="359"/>
      <c r="C155" s="215"/>
      <c r="D155" s="215"/>
      <c r="E155" s="318"/>
      <c r="F155" s="328"/>
      <c r="G155" s="320"/>
      <c r="H155" s="344"/>
      <c r="I155" s="321"/>
      <c r="J155" s="274"/>
      <c r="K155" s="345"/>
      <c r="L155" s="345"/>
      <c r="M155" s="345"/>
      <c r="N155" s="346"/>
      <c r="O155" s="347"/>
      <c r="P155" s="347"/>
      <c r="Q155" s="347"/>
      <c r="R155" s="348"/>
      <c r="S155" s="392"/>
      <c r="T155" s="393"/>
      <c r="U155" s="254"/>
      <c r="V155" s="326"/>
      <c r="W155" s="326"/>
      <c r="X155" s="327"/>
      <c r="Y155" s="338"/>
      <c r="AA155" s="216"/>
      <c r="AB155" s="353"/>
      <c r="AC155" s="216"/>
      <c r="AD155" s="216"/>
      <c r="AE155" s="216"/>
      <c r="AF155" s="216"/>
      <c r="AG155" s="216"/>
      <c r="AH155" s="216"/>
      <c r="AI155" s="216"/>
      <c r="AJ155" s="216"/>
      <c r="AM155" s="216"/>
      <c r="AN155" s="216"/>
    </row>
    <row r="156" spans="1:40" ht="20.25" customHeight="1" x14ac:dyDescent="0.35">
      <c r="A156" s="216"/>
      <c r="B156" s="359"/>
      <c r="C156" s="215"/>
      <c r="D156" s="215"/>
      <c r="E156" s="318"/>
      <c r="F156" s="328"/>
      <c r="G156" s="320"/>
      <c r="H156" s="344"/>
      <c r="I156" s="321"/>
      <c r="J156" s="274"/>
      <c r="K156" s="345"/>
      <c r="L156" s="345"/>
      <c r="M156" s="345"/>
      <c r="N156" s="346"/>
      <c r="O156" s="347"/>
      <c r="P156" s="347"/>
      <c r="Q156" s="347"/>
      <c r="R156" s="348"/>
      <c r="S156" s="392"/>
      <c r="T156" s="393"/>
      <c r="U156" s="254"/>
      <c r="V156" s="326"/>
      <c r="W156" s="326"/>
      <c r="X156" s="327"/>
      <c r="Y156" s="338"/>
      <c r="AA156" s="216"/>
      <c r="AB156" s="353"/>
      <c r="AC156" s="216"/>
      <c r="AD156" s="216"/>
      <c r="AE156" s="216"/>
      <c r="AF156" s="216"/>
      <c r="AG156" s="216"/>
      <c r="AH156" s="216"/>
      <c r="AI156" s="216"/>
      <c r="AJ156" s="216"/>
      <c r="AM156" s="216"/>
      <c r="AN156" s="216"/>
    </row>
    <row r="157" spans="1:40" ht="20.25" customHeight="1" x14ac:dyDescent="0.35">
      <c r="A157" s="216"/>
      <c r="B157" s="359"/>
      <c r="C157" s="215"/>
      <c r="D157" s="215"/>
      <c r="E157" s="318"/>
      <c r="F157" s="328"/>
      <c r="G157" s="320"/>
      <c r="H157" s="344"/>
      <c r="I157" s="321"/>
      <c r="J157" s="274"/>
      <c r="K157" s="345"/>
      <c r="L157" s="345"/>
      <c r="M157" s="345"/>
      <c r="N157" s="346"/>
      <c r="O157" s="347"/>
      <c r="P157" s="347"/>
      <c r="Q157" s="347"/>
      <c r="R157" s="348"/>
      <c r="S157" s="392"/>
      <c r="T157" s="393"/>
      <c r="U157" s="254"/>
      <c r="V157" s="326"/>
      <c r="W157" s="326"/>
      <c r="X157" s="327"/>
      <c r="Y157" s="338"/>
      <c r="AA157" s="216"/>
      <c r="AB157" s="353"/>
      <c r="AC157" s="216"/>
      <c r="AD157" s="216"/>
      <c r="AE157" s="216"/>
      <c r="AF157" s="216"/>
      <c r="AG157" s="216"/>
      <c r="AH157" s="216"/>
      <c r="AI157" s="216"/>
      <c r="AJ157" s="216"/>
      <c r="AM157" s="216"/>
      <c r="AN157" s="216"/>
    </row>
    <row r="158" spans="1:40" ht="20.25" customHeight="1" x14ac:dyDescent="0.35">
      <c r="A158" s="216"/>
      <c r="B158" s="359"/>
      <c r="C158" s="215"/>
      <c r="D158" s="215"/>
      <c r="E158" s="318"/>
      <c r="F158" s="328"/>
      <c r="G158" s="320"/>
      <c r="H158" s="344"/>
      <c r="I158" s="321"/>
      <c r="J158" s="274"/>
      <c r="K158" s="345"/>
      <c r="L158" s="345"/>
      <c r="M158" s="345"/>
      <c r="N158" s="346"/>
      <c r="O158" s="347"/>
      <c r="P158" s="347"/>
      <c r="Q158" s="347"/>
      <c r="R158" s="348"/>
      <c r="S158" s="392"/>
      <c r="T158" s="393"/>
      <c r="U158" s="254"/>
      <c r="V158" s="326"/>
      <c r="W158" s="326"/>
      <c r="X158" s="327"/>
      <c r="Y158" s="338"/>
      <c r="AA158" s="216"/>
      <c r="AB158" s="353"/>
      <c r="AC158" s="216"/>
      <c r="AD158" s="216"/>
      <c r="AE158" s="216"/>
      <c r="AF158" s="216"/>
      <c r="AG158" s="216"/>
      <c r="AH158" s="216"/>
      <c r="AI158" s="216"/>
      <c r="AJ158" s="216"/>
      <c r="AM158" s="216"/>
      <c r="AN158" s="216"/>
    </row>
    <row r="159" spans="1:40" ht="20.25" customHeight="1" x14ac:dyDescent="0.35">
      <c r="A159" s="216"/>
      <c r="B159" s="359"/>
      <c r="C159" s="215"/>
      <c r="D159" s="215"/>
      <c r="E159" s="318"/>
      <c r="F159" s="328"/>
      <c r="G159" s="320"/>
      <c r="H159" s="344"/>
      <c r="I159" s="321"/>
      <c r="J159" s="274"/>
      <c r="K159" s="345"/>
      <c r="L159" s="345"/>
      <c r="M159" s="345"/>
      <c r="N159" s="346"/>
      <c r="O159" s="347"/>
      <c r="P159" s="347"/>
      <c r="Q159" s="347"/>
      <c r="R159" s="348"/>
      <c r="S159" s="392"/>
      <c r="T159" s="393"/>
      <c r="U159" s="254"/>
      <c r="V159" s="326"/>
      <c r="W159" s="326"/>
      <c r="X159" s="327"/>
      <c r="Y159" s="338"/>
      <c r="AA159" s="216"/>
      <c r="AB159" s="353"/>
      <c r="AC159" s="216"/>
      <c r="AD159" s="216"/>
      <c r="AE159" s="216"/>
      <c r="AF159" s="216"/>
      <c r="AG159" s="216"/>
      <c r="AH159" s="216"/>
      <c r="AI159" s="216"/>
      <c r="AJ159" s="216"/>
      <c r="AM159" s="216"/>
      <c r="AN159" s="216"/>
    </row>
    <row r="160" spans="1:40" ht="20.25" customHeight="1" x14ac:dyDescent="0.35">
      <c r="A160" s="216"/>
      <c r="B160" s="359"/>
      <c r="C160" s="215"/>
      <c r="D160" s="215"/>
      <c r="E160" s="318"/>
      <c r="F160" s="328"/>
      <c r="G160" s="320"/>
      <c r="H160" s="344"/>
      <c r="I160" s="321"/>
      <c r="J160" s="274"/>
      <c r="K160" s="345"/>
      <c r="L160" s="345"/>
      <c r="M160" s="345"/>
      <c r="N160" s="346"/>
      <c r="O160" s="347"/>
      <c r="P160" s="347"/>
      <c r="Q160" s="347"/>
      <c r="R160" s="348"/>
      <c r="S160" s="392"/>
      <c r="T160" s="393"/>
      <c r="U160" s="254"/>
      <c r="V160" s="326"/>
      <c r="W160" s="326"/>
      <c r="X160" s="327"/>
      <c r="Y160" s="338"/>
      <c r="AA160" s="216"/>
      <c r="AB160" s="353"/>
      <c r="AC160" s="216"/>
      <c r="AD160" s="216"/>
      <c r="AE160" s="216"/>
      <c r="AF160" s="216"/>
      <c r="AG160" s="216"/>
      <c r="AH160" s="216"/>
      <c r="AI160" s="216"/>
      <c r="AJ160" s="216"/>
      <c r="AM160" s="216"/>
      <c r="AN160" s="216"/>
    </row>
    <row r="161" spans="1:40" ht="20.25" customHeight="1" x14ac:dyDescent="0.35">
      <c r="A161" s="216"/>
      <c r="B161" s="359"/>
      <c r="C161" s="215"/>
      <c r="D161" s="215"/>
      <c r="E161" s="318"/>
      <c r="F161" s="328"/>
      <c r="G161" s="320"/>
      <c r="H161" s="344"/>
      <c r="I161" s="321"/>
      <c r="J161" s="274"/>
      <c r="K161" s="345"/>
      <c r="L161" s="345"/>
      <c r="M161" s="345"/>
      <c r="N161" s="346"/>
      <c r="O161" s="347"/>
      <c r="P161" s="347"/>
      <c r="Q161" s="347"/>
      <c r="R161" s="348"/>
      <c r="S161" s="392"/>
      <c r="T161" s="393"/>
      <c r="U161" s="254"/>
      <c r="V161" s="326"/>
      <c r="W161" s="326"/>
      <c r="X161" s="327"/>
      <c r="AA161" s="216"/>
      <c r="AB161" s="353"/>
      <c r="AC161" s="216"/>
      <c r="AD161" s="216"/>
      <c r="AE161" s="216"/>
      <c r="AF161" s="216"/>
      <c r="AG161" s="216"/>
      <c r="AH161" s="216"/>
      <c r="AI161" s="216"/>
      <c r="AJ161" s="216"/>
      <c r="AM161" s="216"/>
      <c r="AN161" s="216"/>
    </row>
    <row r="162" spans="1:40" s="316" customFormat="1" ht="20.25" customHeight="1" x14ac:dyDescent="0.35">
      <c r="A162" s="216"/>
      <c r="B162" s="359"/>
      <c r="C162" s="215"/>
      <c r="D162" s="215"/>
      <c r="E162" s="318"/>
      <c r="F162" s="328"/>
      <c r="G162" s="320"/>
      <c r="H162" s="344"/>
      <c r="I162" s="321"/>
      <c r="J162" s="274"/>
      <c r="K162" s="345"/>
      <c r="L162" s="345"/>
      <c r="M162" s="345"/>
      <c r="N162" s="346"/>
      <c r="O162" s="347"/>
      <c r="P162" s="347"/>
      <c r="Q162" s="347"/>
      <c r="R162" s="348"/>
      <c r="S162" s="392"/>
      <c r="T162" s="393"/>
      <c r="U162" s="254"/>
      <c r="V162" s="326"/>
      <c r="W162" s="326"/>
      <c r="X162" s="327"/>
      <c r="Y162" s="224"/>
      <c r="Z162" s="418"/>
      <c r="AA162" s="216"/>
      <c r="AB162" s="353"/>
      <c r="AC162" s="216"/>
      <c r="AD162" s="216"/>
      <c r="AE162" s="216"/>
      <c r="AF162" s="216"/>
      <c r="AG162" s="216"/>
      <c r="AH162" s="216"/>
      <c r="AI162" s="216"/>
      <c r="AJ162" s="216"/>
      <c r="AK162" s="225"/>
      <c r="AL162" s="226"/>
      <c r="AM162" s="303"/>
      <c r="AN162" s="303"/>
    </row>
    <row r="163" spans="1:40" ht="20.25" customHeight="1" x14ac:dyDescent="0.35">
      <c r="A163" s="216"/>
      <c r="B163" s="368"/>
      <c r="C163" s="368"/>
      <c r="D163" s="345"/>
      <c r="E163" s="318"/>
      <c r="F163" s="328"/>
      <c r="G163" s="320"/>
      <c r="H163" s="344"/>
      <c r="I163" s="321"/>
      <c r="J163" s="274"/>
      <c r="K163" s="345"/>
      <c r="L163" s="345"/>
      <c r="M163" s="345"/>
      <c r="N163" s="346"/>
      <c r="O163" s="347"/>
      <c r="P163" s="347"/>
      <c r="Q163" s="347"/>
      <c r="R163" s="348"/>
      <c r="S163" s="392"/>
      <c r="T163" s="393"/>
      <c r="U163" s="254"/>
      <c r="V163" s="326"/>
      <c r="W163" s="326"/>
      <c r="X163" s="327"/>
      <c r="AA163" s="216"/>
      <c r="AB163" s="353"/>
      <c r="AC163" s="216"/>
      <c r="AD163" s="216"/>
      <c r="AE163" s="216"/>
      <c r="AF163" s="216"/>
      <c r="AG163" s="216"/>
      <c r="AH163" s="216"/>
      <c r="AI163" s="216"/>
      <c r="AJ163" s="216"/>
      <c r="AM163" s="216"/>
      <c r="AN163" s="216"/>
    </row>
    <row r="164" spans="1:40" ht="20.25" customHeight="1" x14ac:dyDescent="0.35">
      <c r="A164" s="303"/>
      <c r="B164" s="329"/>
      <c r="C164" s="330"/>
      <c r="D164" s="330"/>
      <c r="E164" s="331"/>
      <c r="F164" s="332"/>
      <c r="G164" s="331"/>
      <c r="H164" s="331"/>
      <c r="I164" s="332"/>
      <c r="J164" s="334"/>
      <c r="K164" s="330"/>
      <c r="L164" s="330"/>
      <c r="M164" s="330"/>
      <c r="N164" s="335"/>
      <c r="O164" s="336"/>
      <c r="P164" s="336"/>
      <c r="Q164" s="336"/>
      <c r="R164" s="337"/>
      <c r="S164" s="337"/>
      <c r="T164" s="337"/>
      <c r="U164" s="254"/>
      <c r="V164" s="326"/>
      <c r="W164" s="326"/>
      <c r="X164" s="327"/>
      <c r="AA164" s="216"/>
      <c r="AB164" s="353"/>
      <c r="AC164" s="216"/>
      <c r="AD164" s="216"/>
      <c r="AE164" s="216"/>
      <c r="AF164" s="216"/>
      <c r="AG164" s="216"/>
      <c r="AH164" s="216"/>
      <c r="AI164" s="216"/>
      <c r="AJ164" s="216"/>
      <c r="AM164" s="216"/>
      <c r="AN164" s="216"/>
    </row>
    <row r="165" spans="1:40" ht="20.25" customHeight="1" x14ac:dyDescent="0.35">
      <c r="A165" s="216"/>
      <c r="B165" s="359"/>
      <c r="C165" s="215"/>
      <c r="D165" s="215"/>
      <c r="E165" s="318"/>
      <c r="F165" s="328"/>
      <c r="G165" s="320"/>
      <c r="H165" s="344"/>
      <c r="I165" s="321"/>
      <c r="J165" s="274"/>
      <c r="K165" s="345"/>
      <c r="L165" s="345"/>
      <c r="M165" s="345"/>
      <c r="N165" s="346"/>
      <c r="O165" s="347"/>
      <c r="P165" s="347"/>
      <c r="Q165" s="347"/>
      <c r="R165" s="348"/>
      <c r="S165" s="392"/>
      <c r="T165" s="393"/>
      <c r="U165" s="254"/>
      <c r="V165" s="326"/>
      <c r="W165" s="326"/>
      <c r="X165" s="327"/>
      <c r="AA165" s="216"/>
      <c r="AB165" s="353"/>
      <c r="AC165" s="216"/>
      <c r="AD165" s="216"/>
      <c r="AE165" s="216"/>
      <c r="AF165" s="216"/>
      <c r="AG165" s="216"/>
      <c r="AH165" s="216"/>
      <c r="AI165" s="216"/>
      <c r="AJ165" s="216"/>
      <c r="AM165" s="216"/>
      <c r="AN165" s="216"/>
    </row>
    <row r="166" spans="1:40" ht="20.25" customHeight="1" x14ac:dyDescent="0.35">
      <c r="A166" s="216"/>
      <c r="B166" s="359"/>
      <c r="C166" s="215"/>
      <c r="D166" s="215"/>
      <c r="E166" s="318"/>
      <c r="F166" s="328"/>
      <c r="G166" s="320"/>
      <c r="H166" s="344"/>
      <c r="I166" s="321"/>
      <c r="J166" s="274"/>
      <c r="K166" s="345"/>
      <c r="L166" s="345"/>
      <c r="M166" s="345"/>
      <c r="N166" s="346"/>
      <c r="O166" s="347"/>
      <c r="P166" s="347"/>
      <c r="Q166" s="347"/>
      <c r="R166" s="348"/>
      <c r="S166" s="392"/>
      <c r="T166" s="393"/>
      <c r="U166" s="254"/>
      <c r="V166" s="326"/>
      <c r="W166" s="326"/>
      <c r="X166" s="327"/>
      <c r="AA166" s="216"/>
      <c r="AB166" s="353"/>
      <c r="AC166" s="216"/>
      <c r="AD166" s="216"/>
      <c r="AE166" s="216"/>
      <c r="AF166" s="216"/>
      <c r="AG166" s="216"/>
      <c r="AH166" s="216"/>
      <c r="AI166" s="216"/>
      <c r="AJ166" s="216"/>
      <c r="AM166" s="216"/>
      <c r="AN166" s="216"/>
    </row>
    <row r="167" spans="1:40" s="316" customFormat="1" ht="20.25" customHeight="1" x14ac:dyDescent="0.35">
      <c r="A167" s="216"/>
      <c r="B167" s="359"/>
      <c r="C167" s="215"/>
      <c r="D167" s="215"/>
      <c r="E167" s="318"/>
      <c r="F167" s="328"/>
      <c r="G167" s="320"/>
      <c r="H167" s="344"/>
      <c r="I167" s="321"/>
      <c r="J167" s="274"/>
      <c r="K167" s="345"/>
      <c r="L167" s="345"/>
      <c r="M167" s="345"/>
      <c r="N167" s="346"/>
      <c r="O167" s="347"/>
      <c r="P167" s="347"/>
      <c r="Q167" s="347"/>
      <c r="R167" s="348"/>
      <c r="S167" s="392"/>
      <c r="T167" s="393"/>
      <c r="U167" s="254"/>
      <c r="V167" s="326"/>
      <c r="W167" s="326"/>
      <c r="X167" s="327"/>
      <c r="Y167" s="224"/>
      <c r="Z167" s="418"/>
      <c r="AA167" s="216"/>
      <c r="AB167" s="353"/>
      <c r="AC167" s="216"/>
      <c r="AD167" s="216"/>
      <c r="AE167" s="216"/>
      <c r="AF167" s="216"/>
      <c r="AG167" s="216"/>
      <c r="AH167" s="216"/>
      <c r="AI167" s="216"/>
      <c r="AJ167" s="216"/>
      <c r="AK167" s="225"/>
      <c r="AL167" s="226"/>
      <c r="AM167" s="303"/>
      <c r="AN167" s="303"/>
    </row>
    <row r="168" spans="1:40" ht="20.25" customHeight="1" x14ac:dyDescent="0.35">
      <c r="A168" s="216"/>
      <c r="B168" s="359"/>
      <c r="C168" s="215"/>
      <c r="D168" s="215"/>
      <c r="E168" s="318"/>
      <c r="F168" s="328"/>
      <c r="G168" s="320"/>
      <c r="H168" s="344"/>
      <c r="I168" s="321"/>
      <c r="J168" s="274"/>
      <c r="K168" s="345"/>
      <c r="L168" s="345"/>
      <c r="M168" s="345"/>
      <c r="N168" s="346"/>
      <c r="O168" s="347"/>
      <c r="P168" s="347"/>
      <c r="Q168" s="347"/>
      <c r="R168" s="348"/>
      <c r="S168" s="392"/>
      <c r="T168" s="393"/>
      <c r="U168" s="254"/>
      <c r="V168" s="326"/>
      <c r="W168" s="326"/>
      <c r="X168" s="327"/>
      <c r="AA168" s="303"/>
      <c r="AB168" s="354"/>
      <c r="AC168" s="303"/>
      <c r="AD168" s="303"/>
      <c r="AE168" s="303"/>
      <c r="AF168" s="303"/>
      <c r="AG168" s="303"/>
      <c r="AH168" s="303"/>
      <c r="AI168" s="303"/>
      <c r="AJ168" s="303"/>
      <c r="AK168" s="355"/>
      <c r="AL168" s="356"/>
      <c r="AM168" s="216"/>
      <c r="AN168" s="216"/>
    </row>
    <row r="169" spans="1:40" ht="20.25" customHeight="1" x14ac:dyDescent="0.35">
      <c r="A169" s="216"/>
      <c r="B169" s="368"/>
      <c r="C169" s="215"/>
      <c r="D169" s="215"/>
      <c r="E169" s="318"/>
      <c r="F169" s="328"/>
      <c r="G169" s="320"/>
      <c r="H169" s="344"/>
      <c r="I169" s="321"/>
      <c r="J169" s="274"/>
      <c r="K169" s="345"/>
      <c r="L169" s="345"/>
      <c r="M169" s="345"/>
      <c r="N169" s="346"/>
      <c r="O169" s="347"/>
      <c r="P169" s="347"/>
      <c r="Q169" s="347"/>
      <c r="R169" s="348"/>
      <c r="S169" s="392"/>
      <c r="T169" s="393"/>
      <c r="U169" s="254"/>
      <c r="V169" s="326"/>
      <c r="W169" s="326"/>
      <c r="X169" s="327"/>
      <c r="AA169" s="216"/>
      <c r="AB169" s="353"/>
      <c r="AC169" s="216"/>
      <c r="AD169" s="216"/>
      <c r="AE169" s="216"/>
      <c r="AF169" s="216"/>
      <c r="AG169" s="216"/>
      <c r="AH169" s="216"/>
      <c r="AI169" s="216"/>
      <c r="AJ169" s="216"/>
      <c r="AM169" s="216"/>
      <c r="AN169" s="216"/>
    </row>
    <row r="170" spans="1:40" ht="20.25" customHeight="1" x14ac:dyDescent="0.35">
      <c r="A170" s="303"/>
      <c r="B170" s="329"/>
      <c r="C170" s="330"/>
      <c r="D170" s="330"/>
      <c r="E170" s="331"/>
      <c r="F170" s="332"/>
      <c r="G170" s="331"/>
      <c r="H170" s="331"/>
      <c r="I170" s="333"/>
      <c r="J170" s="334"/>
      <c r="K170" s="330"/>
      <c r="L170" s="330"/>
      <c r="M170" s="330"/>
      <c r="N170" s="335"/>
      <c r="O170" s="336"/>
      <c r="P170" s="336"/>
      <c r="Q170" s="336"/>
      <c r="R170" s="337"/>
      <c r="S170" s="337"/>
      <c r="T170" s="337"/>
      <c r="U170" s="254"/>
      <c r="V170" s="326"/>
      <c r="W170" s="326"/>
      <c r="X170" s="327"/>
      <c r="AA170" s="216"/>
      <c r="AB170" s="353"/>
      <c r="AC170" s="216"/>
      <c r="AD170" s="216"/>
      <c r="AE170" s="216"/>
      <c r="AF170" s="216"/>
      <c r="AG170" s="216"/>
      <c r="AH170" s="216"/>
      <c r="AI170" s="216"/>
      <c r="AJ170" s="216"/>
      <c r="AM170" s="216"/>
      <c r="AN170" s="216"/>
    </row>
    <row r="171" spans="1:40" ht="20.25" customHeight="1" x14ac:dyDescent="0.35">
      <c r="A171" s="216"/>
      <c r="B171" s="317"/>
      <c r="C171" s="215"/>
      <c r="D171" s="215"/>
      <c r="E171" s="318"/>
      <c r="F171" s="319"/>
      <c r="G171" s="320"/>
      <c r="H171" s="320"/>
      <c r="I171" s="321"/>
      <c r="J171" s="274"/>
      <c r="K171" s="322"/>
      <c r="L171" s="274"/>
      <c r="M171" s="274"/>
      <c r="N171" s="323"/>
      <c r="O171" s="324"/>
      <c r="P171" s="324"/>
      <c r="Q171" s="324"/>
      <c r="R171" s="325"/>
      <c r="S171" s="392"/>
      <c r="T171" s="393"/>
      <c r="U171" s="254"/>
      <c r="V171" s="326"/>
      <c r="W171" s="326"/>
      <c r="X171" s="327"/>
      <c r="AA171" s="216"/>
      <c r="AB171" s="353"/>
      <c r="AC171" s="216"/>
      <c r="AD171" s="216"/>
      <c r="AE171" s="216"/>
      <c r="AF171" s="216"/>
      <c r="AG171" s="216"/>
      <c r="AH171" s="216"/>
      <c r="AI171" s="216"/>
      <c r="AJ171" s="216"/>
      <c r="AM171" s="216"/>
      <c r="AN171" s="216"/>
    </row>
    <row r="172" spans="1:40" ht="20.25" customHeight="1" x14ac:dyDescent="0.35">
      <c r="A172" s="216"/>
      <c r="B172" s="368"/>
      <c r="C172" s="368"/>
      <c r="D172" s="345"/>
      <c r="E172" s="318"/>
      <c r="F172" s="328"/>
      <c r="G172" s="320"/>
      <c r="H172" s="344"/>
      <c r="I172" s="321"/>
      <c r="J172" s="274"/>
      <c r="K172" s="345"/>
      <c r="L172" s="345"/>
      <c r="M172" s="345"/>
      <c r="N172" s="346"/>
      <c r="O172" s="347"/>
      <c r="P172" s="347"/>
      <c r="Q172" s="347"/>
      <c r="R172" s="348"/>
      <c r="S172" s="392"/>
      <c r="T172" s="393"/>
      <c r="U172" s="254"/>
      <c r="V172" s="326"/>
      <c r="W172" s="326"/>
      <c r="X172" s="327"/>
      <c r="AA172" s="216"/>
      <c r="AB172" s="353"/>
      <c r="AC172" s="216"/>
      <c r="AD172" s="216"/>
      <c r="AE172" s="216"/>
      <c r="AF172" s="216"/>
      <c r="AG172" s="216"/>
      <c r="AH172" s="216"/>
      <c r="AI172" s="216"/>
      <c r="AJ172" s="216"/>
      <c r="AM172" s="216"/>
      <c r="AN172" s="216"/>
    </row>
    <row r="173" spans="1:40" ht="20.25" customHeight="1" x14ac:dyDescent="0.35">
      <c r="A173" s="303"/>
      <c r="B173" s="329"/>
      <c r="C173" s="329"/>
      <c r="D173" s="330"/>
      <c r="E173" s="331"/>
      <c r="F173" s="332"/>
      <c r="G173" s="331"/>
      <c r="H173" s="331"/>
      <c r="I173" s="332"/>
      <c r="J173" s="334"/>
      <c r="K173" s="330"/>
      <c r="L173" s="330"/>
      <c r="M173" s="330"/>
      <c r="N173" s="335"/>
      <c r="O173" s="336"/>
      <c r="P173" s="336"/>
      <c r="Q173" s="336"/>
      <c r="R173" s="337"/>
      <c r="S173" s="337"/>
      <c r="T173" s="337"/>
      <c r="U173" s="254"/>
      <c r="V173" s="326"/>
      <c r="W173" s="326"/>
      <c r="X173" s="327"/>
      <c r="AA173" s="216"/>
      <c r="AB173" s="353"/>
      <c r="AC173" s="216"/>
      <c r="AD173" s="216"/>
      <c r="AE173" s="216"/>
      <c r="AF173" s="216"/>
      <c r="AG173" s="216"/>
      <c r="AH173" s="216"/>
      <c r="AI173" s="216"/>
      <c r="AJ173" s="216"/>
      <c r="AM173" s="216"/>
      <c r="AN173" s="216"/>
    </row>
    <row r="174" spans="1:40" ht="20.25" customHeight="1" x14ac:dyDescent="0.35">
      <c r="A174" s="216"/>
      <c r="B174" s="368"/>
      <c r="C174" s="215"/>
      <c r="D174" s="215"/>
      <c r="E174" s="318"/>
      <c r="F174" s="328"/>
      <c r="G174" s="320"/>
      <c r="H174" s="344"/>
      <c r="I174" s="321"/>
      <c r="J174" s="274"/>
      <c r="K174" s="345"/>
      <c r="L174" s="345"/>
      <c r="M174" s="345"/>
      <c r="N174" s="346"/>
      <c r="O174" s="347"/>
      <c r="P174" s="347"/>
      <c r="Q174" s="347"/>
      <c r="R174" s="348"/>
      <c r="S174" s="392"/>
      <c r="T174" s="393"/>
      <c r="U174" s="254"/>
      <c r="V174" s="326"/>
      <c r="W174" s="326"/>
      <c r="X174" s="327"/>
      <c r="AA174" s="216"/>
      <c r="AB174" s="353"/>
      <c r="AC174" s="216"/>
      <c r="AD174" s="216"/>
      <c r="AE174" s="216"/>
      <c r="AF174" s="216"/>
      <c r="AG174" s="216"/>
      <c r="AH174" s="216"/>
      <c r="AI174" s="216"/>
      <c r="AJ174" s="216"/>
      <c r="AM174" s="216"/>
      <c r="AN174" s="216"/>
    </row>
    <row r="175" spans="1:40" ht="20.25" customHeight="1" x14ac:dyDescent="0.35">
      <c r="A175" s="216"/>
      <c r="B175" s="368"/>
      <c r="C175" s="215"/>
      <c r="D175" s="215"/>
      <c r="E175" s="318"/>
      <c r="F175" s="328"/>
      <c r="G175" s="320"/>
      <c r="H175" s="344"/>
      <c r="I175" s="321"/>
      <c r="J175" s="274"/>
      <c r="K175" s="345"/>
      <c r="L175" s="345"/>
      <c r="M175" s="345"/>
      <c r="N175" s="346"/>
      <c r="O175" s="347"/>
      <c r="P175" s="347"/>
      <c r="Q175" s="347"/>
      <c r="R175" s="348"/>
      <c r="S175" s="392"/>
      <c r="T175" s="393"/>
      <c r="U175" s="254"/>
      <c r="V175" s="326"/>
      <c r="W175" s="326"/>
      <c r="X175" s="327"/>
      <c r="AA175" s="216"/>
      <c r="AB175" s="353"/>
      <c r="AC175" s="216"/>
      <c r="AD175" s="216"/>
      <c r="AE175" s="216"/>
      <c r="AF175" s="216"/>
      <c r="AG175" s="216"/>
      <c r="AH175" s="216"/>
      <c r="AI175" s="216"/>
      <c r="AJ175" s="216"/>
      <c r="AM175" s="216"/>
      <c r="AN175" s="216"/>
    </row>
    <row r="176" spans="1:40" ht="20.25" customHeight="1" x14ac:dyDescent="0.35">
      <c r="A176" s="216"/>
      <c r="B176" s="368"/>
      <c r="C176" s="215"/>
      <c r="D176" s="215"/>
      <c r="E176" s="318"/>
      <c r="F176" s="328"/>
      <c r="G176" s="320"/>
      <c r="H176" s="344"/>
      <c r="I176" s="321"/>
      <c r="J176" s="274"/>
      <c r="K176" s="345"/>
      <c r="L176" s="345"/>
      <c r="M176" s="345"/>
      <c r="N176" s="346"/>
      <c r="O176" s="347"/>
      <c r="P176" s="347"/>
      <c r="Q176" s="347"/>
      <c r="R176" s="348"/>
      <c r="S176" s="392"/>
      <c r="T176" s="393"/>
      <c r="U176" s="254"/>
      <c r="V176" s="326"/>
      <c r="W176" s="326"/>
      <c r="X176" s="327"/>
      <c r="Y176" s="338"/>
      <c r="Z176" s="315"/>
      <c r="AA176" s="216"/>
      <c r="AB176" s="353"/>
      <c r="AC176" s="216"/>
      <c r="AD176" s="216"/>
      <c r="AE176" s="216"/>
      <c r="AF176" s="216"/>
      <c r="AG176" s="216"/>
      <c r="AH176" s="216"/>
      <c r="AI176" s="216"/>
      <c r="AJ176" s="216"/>
      <c r="AM176" s="216"/>
      <c r="AN176" s="216"/>
    </row>
    <row r="177" spans="1:36" ht="20.25" customHeight="1" x14ac:dyDescent="0.35">
      <c r="A177" s="216"/>
      <c r="B177" s="368"/>
      <c r="C177" s="215"/>
      <c r="D177" s="215"/>
      <c r="E177" s="318"/>
      <c r="F177" s="328"/>
      <c r="G177" s="320"/>
      <c r="H177" s="344"/>
      <c r="I177" s="321"/>
      <c r="J177" s="274"/>
      <c r="K177" s="345"/>
      <c r="L177" s="345"/>
      <c r="M177" s="345"/>
      <c r="N177" s="346"/>
      <c r="O177" s="347"/>
      <c r="P177" s="347"/>
      <c r="Q177" s="347"/>
      <c r="R177" s="348"/>
      <c r="S177" s="392"/>
      <c r="T177" s="393"/>
      <c r="U177" s="254"/>
      <c r="V177" s="326"/>
      <c r="W177" s="326"/>
      <c r="X177" s="327"/>
      <c r="Y177" s="418"/>
      <c r="AA177" s="216"/>
      <c r="AB177" s="353"/>
      <c r="AC177" s="216"/>
      <c r="AD177" s="216"/>
      <c r="AE177" s="216"/>
      <c r="AF177" s="216"/>
      <c r="AG177" s="216"/>
      <c r="AH177" s="216"/>
      <c r="AI177" s="216"/>
      <c r="AJ177" s="216"/>
    </row>
    <row r="178" spans="1:36" ht="20.25" customHeight="1" x14ac:dyDescent="0.35">
      <c r="A178" s="216"/>
      <c r="B178" s="368"/>
      <c r="C178" s="215"/>
      <c r="D178" s="215"/>
      <c r="E178" s="318"/>
      <c r="F178" s="328"/>
      <c r="G178" s="320"/>
      <c r="H178" s="344"/>
      <c r="I178" s="321"/>
      <c r="J178" s="274"/>
      <c r="K178" s="345"/>
      <c r="L178" s="345"/>
      <c r="M178" s="345"/>
      <c r="N178" s="346"/>
      <c r="O178" s="347"/>
      <c r="P178" s="347"/>
      <c r="Q178" s="347"/>
      <c r="R178" s="348"/>
      <c r="S178" s="392"/>
      <c r="T178" s="393"/>
      <c r="U178" s="254"/>
      <c r="V178" s="326"/>
      <c r="W178" s="326"/>
      <c r="X178" s="327"/>
      <c r="Y178" s="418"/>
    </row>
    <row r="179" spans="1:36" ht="20.25" customHeight="1" x14ac:dyDescent="0.35">
      <c r="A179" s="216"/>
      <c r="B179" s="369"/>
      <c r="C179" s="370"/>
      <c r="D179" s="370"/>
      <c r="E179" s="371"/>
      <c r="F179" s="372"/>
      <c r="G179" s="373"/>
      <c r="H179" s="374"/>
      <c r="I179" s="375"/>
      <c r="J179" s="349"/>
      <c r="K179" s="376"/>
      <c r="L179" s="376"/>
      <c r="M179" s="376"/>
      <c r="N179" s="377"/>
      <c r="O179" s="378"/>
      <c r="P179" s="378"/>
      <c r="Q179" s="378"/>
      <c r="R179" s="379"/>
      <c r="S179" s="396"/>
      <c r="T179" s="397"/>
      <c r="U179" s="254"/>
      <c r="V179" s="326"/>
      <c r="W179" s="326"/>
      <c r="X179" s="327"/>
      <c r="Y179" s="418"/>
    </row>
    <row r="180" spans="1:36" ht="15" customHeight="1" x14ac:dyDescent="0.35">
      <c r="U180" s="315"/>
      <c r="V180" s="418"/>
      <c r="W180" s="418"/>
      <c r="X180" s="418"/>
    </row>
    <row r="181" spans="1:36" ht="15" customHeight="1" x14ac:dyDescent="0.35">
      <c r="U181" s="315"/>
      <c r="V181" s="418"/>
      <c r="W181" s="418"/>
      <c r="X181" s="418"/>
    </row>
    <row r="182" spans="1:36" ht="15" customHeight="1" x14ac:dyDescent="0.35">
      <c r="V182" s="418"/>
      <c r="W182" s="418"/>
      <c r="X182" s="418"/>
    </row>
    <row r="183" spans="1:36" ht="15" customHeight="1" x14ac:dyDescent="0.35"/>
    <row r="184" spans="1:36" ht="15" customHeight="1" x14ac:dyDescent="0.35"/>
    <row r="185" spans="1:36" ht="15" customHeight="1" x14ac:dyDescent="0.35"/>
    <row r="186" spans="1:36" ht="15" customHeight="1" x14ac:dyDescent="0.35"/>
    <row r="187" spans="1:36" ht="15" customHeight="1" x14ac:dyDescent="0.35"/>
    <row r="188" spans="1:36" ht="15" customHeight="1" x14ac:dyDescent="0.35"/>
    <row r="189" spans="1:36" ht="15" customHeight="1" x14ac:dyDescent="0.35"/>
    <row r="190" spans="1:36" ht="15" customHeight="1" x14ac:dyDescent="0.35"/>
    <row r="191" spans="1:36" ht="15" customHeight="1" x14ac:dyDescent="0.35"/>
    <row r="192" spans="1:36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</sheetData>
  <mergeCells count="29">
    <mergeCell ref="V10:W10"/>
    <mergeCell ref="V12:W12"/>
    <mergeCell ref="AC6:AF6"/>
    <mergeCell ref="AG6:AJ6"/>
    <mergeCell ref="S7:S8"/>
    <mergeCell ref="T7:T8"/>
    <mergeCell ref="V7:V8"/>
    <mergeCell ref="W7:W8"/>
    <mergeCell ref="X7:X8"/>
    <mergeCell ref="AA7:AA8"/>
    <mergeCell ref="AB7:AB8"/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</mergeCells>
  <conditionalFormatting sqref="B15">
    <cfRule type="duplicateValues" dxfId="249" priority="9"/>
    <cfRule type="duplicateValues" dxfId="248" priority="10"/>
  </conditionalFormatting>
  <conditionalFormatting sqref="B102:B106">
    <cfRule type="duplicateValues" dxfId="247" priority="8"/>
  </conditionalFormatting>
  <conditionalFormatting sqref="B171">
    <cfRule type="duplicateValues" dxfId="246" priority="11"/>
    <cfRule type="duplicateValues" dxfId="245" priority="12"/>
  </conditionalFormatting>
  <conditionalFormatting sqref="B172:B1048576 B1:B14 B16:B101 B107:B170">
    <cfRule type="duplicateValues" dxfId="244" priority="21"/>
  </conditionalFormatting>
  <conditionalFormatting sqref="B16:C16 C15">
    <cfRule type="duplicateValues" dxfId="243" priority="19"/>
  </conditionalFormatting>
  <conditionalFormatting sqref="B102:C102 B103:B106">
    <cfRule type="duplicateValues" dxfId="242" priority="7"/>
  </conditionalFormatting>
  <conditionalFormatting sqref="B172:C172">
    <cfRule type="duplicateValues" dxfId="241" priority="14"/>
  </conditionalFormatting>
  <conditionalFormatting sqref="B173:C178 B24:C24 B40:C41 B101:C101 B67:B100 B65:C66 B61:B64 B59:C60 B42:B58 B26:B39 B18:B23 B107:C169">
    <cfRule type="duplicateValues" dxfId="240" priority="27"/>
  </conditionalFormatting>
  <conditionalFormatting sqref="C18:C23">
    <cfRule type="duplicateValues" dxfId="239" priority="1"/>
  </conditionalFormatting>
  <conditionalFormatting sqref="C26:C39">
    <cfRule type="duplicateValues" dxfId="238" priority="2"/>
  </conditionalFormatting>
  <conditionalFormatting sqref="C42:C58">
    <cfRule type="duplicateValues" dxfId="237" priority="3"/>
  </conditionalFormatting>
  <conditionalFormatting sqref="C61:C64">
    <cfRule type="duplicateValues" dxfId="236" priority="4"/>
  </conditionalFormatting>
  <conditionalFormatting sqref="C67:C100">
    <cfRule type="duplicateValues" dxfId="235" priority="5"/>
  </conditionalFormatting>
  <conditionalFormatting sqref="C103:C106">
    <cfRule type="duplicateValues" dxfId="234" priority="6"/>
  </conditionalFormatting>
  <conditionalFormatting sqref="C171">
    <cfRule type="duplicateValues" dxfId="233" priority="13"/>
  </conditionalFormatting>
  <conditionalFormatting sqref="J2:J3 J7:J179">
    <cfRule type="cellIs" dxfId="232" priority="26" operator="equal">
      <formula>"Disc"</formula>
    </cfRule>
  </conditionalFormatting>
  <conditionalFormatting sqref="V2:V5">
    <cfRule type="containsText" dxfId="231" priority="22" operator="containsText" text="dog">
      <formula>NOT(ISERROR(SEARCH("dog",V2)))</formula>
    </cfRule>
    <cfRule type="containsText" dxfId="230" priority="23" operator="containsText" text="star">
      <formula>NOT(ISERROR(SEARCH("star",V2)))</formula>
    </cfRule>
    <cfRule type="containsText" dxfId="229" priority="24" operator="containsText" text="PUZZLE">
      <formula>NOT(ISERROR(SEARCH("PUZZLE",V2)))</formula>
    </cfRule>
    <cfRule type="containsText" dxfId="228" priority="25" operator="containsText" text="HORSE">
      <formula>NOT(ISERROR(SEARCH("HORSE",V2)))</formula>
    </cfRule>
  </conditionalFormatting>
  <conditionalFormatting sqref="X15:X179">
    <cfRule type="containsText" dxfId="227" priority="15" operator="containsText" text="star">
      <formula>NOT(ISERROR(SEARCH("star",X15)))</formula>
    </cfRule>
    <cfRule type="containsText" dxfId="226" priority="16" operator="containsText" text="dog">
      <formula>NOT(ISERROR(SEARCH("dog",X15)))</formula>
    </cfRule>
    <cfRule type="containsText" dxfId="225" priority="17" operator="containsText" text="puzzle">
      <formula>NOT(ISERROR(SEARCH("puzzle",X15)))</formula>
    </cfRule>
    <cfRule type="containsText" dxfId="224" priority="18" operator="containsText" text="horse">
      <formula>NOT(ISERROR(SEARCH("horse",X15)))</formula>
    </cfRule>
  </conditionalFormatting>
  <conditionalFormatting sqref="AA7:AA8">
    <cfRule type="duplicateValues" dxfId="223" priority="2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5"/>
  <sheetViews>
    <sheetView zoomScale="85" zoomScaleNormal="85" workbookViewId="0">
      <selection activeCell="L24" sqref="L24"/>
    </sheetView>
  </sheetViews>
  <sheetFormatPr defaultColWidth="12.54296875" defaultRowHeight="13" outlineLevelCol="1" x14ac:dyDescent="0.3"/>
  <cols>
    <col min="1" max="1" width="1.453125" style="78" customWidth="1"/>
    <col min="2" max="2" width="19.81640625" style="78" customWidth="1"/>
    <col min="3" max="3" width="48.1796875" style="78" customWidth="1"/>
    <col min="4" max="4" width="14.26953125" style="78" customWidth="1"/>
    <col min="5" max="5" width="7.81640625" style="78" customWidth="1"/>
    <col min="6" max="6" width="15.26953125" style="78" customWidth="1"/>
    <col min="7" max="7" width="11.81640625" style="78" customWidth="1"/>
    <col min="8" max="8" width="14" style="78" customWidth="1"/>
    <col min="9" max="9" width="13.81640625" style="78" customWidth="1"/>
    <col min="10" max="10" width="5.453125" style="78" customWidth="1"/>
    <col min="11" max="11" width="19.81640625" style="78" customWidth="1" outlineLevel="1"/>
    <col min="12" max="12" width="20" style="78" customWidth="1" outlineLevel="1"/>
    <col min="13" max="13" width="21.54296875" style="78" customWidth="1" outlineLevel="1"/>
    <col min="14" max="14" width="14" style="78" customWidth="1" outlineLevel="1"/>
    <col min="15" max="15" width="18.26953125" style="78" customWidth="1" outlineLevel="1"/>
    <col min="16" max="16" width="12" style="78" customWidth="1" outlineLevel="1"/>
    <col min="17" max="17" width="18.54296875" style="78" bestFit="1" customWidth="1" outlineLevel="1"/>
    <col min="18" max="18" width="19" style="78" customWidth="1" outlineLevel="1"/>
    <col min="19" max="19" width="1.453125" style="78" customWidth="1"/>
    <col min="20" max="20" width="13.7265625" style="78" customWidth="1"/>
    <col min="21" max="36" width="7.54296875" style="78" customWidth="1"/>
    <col min="37" max="16384" width="12.54296875" style="78"/>
  </cols>
  <sheetData>
    <row r="1" spans="1:36" ht="4.5" customHeight="1" x14ac:dyDescent="0.3">
      <c r="A1" s="70"/>
      <c r="B1" s="70"/>
      <c r="C1" s="70"/>
      <c r="D1" s="70"/>
      <c r="E1" s="71"/>
      <c r="F1" s="72"/>
      <c r="G1" s="71"/>
      <c r="H1" s="71"/>
      <c r="I1" s="73"/>
      <c r="J1" s="70"/>
      <c r="K1" s="70"/>
      <c r="L1" s="70"/>
      <c r="M1" s="70"/>
      <c r="N1" s="74"/>
      <c r="O1" s="75"/>
      <c r="P1" s="75"/>
      <c r="Q1" s="75"/>
      <c r="R1" s="76"/>
      <c r="S1" s="77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6" ht="24.75" customHeight="1" x14ac:dyDescent="0.3">
      <c r="A2" s="79"/>
      <c r="B2" s="80"/>
      <c r="C2" s="79"/>
      <c r="D2" s="79"/>
      <c r="E2" s="81"/>
      <c r="F2" s="82"/>
      <c r="G2" s="83"/>
      <c r="H2" s="83"/>
      <c r="I2" s="84"/>
      <c r="J2" s="79"/>
      <c r="K2" s="85"/>
      <c r="L2" s="85"/>
      <c r="M2" s="85"/>
      <c r="N2" s="86"/>
      <c r="O2" s="87"/>
      <c r="P2" s="87"/>
      <c r="Q2" s="75"/>
      <c r="R2" s="76"/>
      <c r="S2" s="88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34.5" customHeight="1" x14ac:dyDescent="0.3">
      <c r="A3" s="70"/>
      <c r="B3" s="80"/>
      <c r="C3" s="70"/>
      <c r="D3" s="70"/>
      <c r="E3" s="71"/>
      <c r="F3" s="72"/>
      <c r="G3" s="71"/>
      <c r="H3" s="71"/>
      <c r="I3" s="73"/>
      <c r="J3" s="70"/>
      <c r="K3" s="89"/>
      <c r="L3" s="90"/>
      <c r="M3" s="4"/>
      <c r="N3" s="91"/>
      <c r="O3" s="92"/>
      <c r="P3" s="87"/>
      <c r="Q3" s="75"/>
      <c r="R3" s="76"/>
      <c r="S3" s="77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</row>
    <row r="4" spans="1:36" ht="30" customHeight="1" thickBot="1" x14ac:dyDescent="0.35">
      <c r="A4" s="70"/>
      <c r="B4" s="93"/>
      <c r="C4" s="496"/>
      <c r="D4" s="497"/>
      <c r="E4" s="94"/>
      <c r="F4" s="72"/>
      <c r="G4" s="71"/>
      <c r="H4" s="71"/>
      <c r="I4" s="73"/>
      <c r="J4" s="70"/>
      <c r="K4" s="95"/>
      <c r="L4" s="498"/>
      <c r="M4" s="498"/>
      <c r="N4" s="498"/>
      <c r="O4" s="498"/>
      <c r="P4" s="96"/>
      <c r="Q4" s="2"/>
      <c r="R4" s="97"/>
      <c r="S4" s="77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spans="1:36" ht="30" customHeight="1" thickBot="1" x14ac:dyDescent="0.35">
      <c r="A5" s="70"/>
      <c r="B5" s="93"/>
      <c r="C5" s="496"/>
      <c r="D5" s="497"/>
      <c r="E5" s="94"/>
      <c r="F5" s="72"/>
      <c r="G5" s="71"/>
      <c r="H5" s="71"/>
      <c r="I5" s="73"/>
      <c r="J5" s="70"/>
      <c r="K5" s="98"/>
      <c r="L5" s="499"/>
      <c r="M5" s="499"/>
      <c r="N5" s="500"/>
      <c r="O5" s="500"/>
      <c r="P5" s="99"/>
      <c r="Q5" s="75"/>
      <c r="R5" s="76"/>
      <c r="S5" s="77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</row>
    <row r="6" spans="1:36" ht="4.5" customHeight="1" x14ac:dyDescent="0.3">
      <c r="A6" s="70"/>
      <c r="B6" s="70"/>
      <c r="C6" s="70"/>
      <c r="D6" s="70"/>
      <c r="E6" s="71"/>
      <c r="F6" s="72"/>
      <c r="G6" s="71"/>
      <c r="H6" s="71"/>
      <c r="I6" s="73"/>
      <c r="J6" s="94"/>
      <c r="K6" s="70"/>
      <c r="L6" s="70"/>
      <c r="M6" s="70"/>
      <c r="N6" s="74"/>
      <c r="O6" s="75"/>
      <c r="P6" s="75"/>
      <c r="Q6" s="75"/>
      <c r="R6" s="76"/>
      <c r="S6" s="77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</row>
    <row r="7" spans="1:36" ht="19.5" customHeight="1" x14ac:dyDescent="0.3">
      <c r="A7" s="94"/>
      <c r="B7" s="486"/>
      <c r="C7" s="488"/>
      <c r="D7" s="488"/>
      <c r="E7" s="490"/>
      <c r="F7" s="100"/>
      <c r="G7" s="100"/>
      <c r="H7" s="100"/>
      <c r="I7" s="102"/>
      <c r="J7" s="100"/>
      <c r="K7" s="488"/>
      <c r="L7" s="488"/>
      <c r="M7" s="488"/>
      <c r="N7" s="492"/>
      <c r="O7" s="494"/>
      <c r="P7" s="494"/>
      <c r="Q7" s="494"/>
      <c r="R7" s="484"/>
      <c r="S7" s="10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30" customHeight="1" x14ac:dyDescent="0.3">
      <c r="A8" s="105"/>
      <c r="B8" s="487"/>
      <c r="C8" s="489"/>
      <c r="D8" s="489"/>
      <c r="E8" s="491"/>
      <c r="F8" s="101"/>
      <c r="G8" s="101"/>
      <c r="H8" s="101"/>
      <c r="I8" s="106"/>
      <c r="J8" s="107"/>
      <c r="K8" s="489"/>
      <c r="L8" s="489"/>
      <c r="M8" s="489"/>
      <c r="N8" s="493"/>
      <c r="O8" s="495"/>
      <c r="P8" s="495"/>
      <c r="Q8" s="495"/>
      <c r="R8" s="485"/>
      <c r="S8" s="108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</row>
    <row r="9" spans="1:36" ht="11.25" customHeight="1" x14ac:dyDescent="0.3">
      <c r="A9" s="94"/>
      <c r="B9" s="100"/>
      <c r="C9" s="110"/>
      <c r="D9" s="100"/>
      <c r="E9" s="100"/>
      <c r="F9" s="100"/>
      <c r="G9" s="100"/>
      <c r="H9" s="100"/>
      <c r="I9" s="111"/>
      <c r="J9" s="112"/>
      <c r="K9" s="112"/>
      <c r="L9" s="112"/>
      <c r="M9" s="112"/>
      <c r="N9" s="103"/>
      <c r="O9" s="113"/>
      <c r="P9" s="113"/>
      <c r="Q9" s="113"/>
      <c r="R9" s="114"/>
      <c r="S9" s="115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2" customHeight="1" x14ac:dyDescent="0.3">
      <c r="A10" s="94"/>
      <c r="B10" s="116"/>
      <c r="C10" s="117"/>
      <c r="D10" s="116"/>
      <c r="E10" s="118"/>
      <c r="F10" s="117"/>
      <c r="G10" s="119"/>
      <c r="H10" s="119"/>
      <c r="I10" s="120"/>
      <c r="J10" s="112"/>
      <c r="K10" s="112"/>
      <c r="L10" s="112"/>
      <c r="M10" s="112"/>
      <c r="N10" s="103"/>
      <c r="O10" s="113"/>
      <c r="P10" s="113"/>
      <c r="Q10" s="113"/>
      <c r="R10" s="114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</row>
    <row r="11" spans="1:36" ht="12" customHeight="1" x14ac:dyDescent="0.3">
      <c r="A11" s="94"/>
      <c r="B11" s="112"/>
      <c r="C11" s="121"/>
      <c r="D11" s="112"/>
      <c r="E11" s="100"/>
      <c r="F11" s="121"/>
      <c r="G11" s="122"/>
      <c r="H11" s="122"/>
      <c r="I11" s="123"/>
      <c r="J11" s="112"/>
      <c r="K11" s="112"/>
      <c r="L11" s="112"/>
      <c r="M11" s="112"/>
      <c r="N11" s="103"/>
      <c r="O11" s="113"/>
      <c r="P11" s="113"/>
      <c r="Q11" s="113"/>
      <c r="R11" s="114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</row>
    <row r="12" spans="1:36" ht="16.5" customHeight="1" x14ac:dyDescent="0.3">
      <c r="A12" s="94"/>
      <c r="B12" s="124"/>
      <c r="C12" s="125"/>
      <c r="D12" s="125"/>
      <c r="E12" s="126"/>
      <c r="F12" s="126"/>
      <c r="G12" s="127"/>
      <c r="H12" s="126"/>
      <c r="I12" s="120"/>
      <c r="J12" s="128"/>
      <c r="K12" s="128"/>
      <c r="L12" s="128"/>
      <c r="M12" s="128"/>
      <c r="N12" s="129"/>
      <c r="O12" s="130"/>
      <c r="P12" s="130"/>
      <c r="Q12" s="130"/>
      <c r="R12" s="131"/>
      <c r="S12" s="115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</row>
    <row r="13" spans="1:36" ht="12" customHeight="1" x14ac:dyDescent="0.3">
      <c r="A13" s="94"/>
      <c r="B13" s="112"/>
      <c r="C13" s="121"/>
      <c r="D13" s="112"/>
      <c r="E13" s="100"/>
      <c r="F13" s="121"/>
      <c r="G13" s="122"/>
      <c r="H13" s="122"/>
      <c r="I13" s="123"/>
      <c r="J13" s="112"/>
      <c r="K13" s="112"/>
      <c r="L13" s="112"/>
      <c r="M13" s="112"/>
      <c r="N13" s="103"/>
      <c r="O13" s="113"/>
      <c r="P13" s="113"/>
      <c r="Q13" s="113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</row>
    <row r="14" spans="1:36" s="142" customFormat="1" ht="12" customHeight="1" x14ac:dyDescent="0.3">
      <c r="A14" s="132"/>
      <c r="B14" s="133"/>
      <c r="C14" s="134"/>
      <c r="D14" s="134"/>
      <c r="E14" s="135"/>
      <c r="F14" s="135"/>
      <c r="G14" s="135"/>
      <c r="H14" s="135"/>
      <c r="I14" s="136"/>
      <c r="J14" s="137"/>
      <c r="K14" s="134"/>
      <c r="L14" s="134"/>
      <c r="M14" s="134"/>
      <c r="N14" s="138"/>
      <c r="O14" s="139"/>
      <c r="P14" s="139"/>
      <c r="Q14" s="139"/>
      <c r="R14" s="140"/>
      <c r="S14" s="14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9.5" customHeight="1" x14ac:dyDescent="0.3">
      <c r="A15" s="70"/>
      <c r="B15" s="143"/>
      <c r="C15" s="144"/>
      <c r="D15" s="144"/>
      <c r="E15" s="144"/>
      <c r="F15" s="110"/>
      <c r="G15" s="110"/>
      <c r="H15" s="110"/>
      <c r="I15" s="145"/>
      <c r="J15" s="121"/>
      <c r="K15" s="121"/>
      <c r="L15" s="121"/>
      <c r="M15" s="121"/>
      <c r="N15" s="146"/>
      <c r="O15" s="147"/>
      <c r="P15" s="147"/>
      <c r="Q15" s="147"/>
      <c r="R15" s="148"/>
      <c r="S15" s="77"/>
      <c r="T15" s="14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ht="19.5" customHeight="1" x14ac:dyDescent="0.3">
      <c r="A16" s="70"/>
      <c r="B16" s="143"/>
      <c r="C16" s="144"/>
      <c r="D16" s="144"/>
      <c r="E16" s="144"/>
      <c r="F16" s="110"/>
      <c r="G16" s="110"/>
      <c r="H16" s="110"/>
      <c r="I16" s="145"/>
      <c r="J16" s="121"/>
      <c r="K16" s="121"/>
      <c r="L16" s="121"/>
      <c r="M16" s="121"/>
      <c r="N16" s="146"/>
      <c r="O16" s="147"/>
      <c r="P16" s="147"/>
      <c r="Q16" s="147"/>
      <c r="R16" s="148"/>
      <c r="S16" s="77"/>
      <c r="T16" s="14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</row>
    <row r="17" spans="1:36" ht="19.5" customHeight="1" x14ac:dyDescent="0.3">
      <c r="A17" s="70"/>
      <c r="B17" s="143"/>
      <c r="C17" s="144"/>
      <c r="D17" s="144"/>
      <c r="E17" s="144"/>
      <c r="F17" s="110"/>
      <c r="G17" s="110"/>
      <c r="H17" s="110"/>
      <c r="I17" s="145"/>
      <c r="J17" s="121"/>
      <c r="K17" s="121"/>
      <c r="L17" s="121"/>
      <c r="M17" s="121"/>
      <c r="N17" s="146"/>
      <c r="O17" s="147"/>
      <c r="P17" s="147"/>
      <c r="Q17" s="147"/>
      <c r="R17" s="148"/>
      <c r="S17" s="77"/>
      <c r="T17" s="14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</row>
    <row r="18" spans="1:36" ht="19.5" customHeight="1" x14ac:dyDescent="0.3">
      <c r="A18" s="70"/>
      <c r="B18" s="143"/>
      <c r="C18" s="144"/>
      <c r="D18" s="144"/>
      <c r="E18" s="144"/>
      <c r="F18" s="110"/>
      <c r="G18" s="110"/>
      <c r="H18" s="110"/>
      <c r="I18" s="145"/>
      <c r="J18" s="121"/>
      <c r="K18" s="121"/>
      <c r="L18" s="121"/>
      <c r="M18" s="121"/>
      <c r="N18" s="146"/>
      <c r="O18" s="147"/>
      <c r="P18" s="147"/>
      <c r="Q18" s="147"/>
      <c r="R18" s="148"/>
      <c r="S18" s="77"/>
      <c r="T18" s="14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</row>
    <row r="19" spans="1:36" ht="19.5" customHeight="1" x14ac:dyDescent="0.3">
      <c r="A19" s="70"/>
      <c r="B19" s="150"/>
      <c r="C19" s="151"/>
      <c r="D19" s="151"/>
      <c r="E19" s="151"/>
      <c r="F19" s="110"/>
      <c r="G19" s="110"/>
      <c r="H19" s="110"/>
      <c r="I19" s="145"/>
      <c r="J19" s="121"/>
      <c r="K19" s="121"/>
      <c r="L19" s="121"/>
      <c r="M19" s="121"/>
      <c r="N19" s="146"/>
      <c r="O19" s="147"/>
      <c r="P19" s="147"/>
      <c r="Q19" s="147"/>
      <c r="R19" s="148"/>
      <c r="S19" s="77"/>
      <c r="T19" s="14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</row>
    <row r="20" spans="1:36" ht="19.5" customHeight="1" x14ac:dyDescent="0.3">
      <c r="A20" s="70"/>
      <c r="B20" s="121"/>
      <c r="C20" s="121"/>
      <c r="D20" s="121"/>
      <c r="E20" s="110"/>
      <c r="F20" s="110"/>
      <c r="G20" s="110"/>
      <c r="H20" s="110"/>
      <c r="I20" s="145"/>
      <c r="J20" s="121"/>
      <c r="K20" s="121"/>
      <c r="L20" s="121"/>
      <c r="M20" s="121"/>
      <c r="N20" s="146"/>
      <c r="O20" s="147"/>
      <c r="P20" s="147"/>
      <c r="Q20" s="147"/>
      <c r="R20" s="148"/>
      <c r="S20" s="77"/>
      <c r="T20" s="14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</row>
    <row r="21" spans="1:36" s="142" customFormat="1" ht="19.5" customHeight="1" x14ac:dyDescent="0.3">
      <c r="A21" s="132"/>
      <c r="B21" s="133"/>
      <c r="C21" s="137"/>
      <c r="D21" s="137"/>
      <c r="E21" s="152"/>
      <c r="F21" s="152"/>
      <c r="G21" s="152"/>
      <c r="H21" s="152"/>
      <c r="I21" s="136"/>
      <c r="J21" s="137"/>
      <c r="K21" s="134"/>
      <c r="L21" s="134"/>
      <c r="M21" s="134"/>
      <c r="N21" s="153"/>
      <c r="O21" s="154"/>
      <c r="P21" s="154"/>
      <c r="Q21" s="154"/>
      <c r="R21" s="155"/>
      <c r="S21" s="141"/>
      <c r="T21" s="149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</row>
    <row r="22" spans="1:36" ht="19.5" customHeight="1" x14ac:dyDescent="0.3">
      <c r="A22" s="70"/>
      <c r="B22" s="143"/>
      <c r="C22" s="144"/>
      <c r="D22" s="156"/>
      <c r="E22" s="144"/>
      <c r="F22" s="110"/>
      <c r="G22" s="110"/>
      <c r="H22" s="157"/>
      <c r="I22" s="145"/>
      <c r="J22" s="121"/>
      <c r="K22" s="156"/>
      <c r="L22" s="156"/>
      <c r="M22" s="156"/>
      <c r="N22" s="158"/>
      <c r="O22" s="159"/>
      <c r="P22" s="159"/>
      <c r="Q22" s="159"/>
      <c r="R22" s="160"/>
      <c r="S22" s="77"/>
      <c r="T22" s="14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ht="19.5" customHeight="1" x14ac:dyDescent="0.3">
      <c r="A23" s="70"/>
      <c r="B23" s="143"/>
      <c r="C23" s="144"/>
      <c r="D23" s="156"/>
      <c r="E23" s="144"/>
      <c r="F23" s="110"/>
      <c r="G23" s="110"/>
      <c r="H23" s="157"/>
      <c r="I23" s="145"/>
      <c r="J23" s="121"/>
      <c r="K23" s="156"/>
      <c r="L23" s="156"/>
      <c r="M23" s="156"/>
      <c r="N23" s="158"/>
      <c r="O23" s="159"/>
      <c r="P23" s="159"/>
      <c r="Q23" s="159"/>
      <c r="R23" s="160"/>
      <c r="S23" s="77"/>
      <c r="T23" s="14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spans="1:36" ht="19.5" customHeight="1" x14ac:dyDescent="0.3">
      <c r="A24" s="70"/>
      <c r="B24" s="143"/>
      <c r="C24" s="144"/>
      <c r="D24" s="156"/>
      <c r="E24" s="144"/>
      <c r="F24" s="110"/>
      <c r="G24" s="110"/>
      <c r="H24" s="157"/>
      <c r="I24" s="145"/>
      <c r="J24" s="121"/>
      <c r="K24" s="156"/>
      <c r="L24" s="156"/>
      <c r="M24" s="156"/>
      <c r="N24" s="158"/>
      <c r="O24" s="159"/>
      <c r="P24" s="159"/>
      <c r="Q24" s="159"/>
      <c r="R24" s="160"/>
      <c r="S24" s="77"/>
      <c r="T24" s="14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ht="19.5" customHeight="1" x14ac:dyDescent="0.3">
      <c r="A25" s="70"/>
      <c r="B25" s="143"/>
      <c r="C25" s="144"/>
      <c r="D25" s="156"/>
      <c r="E25" s="144"/>
      <c r="F25" s="110"/>
      <c r="G25" s="110"/>
      <c r="H25" s="157"/>
      <c r="I25" s="145"/>
      <c r="J25" s="121"/>
      <c r="K25" s="156"/>
      <c r="L25" s="156"/>
      <c r="M25" s="156"/>
      <c r="N25" s="158"/>
      <c r="O25" s="159"/>
      <c r="P25" s="159"/>
      <c r="Q25" s="159"/>
      <c r="R25" s="160"/>
      <c r="S25" s="77"/>
      <c r="T25" s="14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ht="19.5" customHeight="1" x14ac:dyDescent="0.3">
      <c r="A26" s="70"/>
      <c r="B26" s="143"/>
      <c r="C26" s="144"/>
      <c r="D26" s="156"/>
      <c r="E26" s="144"/>
      <c r="F26" s="110"/>
      <c r="G26" s="110"/>
      <c r="H26" s="157"/>
      <c r="I26" s="145"/>
      <c r="J26" s="121"/>
      <c r="K26" s="156"/>
      <c r="L26" s="156"/>
      <c r="M26" s="156"/>
      <c r="N26" s="158"/>
      <c r="O26" s="159"/>
      <c r="P26" s="159"/>
      <c r="Q26" s="159"/>
      <c r="R26" s="160"/>
      <c r="S26" s="77"/>
      <c r="T26" s="14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1:36" ht="19.5" customHeight="1" x14ac:dyDescent="0.3">
      <c r="A27" s="70"/>
      <c r="B27" s="143"/>
      <c r="C27" s="144"/>
      <c r="D27" s="156"/>
      <c r="E27" s="144"/>
      <c r="F27" s="110"/>
      <c r="G27" s="110"/>
      <c r="H27" s="157"/>
      <c r="I27" s="145"/>
      <c r="J27" s="121"/>
      <c r="K27" s="156"/>
      <c r="L27" s="156"/>
      <c r="M27" s="156"/>
      <c r="N27" s="158"/>
      <c r="O27" s="159"/>
      <c r="P27" s="159"/>
      <c r="Q27" s="159"/>
      <c r="R27" s="160"/>
      <c r="S27" s="77"/>
      <c r="T27" s="14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1:36" s="142" customFormat="1" ht="19.5" customHeight="1" x14ac:dyDescent="0.3">
      <c r="A28" s="132"/>
      <c r="B28" s="133"/>
      <c r="C28" s="134"/>
      <c r="D28" s="134"/>
      <c r="E28" s="135"/>
      <c r="F28" s="135"/>
      <c r="G28" s="135"/>
      <c r="H28" s="135"/>
      <c r="I28" s="136"/>
      <c r="J28" s="137"/>
      <c r="K28" s="134"/>
      <c r="L28" s="134"/>
      <c r="M28" s="134"/>
      <c r="N28" s="138"/>
      <c r="O28" s="139"/>
      <c r="P28" s="139"/>
      <c r="Q28" s="139"/>
      <c r="R28" s="140"/>
      <c r="S28" s="141"/>
      <c r="T28" s="149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ht="19.5" customHeight="1" x14ac:dyDescent="0.3">
      <c r="A29" s="70"/>
      <c r="B29" s="143"/>
      <c r="C29" s="144"/>
      <c r="D29" s="156"/>
      <c r="E29" s="144"/>
      <c r="F29" s="110"/>
      <c r="G29" s="110"/>
      <c r="H29" s="157"/>
      <c r="I29" s="145"/>
      <c r="J29" s="121"/>
      <c r="K29" s="156"/>
      <c r="L29" s="156"/>
      <c r="M29" s="156"/>
      <c r="N29" s="158"/>
      <c r="O29" s="159"/>
      <c r="P29" s="159"/>
      <c r="Q29" s="159"/>
      <c r="R29" s="160"/>
      <c r="S29" s="77"/>
      <c r="T29" s="14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</row>
    <row r="30" spans="1:36" ht="19.5" customHeight="1" x14ac:dyDescent="0.3">
      <c r="A30" s="70"/>
      <c r="B30" s="143"/>
      <c r="C30" s="144"/>
      <c r="D30" s="156"/>
      <c r="E30" s="144"/>
      <c r="F30" s="110"/>
      <c r="G30" s="110"/>
      <c r="H30" s="157"/>
      <c r="I30" s="145"/>
      <c r="J30" s="121"/>
      <c r="K30" s="156"/>
      <c r="L30" s="156"/>
      <c r="M30" s="156"/>
      <c r="N30" s="158"/>
      <c r="O30" s="159"/>
      <c r="P30" s="159"/>
      <c r="Q30" s="159"/>
      <c r="R30" s="160"/>
      <c r="S30" s="77"/>
      <c r="T30" s="14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</row>
    <row r="31" spans="1:36" ht="19.5" customHeight="1" x14ac:dyDescent="0.3">
      <c r="A31" s="70"/>
      <c r="B31" s="143"/>
      <c r="C31" s="144"/>
      <c r="D31" s="156"/>
      <c r="E31" s="144"/>
      <c r="F31" s="110"/>
      <c r="G31" s="110"/>
      <c r="H31" s="157"/>
      <c r="I31" s="145"/>
      <c r="J31" s="121"/>
      <c r="K31" s="156"/>
      <c r="L31" s="156"/>
      <c r="M31" s="156"/>
      <c r="N31" s="158"/>
      <c r="O31" s="159"/>
      <c r="P31" s="159"/>
      <c r="Q31" s="159"/>
      <c r="R31" s="160"/>
      <c r="S31" s="77"/>
      <c r="T31" s="14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</row>
    <row r="32" spans="1:36" ht="19.5" customHeight="1" x14ac:dyDescent="0.3">
      <c r="A32" s="70"/>
      <c r="B32" s="143"/>
      <c r="C32" s="144"/>
      <c r="D32" s="156"/>
      <c r="E32" s="144"/>
      <c r="F32" s="110"/>
      <c r="G32" s="110"/>
      <c r="H32" s="157"/>
      <c r="I32" s="145"/>
      <c r="J32" s="121"/>
      <c r="K32" s="156"/>
      <c r="L32" s="156"/>
      <c r="M32" s="156"/>
      <c r="N32" s="158"/>
      <c r="O32" s="159"/>
      <c r="P32" s="159"/>
      <c r="Q32" s="159"/>
      <c r="R32" s="160"/>
      <c r="S32" s="77"/>
      <c r="T32" s="149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</row>
    <row r="33" spans="1:36" ht="19.5" customHeight="1" x14ac:dyDescent="0.3">
      <c r="A33" s="70"/>
      <c r="B33" s="143"/>
      <c r="C33" s="144"/>
      <c r="D33" s="156"/>
      <c r="E33" s="144"/>
      <c r="F33" s="110"/>
      <c r="G33" s="110"/>
      <c r="H33" s="157"/>
      <c r="I33" s="145"/>
      <c r="J33" s="121"/>
      <c r="K33" s="156"/>
      <c r="L33" s="156"/>
      <c r="M33" s="156"/>
      <c r="N33" s="158"/>
      <c r="O33" s="159"/>
      <c r="P33" s="159"/>
      <c r="Q33" s="159"/>
      <c r="R33" s="160"/>
      <c r="S33" s="77"/>
      <c r="T33" s="149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</row>
    <row r="34" spans="1:36" ht="19.5" customHeight="1" x14ac:dyDescent="0.3">
      <c r="A34" s="70"/>
      <c r="B34" s="143"/>
      <c r="C34" s="144"/>
      <c r="D34" s="156"/>
      <c r="E34" s="144"/>
      <c r="F34" s="110"/>
      <c r="G34" s="110"/>
      <c r="H34" s="157"/>
      <c r="I34" s="145"/>
      <c r="J34" s="121"/>
      <c r="K34" s="156"/>
      <c r="L34" s="156"/>
      <c r="M34" s="156"/>
      <c r="N34" s="158"/>
      <c r="O34" s="159"/>
      <c r="P34" s="159"/>
      <c r="Q34" s="159"/>
      <c r="R34" s="160"/>
      <c r="S34" s="77"/>
      <c r="T34" s="149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</row>
    <row r="35" spans="1:36" ht="19.5" customHeight="1" x14ac:dyDescent="0.3">
      <c r="A35" s="70"/>
      <c r="B35" s="143"/>
      <c r="C35" s="144"/>
      <c r="D35" s="156"/>
      <c r="E35" s="144"/>
      <c r="F35" s="110"/>
      <c r="G35" s="110"/>
      <c r="H35" s="157"/>
      <c r="I35" s="145"/>
      <c r="J35" s="121"/>
      <c r="K35" s="156"/>
      <c r="L35" s="156"/>
      <c r="M35" s="156"/>
      <c r="N35" s="158"/>
      <c r="O35" s="159"/>
      <c r="P35" s="159"/>
      <c r="Q35" s="159"/>
      <c r="R35" s="160"/>
      <c r="S35" s="77"/>
      <c r="T35" s="149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spans="1:36" ht="19.5" customHeight="1" x14ac:dyDescent="0.3">
      <c r="A36" s="70"/>
      <c r="B36" s="156"/>
      <c r="C36" s="156"/>
      <c r="D36" s="156"/>
      <c r="E36" s="157"/>
      <c r="F36" s="157"/>
      <c r="G36" s="157"/>
      <c r="H36" s="157"/>
      <c r="I36" s="145"/>
      <c r="J36" s="121"/>
      <c r="K36" s="156"/>
      <c r="L36" s="156"/>
      <c r="M36" s="156"/>
      <c r="N36" s="158"/>
      <c r="O36" s="159"/>
      <c r="P36" s="159"/>
      <c r="Q36" s="159"/>
      <c r="R36" s="160"/>
      <c r="S36" s="77"/>
      <c r="T36" s="149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</row>
    <row r="37" spans="1:36" s="142" customFormat="1" ht="19.5" customHeight="1" x14ac:dyDescent="0.3">
      <c r="A37" s="132"/>
      <c r="B37" s="133"/>
      <c r="C37" s="137"/>
      <c r="D37" s="137"/>
      <c r="E37" s="152"/>
      <c r="F37" s="152"/>
      <c r="G37" s="152"/>
      <c r="H37" s="152"/>
      <c r="I37" s="136"/>
      <c r="J37" s="137"/>
      <c r="K37" s="134"/>
      <c r="L37" s="134"/>
      <c r="M37" s="134"/>
      <c r="N37" s="153"/>
      <c r="O37" s="139"/>
      <c r="P37" s="139"/>
      <c r="Q37" s="139"/>
      <c r="R37" s="140"/>
      <c r="S37" s="141"/>
      <c r="T37" s="149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</row>
    <row r="38" spans="1:36" ht="19.5" customHeight="1" x14ac:dyDescent="0.3">
      <c r="A38" s="70"/>
      <c r="B38" s="161"/>
      <c r="C38" s="144"/>
      <c r="D38" s="162"/>
      <c r="E38" s="144"/>
      <c r="F38" s="110"/>
      <c r="G38" s="110"/>
      <c r="H38" s="157"/>
      <c r="I38" s="145"/>
      <c r="J38" s="121"/>
      <c r="K38" s="156"/>
      <c r="L38" s="156"/>
      <c r="M38" s="156"/>
      <c r="N38" s="158"/>
      <c r="O38" s="159"/>
      <c r="P38" s="159"/>
      <c r="Q38" s="159"/>
      <c r="R38" s="160"/>
      <c r="S38" s="77"/>
      <c r="T38" s="149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</row>
    <row r="39" spans="1:36" ht="19.5" customHeight="1" x14ac:dyDescent="0.3">
      <c r="A39" s="70"/>
      <c r="B39" s="161"/>
      <c r="C39" s="144"/>
      <c r="D39" s="156"/>
      <c r="E39" s="144"/>
      <c r="F39" s="110"/>
      <c r="G39" s="110"/>
      <c r="H39" s="157"/>
      <c r="I39" s="145"/>
      <c r="J39" s="121"/>
      <c r="K39" s="156"/>
      <c r="L39" s="156"/>
      <c r="M39" s="156"/>
      <c r="N39" s="158"/>
      <c r="O39" s="159"/>
      <c r="P39" s="159"/>
      <c r="Q39" s="159"/>
      <c r="R39" s="160"/>
      <c r="S39" s="77"/>
      <c r="T39" s="149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</row>
    <row r="40" spans="1:36" ht="19.5" customHeight="1" x14ac:dyDescent="0.3">
      <c r="A40" s="70"/>
      <c r="B40" s="161"/>
      <c r="C40" s="144"/>
      <c r="D40" s="156"/>
      <c r="E40" s="144"/>
      <c r="F40" s="110"/>
      <c r="G40" s="110"/>
      <c r="H40" s="157"/>
      <c r="I40" s="145"/>
      <c r="J40" s="121"/>
      <c r="K40" s="156"/>
      <c r="L40" s="156"/>
      <c r="M40" s="156"/>
      <c r="N40" s="158"/>
      <c r="O40" s="159"/>
      <c r="P40" s="159"/>
      <c r="Q40" s="159"/>
      <c r="R40" s="160"/>
      <c r="S40" s="77"/>
      <c r="T40" s="149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spans="1:36" ht="19.5" customHeight="1" x14ac:dyDescent="0.3">
      <c r="A41" s="70"/>
      <c r="B41" s="161"/>
      <c r="C41" s="144"/>
      <c r="D41" s="156"/>
      <c r="E41" s="144"/>
      <c r="F41" s="110"/>
      <c r="G41" s="110"/>
      <c r="H41" s="157"/>
      <c r="I41" s="145"/>
      <c r="J41" s="121"/>
      <c r="K41" s="156"/>
      <c r="L41" s="156"/>
      <c r="M41" s="156"/>
      <c r="N41" s="158"/>
      <c r="O41" s="159"/>
      <c r="P41" s="159"/>
      <c r="Q41" s="159"/>
      <c r="R41" s="160"/>
      <c r="S41" s="77"/>
      <c r="T41" s="149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spans="1:36" ht="19.5" customHeight="1" x14ac:dyDescent="0.3">
      <c r="A42" s="70"/>
      <c r="B42" s="161"/>
      <c r="C42" s="163"/>
      <c r="D42" s="156"/>
      <c r="E42" s="144"/>
      <c r="F42" s="110"/>
      <c r="G42" s="110"/>
      <c r="H42" s="157"/>
      <c r="I42" s="145"/>
      <c r="J42" s="121"/>
      <c r="K42" s="156"/>
      <c r="L42" s="156"/>
      <c r="M42" s="156"/>
      <c r="N42" s="158"/>
      <c r="O42" s="159"/>
      <c r="P42" s="159"/>
      <c r="Q42" s="159"/>
      <c r="R42" s="160"/>
      <c r="S42" s="77"/>
      <c r="T42" s="149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36" ht="19.5" customHeight="1" x14ac:dyDescent="0.3">
      <c r="A43" s="70"/>
      <c r="B43" s="161"/>
      <c r="C43" s="144"/>
      <c r="D43" s="156"/>
      <c r="E43" s="144"/>
      <c r="F43" s="110"/>
      <c r="G43" s="110"/>
      <c r="H43" s="157"/>
      <c r="I43" s="145"/>
      <c r="J43" s="121"/>
      <c r="K43" s="156"/>
      <c r="L43" s="156"/>
      <c r="M43" s="156"/>
      <c r="N43" s="158"/>
      <c r="O43" s="159"/>
      <c r="P43" s="159"/>
      <c r="Q43" s="159"/>
      <c r="R43" s="160"/>
      <c r="S43" s="77"/>
      <c r="T43" s="149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36" ht="19.5" customHeight="1" x14ac:dyDescent="0.3">
      <c r="A44" s="70"/>
      <c r="B44" s="161"/>
      <c r="C44" s="144"/>
      <c r="D44" s="156"/>
      <c r="E44" s="144"/>
      <c r="F44" s="110"/>
      <c r="G44" s="110"/>
      <c r="H44" s="157"/>
      <c r="I44" s="145"/>
      <c r="J44" s="121"/>
      <c r="K44" s="156"/>
      <c r="L44" s="156"/>
      <c r="M44" s="156"/>
      <c r="N44" s="158"/>
      <c r="O44" s="159"/>
      <c r="P44" s="159"/>
      <c r="Q44" s="159"/>
      <c r="R44" s="160"/>
      <c r="S44" s="77"/>
      <c r="T44" s="149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36" ht="19.5" customHeight="1" x14ac:dyDescent="0.3">
      <c r="A45" s="70"/>
      <c r="B45" s="161"/>
      <c r="C45" s="144"/>
      <c r="D45" s="156"/>
      <c r="E45" s="144"/>
      <c r="F45" s="110"/>
      <c r="G45" s="110"/>
      <c r="H45" s="157"/>
      <c r="I45" s="145"/>
      <c r="J45" s="121"/>
      <c r="K45" s="156"/>
      <c r="L45" s="156"/>
      <c r="M45" s="156"/>
      <c r="N45" s="158"/>
      <c r="O45" s="159"/>
      <c r="P45" s="159"/>
      <c r="Q45" s="159"/>
      <c r="R45" s="160"/>
      <c r="S45" s="77"/>
      <c r="T45" s="14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36" ht="19.5" customHeight="1" x14ac:dyDescent="0.3">
      <c r="A46" s="70"/>
      <c r="B46" s="161"/>
      <c r="C46" s="144"/>
      <c r="D46" s="156"/>
      <c r="E46" s="144"/>
      <c r="F46" s="110"/>
      <c r="G46" s="110"/>
      <c r="H46" s="157"/>
      <c r="I46" s="145"/>
      <c r="J46" s="121"/>
      <c r="K46" s="156"/>
      <c r="L46" s="156"/>
      <c r="M46" s="156"/>
      <c r="N46" s="158"/>
      <c r="O46" s="159"/>
      <c r="P46" s="159"/>
      <c r="Q46" s="159"/>
      <c r="R46" s="160"/>
      <c r="S46" s="77"/>
      <c r="T46" s="149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36" ht="19.5" customHeight="1" x14ac:dyDescent="0.3">
      <c r="A47" s="70"/>
      <c r="B47" s="161"/>
      <c r="C47" s="144"/>
      <c r="D47" s="156"/>
      <c r="E47" s="144"/>
      <c r="F47" s="110"/>
      <c r="G47" s="110"/>
      <c r="H47" s="157"/>
      <c r="I47" s="145"/>
      <c r="J47" s="121"/>
      <c r="K47" s="156"/>
      <c r="L47" s="156"/>
      <c r="M47" s="156"/>
      <c r="N47" s="158"/>
      <c r="O47" s="159"/>
      <c r="P47" s="159"/>
      <c r="Q47" s="159"/>
      <c r="R47" s="160"/>
      <c r="S47" s="77"/>
      <c r="T47" s="149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36" ht="19.5" customHeight="1" x14ac:dyDescent="0.3">
      <c r="A48" s="70"/>
      <c r="B48" s="161"/>
      <c r="C48" s="144"/>
      <c r="D48" s="156"/>
      <c r="E48" s="143"/>
      <c r="F48" s="110"/>
      <c r="G48" s="110"/>
      <c r="H48" s="157"/>
      <c r="I48" s="145"/>
      <c r="J48" s="121"/>
      <c r="K48" s="156"/>
      <c r="L48" s="156"/>
      <c r="M48" s="156"/>
      <c r="N48" s="158"/>
      <c r="O48" s="159"/>
      <c r="P48" s="159"/>
      <c r="Q48" s="159"/>
      <c r="R48" s="160"/>
      <c r="S48" s="77"/>
      <c r="T48" s="149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36" ht="19.5" customHeight="1" x14ac:dyDescent="0.3">
      <c r="A49" s="70"/>
      <c r="B49" s="161"/>
      <c r="C49" s="144"/>
      <c r="D49" s="156"/>
      <c r="E49" s="143"/>
      <c r="F49" s="110"/>
      <c r="G49" s="110"/>
      <c r="H49" s="157"/>
      <c r="I49" s="145"/>
      <c r="J49" s="121"/>
      <c r="K49" s="156"/>
      <c r="L49" s="156"/>
      <c r="M49" s="156"/>
      <c r="N49" s="158"/>
      <c r="O49" s="159"/>
      <c r="P49" s="159"/>
      <c r="Q49" s="159"/>
      <c r="R49" s="160"/>
      <c r="S49" s="77"/>
      <c r="T49" s="149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spans="1:36" ht="19.5" customHeight="1" x14ac:dyDescent="0.3">
      <c r="A50" s="70"/>
      <c r="B50" s="156"/>
      <c r="C50" s="156"/>
      <c r="D50" s="156"/>
      <c r="E50" s="157"/>
      <c r="F50" s="157"/>
      <c r="G50" s="157"/>
      <c r="H50" s="157"/>
      <c r="I50" s="145"/>
      <c r="J50" s="121"/>
      <c r="K50" s="156"/>
      <c r="L50" s="156"/>
      <c r="M50" s="156"/>
      <c r="N50" s="158"/>
      <c r="O50" s="159"/>
      <c r="P50" s="159"/>
      <c r="Q50" s="159"/>
      <c r="R50" s="160"/>
      <c r="S50" s="77"/>
      <c r="T50" s="149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spans="1:36" s="142" customFormat="1" ht="19.5" customHeight="1" x14ac:dyDescent="0.3">
      <c r="A51" s="132"/>
      <c r="B51" s="133"/>
      <c r="C51" s="133"/>
      <c r="D51" s="137"/>
      <c r="E51" s="152"/>
      <c r="F51" s="152"/>
      <c r="G51" s="152"/>
      <c r="H51" s="152"/>
      <c r="I51" s="136"/>
      <c r="J51" s="137"/>
      <c r="K51" s="134"/>
      <c r="L51" s="134"/>
      <c r="M51" s="134"/>
      <c r="N51" s="153"/>
      <c r="O51" s="139"/>
      <c r="P51" s="139"/>
      <c r="Q51" s="139"/>
      <c r="R51" s="140"/>
      <c r="S51" s="141"/>
      <c r="T51" s="149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</row>
    <row r="52" spans="1:36" ht="19.5" customHeight="1" x14ac:dyDescent="0.3">
      <c r="A52" s="70"/>
      <c r="B52" s="143"/>
      <c r="C52" s="144"/>
      <c r="D52" s="156"/>
      <c r="E52" s="144"/>
      <c r="F52" s="110"/>
      <c r="G52" s="110"/>
      <c r="H52" s="157"/>
      <c r="I52" s="145"/>
      <c r="J52" s="121"/>
      <c r="K52" s="156"/>
      <c r="L52" s="156"/>
      <c r="M52" s="156"/>
      <c r="N52" s="158"/>
      <c r="O52" s="159"/>
      <c r="P52" s="159"/>
      <c r="Q52" s="159"/>
      <c r="R52" s="160"/>
      <c r="S52" s="77"/>
      <c r="T52" s="149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spans="1:36" ht="19.5" customHeight="1" x14ac:dyDescent="0.3">
      <c r="A53" s="70"/>
      <c r="B53" s="143"/>
      <c r="C53" s="144"/>
      <c r="D53" s="156"/>
      <c r="E53" s="144"/>
      <c r="F53" s="110"/>
      <c r="G53" s="110"/>
      <c r="H53" s="157"/>
      <c r="I53" s="145"/>
      <c r="J53" s="121"/>
      <c r="K53" s="156"/>
      <c r="L53" s="156"/>
      <c r="M53" s="156"/>
      <c r="N53" s="158"/>
      <c r="O53" s="159"/>
      <c r="P53" s="159"/>
      <c r="Q53" s="159"/>
      <c r="R53" s="160"/>
      <c r="S53" s="77"/>
      <c r="T53" s="149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pans="1:36" ht="19.5" customHeight="1" x14ac:dyDescent="0.3">
      <c r="A54" s="70"/>
      <c r="B54" s="143"/>
      <c r="C54" s="144"/>
      <c r="D54" s="156"/>
      <c r="E54" s="144"/>
      <c r="F54" s="110"/>
      <c r="G54" s="110"/>
      <c r="H54" s="157"/>
      <c r="I54" s="145"/>
      <c r="J54" s="121"/>
      <c r="K54" s="156"/>
      <c r="L54" s="156"/>
      <c r="M54" s="156"/>
      <c r="N54" s="158"/>
      <c r="O54" s="159"/>
      <c r="P54" s="159"/>
      <c r="Q54" s="159"/>
      <c r="R54" s="160"/>
      <c r="S54" s="77"/>
      <c r="T54" s="149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ht="19.5" customHeight="1" x14ac:dyDescent="0.3">
      <c r="A55" s="70"/>
      <c r="B55" s="143"/>
      <c r="C55" s="144"/>
      <c r="D55" s="156"/>
      <c r="E55" s="144"/>
      <c r="F55" s="110"/>
      <c r="G55" s="110"/>
      <c r="H55" s="157"/>
      <c r="I55" s="145"/>
      <c r="J55" s="121"/>
      <c r="K55" s="156"/>
      <c r="L55" s="156"/>
      <c r="M55" s="156"/>
      <c r="N55" s="158"/>
      <c r="O55" s="159"/>
      <c r="P55" s="159"/>
      <c r="Q55" s="159"/>
      <c r="R55" s="160"/>
      <c r="S55" s="77"/>
      <c r="T55" s="149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spans="1:36" ht="19.5" customHeight="1" x14ac:dyDescent="0.3">
      <c r="A56" s="70"/>
      <c r="B56" s="143"/>
      <c r="C56" s="144"/>
      <c r="D56" s="162"/>
      <c r="E56" s="144"/>
      <c r="F56" s="110"/>
      <c r="G56" s="110"/>
      <c r="H56" s="157"/>
      <c r="I56" s="145"/>
      <c r="J56" s="121"/>
      <c r="K56" s="156"/>
      <c r="L56" s="156"/>
      <c r="M56" s="156"/>
      <c r="N56" s="158"/>
      <c r="O56" s="159"/>
      <c r="P56" s="159"/>
      <c r="Q56" s="159"/>
      <c r="R56" s="160"/>
      <c r="S56" s="77"/>
      <c r="T56" s="149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spans="1:36" ht="19.5" customHeight="1" x14ac:dyDescent="0.3">
      <c r="A57" s="70"/>
      <c r="B57" s="143"/>
      <c r="C57" s="144"/>
      <c r="D57" s="156"/>
      <c r="E57" s="144"/>
      <c r="F57" s="110"/>
      <c r="G57" s="110"/>
      <c r="H57" s="157"/>
      <c r="I57" s="145"/>
      <c r="J57" s="121"/>
      <c r="K57" s="156"/>
      <c r="L57" s="156"/>
      <c r="M57" s="156"/>
      <c r="N57" s="158"/>
      <c r="O57" s="159"/>
      <c r="P57" s="159"/>
      <c r="Q57" s="159"/>
      <c r="R57" s="160"/>
      <c r="S57" s="77"/>
      <c r="T57" s="149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spans="1:36" ht="19.5" customHeight="1" x14ac:dyDescent="0.3">
      <c r="A58" s="70"/>
      <c r="B58" s="150"/>
      <c r="C58" s="151"/>
      <c r="D58" s="156"/>
      <c r="E58" s="144"/>
      <c r="F58" s="110"/>
      <c r="G58" s="110"/>
      <c r="H58" s="157"/>
      <c r="I58" s="145"/>
      <c r="J58" s="121"/>
      <c r="K58" s="156"/>
      <c r="L58" s="156"/>
      <c r="M58" s="156"/>
      <c r="N58" s="158"/>
      <c r="O58" s="159"/>
      <c r="P58" s="159"/>
      <c r="Q58" s="159"/>
      <c r="R58" s="160"/>
      <c r="S58" s="77"/>
      <c r="T58" s="149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spans="1:36" ht="19.5" customHeight="1" x14ac:dyDescent="0.3">
      <c r="A59" s="70"/>
      <c r="B59" s="150"/>
      <c r="C59" s="151"/>
      <c r="D59" s="156"/>
      <c r="E59" s="151"/>
      <c r="F59" s="110"/>
      <c r="G59" s="110"/>
      <c r="H59" s="157"/>
      <c r="I59" s="145"/>
      <c r="J59" s="121"/>
      <c r="K59" s="156"/>
      <c r="L59" s="156"/>
      <c r="M59" s="156"/>
      <c r="N59" s="158"/>
      <c r="O59" s="159"/>
      <c r="P59" s="159"/>
      <c r="Q59" s="159"/>
      <c r="R59" s="160"/>
      <c r="S59" s="77"/>
      <c r="T59" s="149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spans="1:36" ht="19.5" customHeight="1" x14ac:dyDescent="0.3">
      <c r="A60" s="70"/>
      <c r="B60" s="156"/>
      <c r="C60" s="156"/>
      <c r="D60" s="156"/>
      <c r="E60" s="157"/>
      <c r="F60" s="157"/>
      <c r="G60" s="157"/>
      <c r="H60" s="157"/>
      <c r="I60" s="145"/>
      <c r="J60" s="121"/>
      <c r="K60" s="156"/>
      <c r="L60" s="156"/>
      <c r="M60" s="156"/>
      <c r="N60" s="158"/>
      <c r="O60" s="159"/>
      <c r="P60" s="159"/>
      <c r="Q60" s="159"/>
      <c r="R60" s="160"/>
      <c r="S60" s="77"/>
      <c r="T60" s="149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spans="1:36" s="142" customFormat="1" ht="19.5" customHeight="1" x14ac:dyDescent="0.3">
      <c r="A61" s="132"/>
      <c r="B61" s="133"/>
      <c r="C61" s="133"/>
      <c r="D61" s="137"/>
      <c r="E61" s="152"/>
      <c r="F61" s="152"/>
      <c r="G61" s="152"/>
      <c r="H61" s="152"/>
      <c r="I61" s="136"/>
      <c r="J61" s="137"/>
      <c r="K61" s="134"/>
      <c r="L61" s="134"/>
      <c r="M61" s="134"/>
      <c r="N61" s="153"/>
      <c r="O61" s="139"/>
      <c r="P61" s="139"/>
      <c r="Q61" s="139"/>
      <c r="R61" s="140"/>
      <c r="S61" s="141"/>
      <c r="T61" s="149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</row>
    <row r="62" spans="1:36" ht="19.5" customHeight="1" x14ac:dyDescent="0.3">
      <c r="A62" s="70"/>
      <c r="B62" s="143"/>
      <c r="C62" s="144"/>
      <c r="D62" s="156"/>
      <c r="E62" s="144"/>
      <c r="F62" s="110"/>
      <c r="G62" s="110"/>
      <c r="H62" s="157"/>
      <c r="I62" s="145"/>
      <c r="J62" s="121"/>
      <c r="K62" s="156"/>
      <c r="L62" s="156"/>
      <c r="M62" s="156"/>
      <c r="N62" s="158"/>
      <c r="O62" s="159"/>
      <c r="P62" s="159"/>
      <c r="Q62" s="159"/>
      <c r="R62" s="160"/>
      <c r="S62" s="77"/>
      <c r="T62" s="149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ht="19.5" customHeight="1" x14ac:dyDescent="0.3">
      <c r="A63" s="70"/>
      <c r="B63" s="143"/>
      <c r="C63" s="144"/>
      <c r="D63" s="156"/>
      <c r="E63" s="144"/>
      <c r="F63" s="110"/>
      <c r="G63" s="110"/>
      <c r="H63" s="157"/>
      <c r="I63" s="145"/>
      <c r="J63" s="121"/>
      <c r="K63" s="156"/>
      <c r="L63" s="156"/>
      <c r="M63" s="156"/>
      <c r="N63" s="158"/>
      <c r="O63" s="159"/>
      <c r="P63" s="159"/>
      <c r="Q63" s="159"/>
      <c r="R63" s="160"/>
      <c r="S63" s="77"/>
      <c r="T63" s="149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spans="1:36" ht="19.5" customHeight="1" x14ac:dyDescent="0.3">
      <c r="A64" s="70"/>
      <c r="B64" s="143"/>
      <c r="C64" s="144"/>
      <c r="D64" s="156"/>
      <c r="E64" s="144"/>
      <c r="F64" s="110"/>
      <c r="G64" s="110"/>
      <c r="H64" s="157"/>
      <c r="I64" s="145"/>
      <c r="J64" s="121"/>
      <c r="K64" s="156"/>
      <c r="L64" s="156"/>
      <c r="M64" s="156"/>
      <c r="N64" s="158"/>
      <c r="O64" s="159"/>
      <c r="P64" s="159"/>
      <c r="Q64" s="159"/>
      <c r="R64" s="160"/>
      <c r="S64" s="77"/>
      <c r="T64" s="149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6" ht="19.5" customHeight="1" x14ac:dyDescent="0.3">
      <c r="A65" s="70"/>
      <c r="B65" s="150"/>
      <c r="C65" s="151"/>
      <c r="D65" s="156"/>
      <c r="E65" s="151"/>
      <c r="F65" s="110"/>
      <c r="G65" s="110"/>
      <c r="H65" s="157"/>
      <c r="I65" s="145"/>
      <c r="J65" s="121"/>
      <c r="K65" s="156"/>
      <c r="L65" s="156"/>
      <c r="M65" s="156"/>
      <c r="N65" s="158"/>
      <c r="O65" s="159"/>
      <c r="P65" s="159"/>
      <c r="Q65" s="159"/>
      <c r="R65" s="160"/>
      <c r="S65" s="77"/>
      <c r="T65" s="149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spans="1:36" ht="19.5" customHeight="1" x14ac:dyDescent="0.3">
      <c r="A66" s="70"/>
      <c r="B66" s="156"/>
      <c r="C66" s="156"/>
      <c r="D66" s="156"/>
      <c r="E66" s="157"/>
      <c r="F66" s="157"/>
      <c r="G66" s="157"/>
      <c r="H66" s="157"/>
      <c r="I66" s="145"/>
      <c r="J66" s="121"/>
      <c r="K66" s="156"/>
      <c r="L66" s="156"/>
      <c r="M66" s="156"/>
      <c r="N66" s="158"/>
      <c r="O66" s="159"/>
      <c r="P66" s="159"/>
      <c r="Q66" s="159"/>
      <c r="R66" s="160"/>
      <c r="S66" s="77"/>
      <c r="T66" s="149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pans="1:36" s="142" customFormat="1" ht="19.5" customHeight="1" x14ac:dyDescent="0.3">
      <c r="A67" s="132"/>
      <c r="B67" s="133"/>
      <c r="C67" s="133"/>
      <c r="D67" s="137"/>
      <c r="E67" s="152"/>
      <c r="F67" s="152"/>
      <c r="G67" s="152"/>
      <c r="H67" s="152"/>
      <c r="I67" s="136"/>
      <c r="J67" s="137"/>
      <c r="K67" s="134"/>
      <c r="L67" s="134"/>
      <c r="M67" s="134"/>
      <c r="N67" s="153"/>
      <c r="O67" s="139"/>
      <c r="P67" s="139"/>
      <c r="Q67" s="139"/>
      <c r="R67" s="140"/>
      <c r="S67" s="141"/>
      <c r="T67" s="149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 spans="1:36" ht="19.5" customHeight="1" x14ac:dyDescent="0.3">
      <c r="A68" s="70"/>
      <c r="B68" s="143"/>
      <c r="C68" s="144"/>
      <c r="D68" s="156"/>
      <c r="E68" s="144"/>
      <c r="F68" s="110"/>
      <c r="G68" s="110"/>
      <c r="H68" s="157"/>
      <c r="I68" s="145"/>
      <c r="J68" s="121"/>
      <c r="K68" s="156"/>
      <c r="L68" s="156"/>
      <c r="M68" s="156"/>
      <c r="N68" s="158"/>
      <c r="O68" s="159"/>
      <c r="P68" s="159"/>
      <c r="Q68" s="159"/>
      <c r="R68" s="160"/>
      <c r="S68" s="77"/>
      <c r="T68" s="149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spans="1:36" ht="19.5" customHeight="1" x14ac:dyDescent="0.3">
      <c r="A69" s="70"/>
      <c r="B69" s="143"/>
      <c r="C69" s="144"/>
      <c r="D69" s="156"/>
      <c r="E69" s="144"/>
      <c r="F69" s="110"/>
      <c r="G69" s="110"/>
      <c r="H69" s="157"/>
      <c r="I69" s="145"/>
      <c r="J69" s="121"/>
      <c r="K69" s="156"/>
      <c r="L69" s="156"/>
      <c r="M69" s="156"/>
      <c r="N69" s="158"/>
      <c r="O69" s="159"/>
      <c r="P69" s="159"/>
      <c r="Q69" s="159"/>
      <c r="R69" s="160"/>
      <c r="S69" s="77"/>
      <c r="T69" s="149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ht="19.5" customHeight="1" x14ac:dyDescent="0.3">
      <c r="A70" s="70"/>
      <c r="B70" s="156"/>
      <c r="C70" s="156"/>
      <c r="D70" s="156"/>
      <c r="E70" s="157"/>
      <c r="F70" s="157"/>
      <c r="G70" s="157"/>
      <c r="H70" s="157"/>
      <c r="I70" s="145"/>
      <c r="J70" s="121"/>
      <c r="K70" s="156"/>
      <c r="L70" s="156"/>
      <c r="M70" s="156"/>
      <c r="N70" s="158"/>
      <c r="O70" s="159"/>
      <c r="P70" s="159"/>
      <c r="Q70" s="159"/>
      <c r="R70" s="160"/>
      <c r="S70" s="77"/>
      <c r="T70" s="149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spans="1:36" s="142" customFormat="1" ht="19.5" customHeight="1" x14ac:dyDescent="0.3">
      <c r="A71" s="132"/>
      <c r="B71" s="133"/>
      <c r="C71" s="133"/>
      <c r="D71" s="137"/>
      <c r="E71" s="152"/>
      <c r="F71" s="152"/>
      <c r="G71" s="152"/>
      <c r="H71" s="152"/>
      <c r="I71" s="136"/>
      <c r="J71" s="137"/>
      <c r="K71" s="134"/>
      <c r="L71" s="134"/>
      <c r="M71" s="134"/>
      <c r="N71" s="153"/>
      <c r="O71" s="139"/>
      <c r="P71" s="139"/>
      <c r="Q71" s="139"/>
      <c r="R71" s="140"/>
      <c r="S71" s="141"/>
      <c r="T71" s="149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 spans="1:36" ht="19.5" customHeight="1" x14ac:dyDescent="0.3">
      <c r="A72" s="70"/>
      <c r="B72" s="143"/>
      <c r="C72" s="144"/>
      <c r="D72" s="144"/>
      <c r="E72" s="144"/>
      <c r="F72" s="110"/>
      <c r="G72" s="110"/>
      <c r="H72" s="157"/>
      <c r="I72" s="145"/>
      <c r="J72" s="121"/>
      <c r="K72" s="156"/>
      <c r="L72" s="156"/>
      <c r="M72" s="156"/>
      <c r="N72" s="158"/>
      <c r="O72" s="159"/>
      <c r="P72" s="159"/>
      <c r="Q72" s="159"/>
      <c r="R72" s="160"/>
      <c r="S72" s="77"/>
      <c r="T72" s="149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spans="1:36" ht="19.5" customHeight="1" x14ac:dyDescent="0.3">
      <c r="A73" s="70"/>
      <c r="B73" s="143"/>
      <c r="C73" s="144"/>
      <c r="D73" s="144"/>
      <c r="E73" s="144"/>
      <c r="F73" s="110"/>
      <c r="G73" s="110"/>
      <c r="H73" s="157"/>
      <c r="I73" s="145"/>
      <c r="J73" s="121"/>
      <c r="K73" s="156"/>
      <c r="L73" s="156"/>
      <c r="M73" s="156"/>
      <c r="N73" s="158"/>
      <c r="O73" s="159"/>
      <c r="P73" s="159"/>
      <c r="Q73" s="159"/>
      <c r="R73" s="160"/>
      <c r="S73" s="77"/>
      <c r="T73" s="149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36" ht="19.5" customHeight="1" x14ac:dyDescent="0.3">
      <c r="A74" s="70"/>
      <c r="B74" s="143"/>
      <c r="C74" s="144"/>
      <c r="D74" s="144"/>
      <c r="E74" s="144"/>
      <c r="F74" s="110"/>
      <c r="G74" s="110"/>
      <c r="H74" s="157"/>
      <c r="I74" s="145"/>
      <c r="J74" s="121"/>
      <c r="K74" s="156"/>
      <c r="L74" s="156"/>
      <c r="M74" s="156"/>
      <c r="N74" s="158"/>
      <c r="O74" s="159"/>
      <c r="P74" s="159"/>
      <c r="Q74" s="159"/>
      <c r="R74" s="160"/>
      <c r="S74" s="77"/>
      <c r="T74" s="149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spans="1:36" ht="19.5" customHeight="1" x14ac:dyDescent="0.3">
      <c r="A75" s="70"/>
      <c r="B75" s="156"/>
      <c r="C75" s="156"/>
      <c r="D75" s="156"/>
      <c r="E75" s="157"/>
      <c r="F75" s="157"/>
      <c r="G75" s="157"/>
      <c r="H75" s="157"/>
      <c r="I75" s="145"/>
      <c r="J75" s="121"/>
      <c r="K75" s="156"/>
      <c r="L75" s="156"/>
      <c r="M75" s="156"/>
      <c r="N75" s="158"/>
      <c r="O75" s="159"/>
      <c r="P75" s="159"/>
      <c r="Q75" s="159"/>
      <c r="R75" s="160"/>
      <c r="S75" s="77"/>
      <c r="T75" s="149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spans="1:36" s="142" customFormat="1" ht="19.5" customHeight="1" x14ac:dyDescent="0.3">
      <c r="A76" s="132"/>
      <c r="B76" s="133"/>
      <c r="C76" s="133"/>
      <c r="D76" s="137"/>
      <c r="E76" s="152"/>
      <c r="F76" s="152"/>
      <c r="G76" s="152"/>
      <c r="H76" s="152"/>
      <c r="I76" s="136"/>
      <c r="J76" s="137"/>
      <c r="K76" s="134"/>
      <c r="L76" s="134"/>
      <c r="M76" s="134"/>
      <c r="N76" s="153"/>
      <c r="O76" s="139"/>
      <c r="P76" s="139"/>
      <c r="Q76" s="139"/>
      <c r="R76" s="140"/>
      <c r="S76" s="141"/>
      <c r="T76" s="149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</row>
    <row r="77" spans="1:36" ht="19.5" customHeight="1" x14ac:dyDescent="0.3">
      <c r="A77" s="70"/>
      <c r="B77" s="143"/>
      <c r="C77" s="144"/>
      <c r="D77" s="144"/>
      <c r="E77" s="144"/>
      <c r="F77" s="110"/>
      <c r="G77" s="110"/>
      <c r="H77" s="157"/>
      <c r="I77" s="145"/>
      <c r="J77" s="121"/>
      <c r="K77" s="156"/>
      <c r="L77" s="156"/>
      <c r="M77" s="156"/>
      <c r="N77" s="158"/>
      <c r="O77" s="159"/>
      <c r="P77" s="159"/>
      <c r="Q77" s="159"/>
      <c r="R77" s="160"/>
      <c r="S77" s="77"/>
      <c r="T77" s="149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spans="1:36" ht="19.5" customHeight="1" x14ac:dyDescent="0.3">
      <c r="A78" s="70"/>
      <c r="B78" s="143"/>
      <c r="C78" s="144"/>
      <c r="D78" s="144"/>
      <c r="E78" s="144"/>
      <c r="F78" s="110"/>
      <c r="G78" s="110"/>
      <c r="H78" s="157"/>
      <c r="I78" s="145"/>
      <c r="J78" s="121"/>
      <c r="K78" s="156"/>
      <c r="L78" s="156"/>
      <c r="M78" s="156"/>
      <c r="N78" s="158"/>
      <c r="O78" s="159"/>
      <c r="P78" s="159"/>
      <c r="Q78" s="159"/>
      <c r="R78" s="160"/>
      <c r="S78" s="77"/>
      <c r="T78" s="149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36" ht="19.5" customHeight="1" x14ac:dyDescent="0.3">
      <c r="A79" s="70"/>
      <c r="B79" s="143"/>
      <c r="C79" s="144"/>
      <c r="D79" s="144"/>
      <c r="E79" s="144"/>
      <c r="F79" s="110"/>
      <c r="G79" s="110"/>
      <c r="H79" s="157"/>
      <c r="I79" s="145"/>
      <c r="J79" s="121"/>
      <c r="K79" s="156"/>
      <c r="L79" s="156"/>
      <c r="M79" s="156"/>
      <c r="N79" s="158"/>
      <c r="O79" s="159"/>
      <c r="P79" s="159"/>
      <c r="Q79" s="159"/>
      <c r="R79" s="160"/>
      <c r="S79" s="77"/>
      <c r="T79" s="149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36" ht="19.5" customHeight="1" x14ac:dyDescent="0.3">
      <c r="A80" s="70"/>
      <c r="B80" s="156"/>
      <c r="C80" s="156"/>
      <c r="D80" s="156"/>
      <c r="E80" s="157"/>
      <c r="F80" s="157"/>
      <c r="G80" s="157"/>
      <c r="H80" s="157"/>
      <c r="I80" s="145"/>
      <c r="J80" s="121"/>
      <c r="K80" s="156"/>
      <c r="L80" s="156"/>
      <c r="M80" s="156"/>
      <c r="N80" s="158"/>
      <c r="O80" s="159"/>
      <c r="P80" s="159"/>
      <c r="Q80" s="159"/>
      <c r="R80" s="160"/>
      <c r="S80" s="77"/>
      <c r="T80" s="149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spans="1:36" ht="19.5" customHeight="1" x14ac:dyDescent="0.3">
      <c r="A81" s="70"/>
      <c r="B81" s="156"/>
      <c r="C81" s="156"/>
      <c r="D81" s="156"/>
      <c r="E81" s="157"/>
      <c r="F81" s="157"/>
      <c r="G81" s="157"/>
      <c r="H81" s="157"/>
      <c r="I81" s="145"/>
      <c r="J81" s="121"/>
      <c r="K81" s="156"/>
      <c r="L81" s="156"/>
      <c r="M81" s="156"/>
      <c r="N81" s="158"/>
      <c r="O81" s="159"/>
      <c r="P81" s="159"/>
      <c r="Q81" s="159"/>
      <c r="R81" s="160"/>
      <c r="S81" s="77"/>
      <c r="T81" s="149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spans="1:36" s="142" customFormat="1" ht="19.5" customHeight="1" x14ac:dyDescent="0.3">
      <c r="A82" s="132"/>
      <c r="B82" s="133"/>
      <c r="C82" s="133"/>
      <c r="D82" s="137"/>
      <c r="E82" s="152"/>
      <c r="F82" s="152"/>
      <c r="G82" s="152"/>
      <c r="H82" s="152"/>
      <c r="I82" s="136"/>
      <c r="J82" s="137"/>
      <c r="K82" s="134"/>
      <c r="L82" s="134"/>
      <c r="M82" s="134"/>
      <c r="N82" s="153"/>
      <c r="O82" s="139"/>
      <c r="P82" s="139"/>
      <c r="Q82" s="139"/>
      <c r="R82" s="140"/>
      <c r="S82" s="141"/>
      <c r="T82" s="149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</row>
    <row r="83" spans="1:36" ht="19.5" customHeight="1" x14ac:dyDescent="0.3">
      <c r="A83" s="70"/>
      <c r="B83" s="143"/>
      <c r="C83" s="144"/>
      <c r="D83" s="156"/>
      <c r="E83" s="144"/>
      <c r="F83" s="110"/>
      <c r="G83" s="110"/>
      <c r="H83" s="157"/>
      <c r="I83" s="145"/>
      <c r="J83" s="121"/>
      <c r="K83" s="156"/>
      <c r="L83" s="156"/>
      <c r="M83" s="156"/>
      <c r="N83" s="158"/>
      <c r="O83" s="159"/>
      <c r="P83" s="159"/>
      <c r="Q83" s="159"/>
      <c r="R83" s="160"/>
      <c r="S83" s="77"/>
      <c r="T83" s="149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" ht="19.5" customHeight="1" x14ac:dyDescent="0.3">
      <c r="A84" s="70"/>
      <c r="B84" s="143"/>
      <c r="C84" s="144"/>
      <c r="D84" s="156"/>
      <c r="E84" s="144"/>
      <c r="F84" s="110"/>
      <c r="G84" s="110"/>
      <c r="H84" s="157"/>
      <c r="I84" s="145"/>
      <c r="J84" s="121"/>
      <c r="K84" s="156"/>
      <c r="L84" s="156"/>
      <c r="M84" s="156"/>
      <c r="N84" s="158"/>
      <c r="O84" s="159"/>
      <c r="P84" s="159"/>
      <c r="Q84" s="159"/>
      <c r="R84" s="160"/>
      <c r="S84" s="77"/>
      <c r="T84" s="149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spans="1:36" ht="19.5" customHeight="1" x14ac:dyDescent="0.3">
      <c r="A85" s="70"/>
      <c r="B85" s="143"/>
      <c r="C85" s="144"/>
      <c r="D85" s="156"/>
      <c r="E85" s="144"/>
      <c r="F85" s="110"/>
      <c r="G85" s="110"/>
      <c r="H85" s="157"/>
      <c r="I85" s="145"/>
      <c r="J85" s="121"/>
      <c r="K85" s="156"/>
      <c r="L85" s="156"/>
      <c r="M85" s="156"/>
      <c r="N85" s="158"/>
      <c r="O85" s="159"/>
      <c r="P85" s="159"/>
      <c r="Q85" s="159"/>
      <c r="R85" s="160"/>
      <c r="S85" s="77"/>
      <c r="T85" s="149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9.5" customHeight="1" x14ac:dyDescent="0.3">
      <c r="A86" s="70"/>
      <c r="B86" s="143"/>
      <c r="C86" s="144"/>
      <c r="D86" s="156"/>
      <c r="E86" s="144"/>
      <c r="F86" s="110"/>
      <c r="G86" s="110"/>
      <c r="H86" s="157"/>
      <c r="I86" s="145"/>
      <c r="J86" s="121"/>
      <c r="K86" s="156"/>
      <c r="L86" s="156"/>
      <c r="M86" s="156"/>
      <c r="N86" s="158"/>
      <c r="O86" s="159"/>
      <c r="P86" s="159"/>
      <c r="Q86" s="159"/>
      <c r="R86" s="160"/>
      <c r="S86" s="77"/>
      <c r="T86" s="149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ht="19.5" customHeight="1" x14ac:dyDescent="0.3">
      <c r="A87" s="70"/>
      <c r="B87" s="156"/>
      <c r="C87" s="156"/>
      <c r="D87" s="156"/>
      <c r="E87" s="157"/>
      <c r="F87" s="157"/>
      <c r="G87" s="157"/>
      <c r="H87" s="157"/>
      <c r="I87" s="145"/>
      <c r="J87" s="121"/>
      <c r="K87" s="156"/>
      <c r="L87" s="156"/>
      <c r="M87" s="156"/>
      <c r="N87" s="158"/>
      <c r="O87" s="159"/>
      <c r="P87" s="159"/>
      <c r="Q87" s="159"/>
      <c r="R87" s="160"/>
      <c r="S87" s="77"/>
      <c r="T87" s="149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s="142" customFormat="1" ht="19.5" customHeight="1" x14ac:dyDescent="0.3">
      <c r="A88" s="132"/>
      <c r="B88" s="133"/>
      <c r="C88" s="133"/>
      <c r="D88" s="137"/>
      <c r="E88" s="152"/>
      <c r="F88" s="152"/>
      <c r="G88" s="152"/>
      <c r="H88" s="152"/>
      <c r="I88" s="136"/>
      <c r="J88" s="137"/>
      <c r="K88" s="134"/>
      <c r="L88" s="134"/>
      <c r="M88" s="134"/>
      <c r="N88" s="153"/>
      <c r="O88" s="139"/>
      <c r="P88" s="139"/>
      <c r="Q88" s="139"/>
      <c r="R88" s="140"/>
      <c r="S88" s="141"/>
      <c r="T88" s="149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</row>
    <row r="89" spans="1:36" ht="19.5" customHeight="1" x14ac:dyDescent="0.3">
      <c r="A89" s="70"/>
      <c r="B89" s="164"/>
      <c r="C89" s="164"/>
      <c r="D89" s="162"/>
      <c r="E89" s="165"/>
      <c r="F89" s="110"/>
      <c r="G89" s="110"/>
      <c r="H89" s="157"/>
      <c r="I89" s="145"/>
      <c r="J89" s="121"/>
      <c r="K89" s="156"/>
      <c r="L89" s="156"/>
      <c r="M89" s="156"/>
      <c r="N89" s="158"/>
      <c r="O89" s="159"/>
      <c r="P89" s="159"/>
      <c r="Q89" s="159"/>
      <c r="R89" s="160"/>
      <c r="S89" s="77"/>
      <c r="T89" s="149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spans="1:36" ht="19.5" customHeight="1" x14ac:dyDescent="0.3">
      <c r="A90" s="70"/>
      <c r="B90" s="164"/>
      <c r="C90" s="164"/>
      <c r="D90" s="156"/>
      <c r="E90" s="165"/>
      <c r="F90" s="110"/>
      <c r="G90" s="110"/>
      <c r="H90" s="157"/>
      <c r="I90" s="145"/>
      <c r="J90" s="121"/>
      <c r="K90" s="156"/>
      <c r="L90" s="156"/>
      <c r="M90" s="156"/>
      <c r="N90" s="158"/>
      <c r="O90" s="159"/>
      <c r="P90" s="159"/>
      <c r="Q90" s="159"/>
      <c r="R90" s="160"/>
      <c r="S90" s="77"/>
      <c r="T90" s="149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spans="1:36" ht="19.5" customHeight="1" x14ac:dyDescent="0.3">
      <c r="A91" s="70"/>
      <c r="B91" s="164"/>
      <c r="C91" s="164"/>
      <c r="D91" s="156"/>
      <c r="E91" s="165"/>
      <c r="F91" s="110"/>
      <c r="G91" s="110"/>
      <c r="H91" s="157"/>
      <c r="I91" s="145"/>
      <c r="J91" s="121"/>
      <c r="K91" s="156"/>
      <c r="L91" s="156"/>
      <c r="M91" s="156"/>
      <c r="N91" s="158"/>
      <c r="O91" s="159"/>
      <c r="P91" s="159"/>
      <c r="Q91" s="159"/>
      <c r="R91" s="160"/>
      <c r="S91" s="77"/>
      <c r="T91" s="149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spans="1:36" ht="19.5" customHeight="1" x14ac:dyDescent="0.3">
      <c r="A92" s="70"/>
      <c r="B92" s="164"/>
      <c r="C92" s="164"/>
      <c r="D92" s="156"/>
      <c r="E92" s="165"/>
      <c r="F92" s="110"/>
      <c r="G92" s="110"/>
      <c r="H92" s="157"/>
      <c r="I92" s="145"/>
      <c r="J92" s="121"/>
      <c r="K92" s="156"/>
      <c r="L92" s="156"/>
      <c r="M92" s="156"/>
      <c r="N92" s="158"/>
      <c r="O92" s="159"/>
      <c r="P92" s="159"/>
      <c r="Q92" s="159"/>
      <c r="R92" s="160"/>
      <c r="S92" s="77"/>
      <c r="T92" s="149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spans="1:36" ht="19.5" customHeight="1" x14ac:dyDescent="0.3">
      <c r="A93" s="70"/>
      <c r="B93" s="164"/>
      <c r="C93" s="166"/>
      <c r="D93" s="156"/>
      <c r="E93" s="165"/>
      <c r="F93" s="110"/>
      <c r="G93" s="110"/>
      <c r="H93" s="157"/>
      <c r="I93" s="145"/>
      <c r="J93" s="121"/>
      <c r="K93" s="156"/>
      <c r="L93" s="156"/>
      <c r="M93" s="156"/>
      <c r="N93" s="158"/>
      <c r="O93" s="159"/>
      <c r="P93" s="159"/>
      <c r="Q93" s="159"/>
      <c r="R93" s="160"/>
      <c r="S93" s="77"/>
      <c r="T93" s="149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spans="1:36" ht="19.5" customHeight="1" x14ac:dyDescent="0.3">
      <c r="A94" s="70"/>
      <c r="B94" s="156"/>
      <c r="C94" s="156"/>
      <c r="D94" s="156"/>
      <c r="E94" s="157"/>
      <c r="F94" s="110"/>
      <c r="G94" s="157"/>
      <c r="H94" s="157"/>
      <c r="I94" s="145"/>
      <c r="J94" s="121"/>
      <c r="K94" s="156"/>
      <c r="L94" s="156"/>
      <c r="M94" s="156"/>
      <c r="N94" s="158"/>
      <c r="O94" s="159"/>
      <c r="P94" s="159"/>
      <c r="Q94" s="159"/>
      <c r="R94" s="160"/>
      <c r="S94" s="77"/>
      <c r="T94" s="149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spans="1:36" s="142" customFormat="1" ht="19.5" customHeight="1" x14ac:dyDescent="0.3">
      <c r="A95" s="132"/>
      <c r="B95" s="133"/>
      <c r="C95" s="133"/>
      <c r="D95" s="137"/>
      <c r="E95" s="152"/>
      <c r="F95" s="152"/>
      <c r="G95" s="152"/>
      <c r="H95" s="152"/>
      <c r="I95" s="136"/>
      <c r="J95" s="137"/>
      <c r="K95" s="134"/>
      <c r="L95" s="134"/>
      <c r="M95" s="134"/>
      <c r="N95" s="153"/>
      <c r="O95" s="139"/>
      <c r="P95" s="139"/>
      <c r="Q95" s="139"/>
      <c r="R95" s="140"/>
      <c r="S95" s="141"/>
      <c r="T95" s="149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</row>
    <row r="96" spans="1:36" ht="19.5" customHeight="1" x14ac:dyDescent="0.3">
      <c r="A96" s="70"/>
      <c r="B96" s="143"/>
      <c r="C96" s="144"/>
      <c r="D96" s="156"/>
      <c r="E96" s="144"/>
      <c r="F96" s="110"/>
      <c r="G96" s="110"/>
      <c r="H96" s="157"/>
      <c r="I96" s="145"/>
      <c r="J96" s="121"/>
      <c r="K96" s="156"/>
      <c r="L96" s="156"/>
      <c r="M96" s="156"/>
      <c r="N96" s="158"/>
      <c r="O96" s="159"/>
      <c r="P96" s="159"/>
      <c r="Q96" s="159"/>
      <c r="R96" s="160"/>
      <c r="S96" s="77"/>
      <c r="T96" s="149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spans="1:36" ht="19.5" customHeight="1" x14ac:dyDescent="0.3">
      <c r="A97" s="70"/>
      <c r="B97" s="143"/>
      <c r="C97" s="144"/>
      <c r="D97" s="156"/>
      <c r="E97" s="144"/>
      <c r="F97" s="110"/>
      <c r="G97" s="110"/>
      <c r="H97" s="157"/>
      <c r="I97" s="145"/>
      <c r="J97" s="121"/>
      <c r="K97" s="156"/>
      <c r="L97" s="156"/>
      <c r="M97" s="156"/>
      <c r="N97" s="158"/>
      <c r="O97" s="159"/>
      <c r="P97" s="159"/>
      <c r="Q97" s="159"/>
      <c r="R97" s="160"/>
      <c r="S97" s="77"/>
      <c r="T97" s="149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spans="1:36" ht="19.5" customHeight="1" x14ac:dyDescent="0.3">
      <c r="A98" s="70"/>
      <c r="B98" s="143"/>
      <c r="C98" s="144"/>
      <c r="D98" s="156"/>
      <c r="E98" s="144"/>
      <c r="F98" s="110"/>
      <c r="G98" s="110"/>
      <c r="H98" s="157"/>
      <c r="I98" s="145"/>
      <c r="J98" s="121"/>
      <c r="K98" s="156"/>
      <c r="L98" s="156"/>
      <c r="M98" s="156"/>
      <c r="N98" s="158"/>
      <c r="O98" s="159"/>
      <c r="P98" s="159"/>
      <c r="Q98" s="159"/>
      <c r="R98" s="160"/>
      <c r="S98" s="77"/>
      <c r="T98" s="149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spans="1:36" ht="19.5" customHeight="1" x14ac:dyDescent="0.3">
      <c r="A99" s="70"/>
      <c r="B99" s="143"/>
      <c r="C99" s="144"/>
      <c r="D99" s="156"/>
      <c r="E99" s="144"/>
      <c r="F99" s="110"/>
      <c r="G99" s="110"/>
      <c r="H99" s="157"/>
      <c r="I99" s="145"/>
      <c r="J99" s="121"/>
      <c r="K99" s="156"/>
      <c r="L99" s="156"/>
      <c r="M99" s="156"/>
      <c r="N99" s="158"/>
      <c r="O99" s="159"/>
      <c r="P99" s="159"/>
      <c r="Q99" s="159"/>
      <c r="R99" s="160"/>
      <c r="S99" s="77"/>
      <c r="T99" s="149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spans="1:36" ht="19.5" customHeight="1" x14ac:dyDescent="0.3">
      <c r="A100" s="70"/>
      <c r="B100" s="143"/>
      <c r="C100" s="144"/>
      <c r="D100" s="156"/>
      <c r="E100" s="144"/>
      <c r="F100" s="110"/>
      <c r="G100" s="110"/>
      <c r="H100" s="157"/>
      <c r="I100" s="145"/>
      <c r="J100" s="121"/>
      <c r="K100" s="156"/>
      <c r="L100" s="156"/>
      <c r="M100" s="156"/>
      <c r="N100" s="158"/>
      <c r="O100" s="159"/>
      <c r="P100" s="159"/>
      <c r="Q100" s="159"/>
      <c r="R100" s="160"/>
      <c r="S100" s="77"/>
      <c r="T100" s="149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spans="1:36" ht="19.5" customHeight="1" x14ac:dyDescent="0.3">
      <c r="A101" s="70"/>
      <c r="B101" s="150"/>
      <c r="C101" s="151"/>
      <c r="D101" s="156"/>
      <c r="E101" s="156"/>
      <c r="F101" s="110"/>
      <c r="G101" s="110"/>
      <c r="H101" s="157"/>
      <c r="I101" s="145"/>
      <c r="J101" s="121"/>
      <c r="K101" s="156"/>
      <c r="L101" s="156"/>
      <c r="M101" s="156"/>
      <c r="N101" s="158"/>
      <c r="O101" s="159"/>
      <c r="P101" s="159"/>
      <c r="Q101" s="159"/>
      <c r="R101" s="160"/>
      <c r="S101" s="77"/>
      <c r="T101" s="149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spans="1:36" ht="19.5" customHeight="1" x14ac:dyDescent="0.3">
      <c r="A102" s="70"/>
      <c r="B102" s="150"/>
      <c r="C102" s="151"/>
      <c r="D102" s="156"/>
      <c r="E102" s="156"/>
      <c r="F102" s="110"/>
      <c r="G102" s="110"/>
      <c r="H102" s="157"/>
      <c r="I102" s="145"/>
      <c r="J102" s="121"/>
      <c r="K102" s="156"/>
      <c r="L102" s="156"/>
      <c r="M102" s="156"/>
      <c r="N102" s="158"/>
      <c r="O102" s="159"/>
      <c r="P102" s="159"/>
      <c r="Q102" s="159"/>
      <c r="R102" s="160"/>
      <c r="S102" s="77"/>
      <c r="T102" s="149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spans="1:36" ht="19.5" customHeight="1" x14ac:dyDescent="0.3">
      <c r="A103" s="70"/>
      <c r="B103" s="156"/>
      <c r="C103" s="156"/>
      <c r="D103" s="156"/>
      <c r="E103" s="157"/>
      <c r="F103" s="110"/>
      <c r="G103" s="157"/>
      <c r="H103" s="157"/>
      <c r="I103" s="145"/>
      <c r="J103" s="121"/>
      <c r="K103" s="156"/>
      <c r="L103" s="156"/>
      <c r="M103" s="156"/>
      <c r="N103" s="158"/>
      <c r="O103" s="159"/>
      <c r="P103" s="159"/>
      <c r="Q103" s="159"/>
      <c r="R103" s="160"/>
      <c r="S103" s="77"/>
      <c r="T103" s="149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spans="1:36" s="142" customFormat="1" ht="19.5" customHeight="1" x14ac:dyDescent="0.3">
      <c r="A104" s="132"/>
      <c r="B104" s="133"/>
      <c r="C104" s="133"/>
      <c r="D104" s="137"/>
      <c r="E104" s="152"/>
      <c r="F104" s="152"/>
      <c r="G104" s="152"/>
      <c r="H104" s="152"/>
      <c r="I104" s="136"/>
      <c r="J104" s="137"/>
      <c r="K104" s="134"/>
      <c r="L104" s="134"/>
      <c r="M104" s="134"/>
      <c r="N104" s="153"/>
      <c r="O104" s="139"/>
      <c r="P104" s="139"/>
      <c r="Q104" s="139"/>
      <c r="R104" s="140"/>
      <c r="S104" s="141"/>
      <c r="T104" s="149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</row>
    <row r="105" spans="1:36" ht="19.5" customHeight="1" x14ac:dyDescent="0.3">
      <c r="A105" s="70"/>
      <c r="B105" s="167"/>
      <c r="C105" s="168"/>
      <c r="D105" s="156"/>
      <c r="E105" s="169"/>
      <c r="F105" s="110"/>
      <c r="G105" s="110"/>
      <c r="H105" s="157"/>
      <c r="I105" s="145"/>
      <c r="J105" s="121"/>
      <c r="K105" s="156"/>
      <c r="L105" s="156"/>
      <c r="M105" s="156"/>
      <c r="N105" s="158"/>
      <c r="O105" s="159"/>
      <c r="P105" s="159"/>
      <c r="Q105" s="159"/>
      <c r="R105" s="160"/>
      <c r="S105" s="77"/>
      <c r="T105" s="149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spans="1:36" ht="19.5" customHeight="1" x14ac:dyDescent="0.3">
      <c r="A106" s="70"/>
      <c r="B106" s="167"/>
      <c r="C106" s="168"/>
      <c r="D106" s="156"/>
      <c r="E106" s="169"/>
      <c r="F106" s="110"/>
      <c r="G106" s="110"/>
      <c r="H106" s="157"/>
      <c r="I106" s="145"/>
      <c r="J106" s="121"/>
      <c r="K106" s="156"/>
      <c r="L106" s="156"/>
      <c r="M106" s="156"/>
      <c r="N106" s="158"/>
      <c r="O106" s="159"/>
      <c r="P106" s="159"/>
      <c r="Q106" s="159"/>
      <c r="R106" s="160"/>
      <c r="S106" s="77"/>
      <c r="T106" s="149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spans="1:36" ht="19.5" customHeight="1" x14ac:dyDescent="0.3">
      <c r="A107" s="70"/>
      <c r="B107" s="167"/>
      <c r="C107" s="170"/>
      <c r="D107" s="156"/>
      <c r="E107" s="169"/>
      <c r="F107" s="110"/>
      <c r="G107" s="110"/>
      <c r="H107" s="157"/>
      <c r="I107" s="145"/>
      <c r="J107" s="121"/>
      <c r="K107" s="156"/>
      <c r="L107" s="156"/>
      <c r="M107" s="156"/>
      <c r="N107" s="158"/>
      <c r="O107" s="159"/>
      <c r="P107" s="159"/>
      <c r="Q107" s="159"/>
      <c r="R107" s="160"/>
      <c r="S107" s="77"/>
      <c r="T107" s="149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spans="1:36" ht="19.5" customHeight="1" x14ac:dyDescent="0.3">
      <c r="A108" s="70"/>
      <c r="B108" s="167"/>
      <c r="C108" s="170"/>
      <c r="D108" s="156"/>
      <c r="E108" s="169"/>
      <c r="F108" s="110"/>
      <c r="G108" s="110"/>
      <c r="H108" s="157"/>
      <c r="I108" s="145"/>
      <c r="J108" s="121"/>
      <c r="K108" s="156"/>
      <c r="L108" s="156"/>
      <c r="M108" s="156"/>
      <c r="N108" s="158"/>
      <c r="O108" s="159"/>
      <c r="P108" s="159"/>
      <c r="Q108" s="159"/>
      <c r="R108" s="160"/>
      <c r="S108" s="77"/>
      <c r="T108" s="149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spans="1:36" ht="19.5" customHeight="1" x14ac:dyDescent="0.3">
      <c r="A109" s="70"/>
      <c r="B109" s="167"/>
      <c r="C109" s="170"/>
      <c r="D109" s="156"/>
      <c r="E109" s="169"/>
      <c r="F109" s="110"/>
      <c r="G109" s="110"/>
      <c r="H109" s="157"/>
      <c r="I109" s="145"/>
      <c r="J109" s="121"/>
      <c r="K109" s="156"/>
      <c r="L109" s="156"/>
      <c r="M109" s="156"/>
      <c r="N109" s="158"/>
      <c r="O109" s="159"/>
      <c r="P109" s="159"/>
      <c r="Q109" s="159"/>
      <c r="R109" s="160"/>
      <c r="S109" s="77"/>
      <c r="T109" s="149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spans="1:36" ht="19.5" customHeight="1" x14ac:dyDescent="0.3">
      <c r="A110" s="70"/>
      <c r="B110" s="167"/>
      <c r="C110" s="168"/>
      <c r="D110" s="156"/>
      <c r="E110" s="169"/>
      <c r="F110" s="110"/>
      <c r="G110" s="110"/>
      <c r="H110" s="157"/>
      <c r="I110" s="145"/>
      <c r="J110" s="121"/>
      <c r="K110" s="156"/>
      <c r="L110" s="156"/>
      <c r="M110" s="156"/>
      <c r="N110" s="158"/>
      <c r="O110" s="159"/>
      <c r="P110" s="159"/>
      <c r="Q110" s="159"/>
      <c r="R110" s="160"/>
      <c r="S110" s="77"/>
      <c r="T110" s="149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spans="1:36" ht="19.5" customHeight="1" x14ac:dyDescent="0.3">
      <c r="A111" s="70"/>
      <c r="B111" s="167"/>
      <c r="C111" s="168"/>
      <c r="D111" s="156"/>
      <c r="E111" s="169"/>
      <c r="F111" s="110"/>
      <c r="G111" s="110"/>
      <c r="H111" s="157"/>
      <c r="I111" s="145"/>
      <c r="J111" s="121"/>
      <c r="K111" s="156"/>
      <c r="L111" s="156"/>
      <c r="M111" s="156"/>
      <c r="N111" s="158"/>
      <c r="O111" s="159"/>
      <c r="P111" s="159"/>
      <c r="Q111" s="159"/>
      <c r="R111" s="160"/>
      <c r="S111" s="77"/>
      <c r="T111" s="149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spans="1:36" ht="19.5" customHeight="1" x14ac:dyDescent="0.3">
      <c r="A112" s="70"/>
      <c r="B112" s="167"/>
      <c r="C112" s="168"/>
      <c r="D112" s="156"/>
      <c r="E112" s="169"/>
      <c r="F112" s="110"/>
      <c r="G112" s="110"/>
      <c r="H112" s="157"/>
      <c r="I112" s="145"/>
      <c r="J112" s="121"/>
      <c r="K112" s="156"/>
      <c r="L112" s="156"/>
      <c r="M112" s="156"/>
      <c r="N112" s="158"/>
      <c r="O112" s="159"/>
      <c r="P112" s="159"/>
      <c r="Q112" s="159"/>
      <c r="R112" s="160"/>
      <c r="S112" s="77"/>
      <c r="T112" s="149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spans="1:36" ht="19.5" customHeight="1" x14ac:dyDescent="0.3">
      <c r="A113" s="70"/>
      <c r="B113" s="167"/>
      <c r="C113" s="168"/>
      <c r="D113" s="156"/>
      <c r="E113" s="169"/>
      <c r="F113" s="110"/>
      <c r="G113" s="110"/>
      <c r="H113" s="157"/>
      <c r="I113" s="145"/>
      <c r="J113" s="121"/>
      <c r="K113" s="156"/>
      <c r="L113" s="156"/>
      <c r="M113" s="156"/>
      <c r="N113" s="158"/>
      <c r="O113" s="159"/>
      <c r="P113" s="159"/>
      <c r="Q113" s="159"/>
      <c r="R113" s="160"/>
      <c r="S113" s="77"/>
      <c r="T113" s="149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</row>
    <row r="114" spans="1:36" ht="19.5" customHeight="1" x14ac:dyDescent="0.3">
      <c r="A114" s="70"/>
      <c r="B114" s="167"/>
      <c r="C114" s="168"/>
      <c r="D114" s="156"/>
      <c r="E114" s="169"/>
      <c r="F114" s="110"/>
      <c r="G114" s="110"/>
      <c r="H114" s="157"/>
      <c r="I114" s="145"/>
      <c r="J114" s="121"/>
      <c r="K114" s="156"/>
      <c r="L114" s="156"/>
      <c r="M114" s="156"/>
      <c r="N114" s="158"/>
      <c r="O114" s="159"/>
      <c r="P114" s="159"/>
      <c r="Q114" s="159"/>
      <c r="R114" s="160"/>
      <c r="S114" s="77"/>
      <c r="T114" s="149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spans="1:36" ht="19.5" customHeight="1" x14ac:dyDescent="0.3">
      <c r="A115" s="70"/>
      <c r="B115" s="167"/>
      <c r="C115" s="170"/>
      <c r="D115" s="156"/>
      <c r="E115" s="169"/>
      <c r="F115" s="110"/>
      <c r="G115" s="110"/>
      <c r="H115" s="157"/>
      <c r="I115" s="145"/>
      <c r="J115" s="121"/>
      <c r="K115" s="156"/>
      <c r="L115" s="156"/>
      <c r="M115" s="156"/>
      <c r="N115" s="158"/>
      <c r="O115" s="159"/>
      <c r="P115" s="159"/>
      <c r="Q115" s="159"/>
      <c r="R115" s="160"/>
      <c r="S115" s="77"/>
      <c r="T115" s="149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spans="1:36" ht="19.5" customHeight="1" x14ac:dyDescent="0.3">
      <c r="A116" s="70"/>
      <c r="B116" s="167"/>
      <c r="C116" s="168"/>
      <c r="D116" s="156"/>
      <c r="E116" s="169"/>
      <c r="F116" s="110"/>
      <c r="G116" s="110"/>
      <c r="H116" s="157"/>
      <c r="I116" s="145"/>
      <c r="J116" s="121"/>
      <c r="K116" s="156"/>
      <c r="L116" s="156"/>
      <c r="M116" s="156"/>
      <c r="N116" s="158"/>
      <c r="O116" s="159"/>
      <c r="P116" s="159"/>
      <c r="Q116" s="159"/>
      <c r="R116" s="160"/>
      <c r="S116" s="77"/>
      <c r="T116" s="149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spans="1:36" ht="19.5" customHeight="1" x14ac:dyDescent="0.3">
      <c r="A117" s="70"/>
      <c r="B117" s="167"/>
      <c r="C117" s="168"/>
      <c r="D117" s="156"/>
      <c r="E117" s="169"/>
      <c r="F117" s="110"/>
      <c r="G117" s="110"/>
      <c r="H117" s="157"/>
      <c r="I117" s="145"/>
      <c r="J117" s="121"/>
      <c r="K117" s="156"/>
      <c r="L117" s="156"/>
      <c r="M117" s="156"/>
      <c r="N117" s="158"/>
      <c r="O117" s="159"/>
      <c r="P117" s="159"/>
      <c r="Q117" s="159"/>
      <c r="R117" s="160"/>
      <c r="S117" s="77"/>
      <c r="T117" s="149"/>
      <c r="U117" s="94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</row>
    <row r="118" spans="1:36" ht="19.5" customHeight="1" x14ac:dyDescent="0.3">
      <c r="A118" s="70"/>
      <c r="B118" s="167"/>
      <c r="C118" s="168"/>
      <c r="D118" s="156"/>
      <c r="E118" s="169"/>
      <c r="F118" s="110"/>
      <c r="G118" s="110"/>
      <c r="H118" s="157"/>
      <c r="I118" s="145"/>
      <c r="J118" s="121"/>
      <c r="K118" s="156"/>
      <c r="L118" s="156"/>
      <c r="M118" s="156"/>
      <c r="N118" s="158"/>
      <c r="O118" s="159"/>
      <c r="P118" s="159"/>
      <c r="Q118" s="159"/>
      <c r="R118" s="160"/>
      <c r="S118" s="77"/>
      <c r="T118" s="149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spans="1:36" ht="19.5" customHeight="1" x14ac:dyDescent="0.3">
      <c r="A119" s="70"/>
      <c r="B119" s="167"/>
      <c r="C119" s="168"/>
      <c r="D119" s="156"/>
      <c r="E119" s="169"/>
      <c r="F119" s="110"/>
      <c r="G119" s="110"/>
      <c r="H119" s="157"/>
      <c r="I119" s="145"/>
      <c r="J119" s="121"/>
      <c r="K119" s="156"/>
      <c r="L119" s="156"/>
      <c r="M119" s="156"/>
      <c r="N119" s="158"/>
      <c r="O119" s="159"/>
      <c r="P119" s="159"/>
      <c r="Q119" s="159"/>
      <c r="R119" s="160"/>
      <c r="S119" s="77"/>
      <c r="T119" s="149"/>
      <c r="U119" s="94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spans="1:36" ht="19.5" customHeight="1" x14ac:dyDescent="0.3">
      <c r="A120" s="70"/>
      <c r="B120" s="167"/>
      <c r="C120" s="168"/>
      <c r="D120" s="156"/>
      <c r="E120" s="169"/>
      <c r="F120" s="110"/>
      <c r="G120" s="110"/>
      <c r="H120" s="157"/>
      <c r="I120" s="145"/>
      <c r="J120" s="121"/>
      <c r="K120" s="156"/>
      <c r="L120" s="156"/>
      <c r="M120" s="156"/>
      <c r="N120" s="158"/>
      <c r="O120" s="159"/>
      <c r="P120" s="159"/>
      <c r="Q120" s="159"/>
      <c r="R120" s="160"/>
      <c r="S120" s="77"/>
      <c r="T120" s="149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spans="1:36" ht="19.5" customHeight="1" x14ac:dyDescent="0.3">
      <c r="A121" s="70"/>
      <c r="B121" s="167"/>
      <c r="C121" s="168"/>
      <c r="D121" s="156"/>
      <c r="E121" s="169"/>
      <c r="F121" s="110"/>
      <c r="G121" s="110"/>
      <c r="H121" s="157"/>
      <c r="I121" s="145"/>
      <c r="J121" s="121"/>
      <c r="K121" s="156"/>
      <c r="L121" s="156"/>
      <c r="M121" s="156"/>
      <c r="N121" s="158"/>
      <c r="O121" s="159"/>
      <c r="P121" s="159"/>
      <c r="Q121" s="159"/>
      <c r="R121" s="160"/>
      <c r="S121" s="77"/>
      <c r="T121" s="149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spans="1:36" ht="19.5" customHeight="1" x14ac:dyDescent="0.3">
      <c r="A122" s="70"/>
      <c r="B122" s="167"/>
      <c r="C122" s="168"/>
      <c r="D122" s="156"/>
      <c r="E122" s="169"/>
      <c r="F122" s="110"/>
      <c r="G122" s="110"/>
      <c r="H122" s="157"/>
      <c r="I122" s="145"/>
      <c r="J122" s="121"/>
      <c r="K122" s="156"/>
      <c r="L122" s="156"/>
      <c r="M122" s="156"/>
      <c r="N122" s="158"/>
      <c r="O122" s="159"/>
      <c r="P122" s="159"/>
      <c r="Q122" s="159"/>
      <c r="R122" s="160"/>
      <c r="S122" s="77"/>
      <c r="T122" s="149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spans="1:36" ht="19.5" customHeight="1" x14ac:dyDescent="0.3">
      <c r="A123" s="70"/>
      <c r="B123" s="167"/>
      <c r="C123" s="168"/>
      <c r="D123" s="156"/>
      <c r="E123" s="169"/>
      <c r="F123" s="110"/>
      <c r="G123" s="110"/>
      <c r="H123" s="157"/>
      <c r="I123" s="145"/>
      <c r="J123" s="121"/>
      <c r="K123" s="156"/>
      <c r="L123" s="156"/>
      <c r="M123" s="156"/>
      <c r="N123" s="158"/>
      <c r="O123" s="159"/>
      <c r="P123" s="159"/>
      <c r="Q123" s="159"/>
      <c r="R123" s="160"/>
      <c r="S123" s="77"/>
      <c r="T123" s="149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spans="1:36" ht="19.5" customHeight="1" x14ac:dyDescent="0.3">
      <c r="A124" s="70"/>
      <c r="B124" s="167"/>
      <c r="C124" s="168"/>
      <c r="D124" s="156"/>
      <c r="E124" s="169"/>
      <c r="F124" s="110"/>
      <c r="G124" s="110"/>
      <c r="H124" s="157"/>
      <c r="I124" s="145"/>
      <c r="J124" s="121"/>
      <c r="K124" s="156"/>
      <c r="L124" s="156"/>
      <c r="M124" s="156"/>
      <c r="N124" s="158"/>
      <c r="O124" s="159"/>
      <c r="P124" s="159"/>
      <c r="Q124" s="159"/>
      <c r="R124" s="160"/>
      <c r="S124" s="77"/>
      <c r="T124" s="149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spans="1:36" ht="19.5" customHeight="1" x14ac:dyDescent="0.3">
      <c r="A125" s="70"/>
      <c r="B125" s="167"/>
      <c r="C125" s="170"/>
      <c r="D125" s="156"/>
      <c r="E125" s="169"/>
      <c r="F125" s="110"/>
      <c r="G125" s="110"/>
      <c r="H125" s="157"/>
      <c r="I125" s="145"/>
      <c r="J125" s="121"/>
      <c r="K125" s="156"/>
      <c r="L125" s="156"/>
      <c r="M125" s="156"/>
      <c r="N125" s="158"/>
      <c r="O125" s="159"/>
      <c r="P125" s="159"/>
      <c r="Q125" s="159"/>
      <c r="R125" s="160"/>
      <c r="S125" s="77"/>
      <c r="T125" s="149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spans="1:36" ht="19.5" customHeight="1" x14ac:dyDescent="0.3">
      <c r="A126" s="70"/>
      <c r="B126" s="167"/>
      <c r="C126" s="168"/>
      <c r="D126" s="156"/>
      <c r="E126" s="169"/>
      <c r="F126" s="110"/>
      <c r="G126" s="110"/>
      <c r="H126" s="157"/>
      <c r="I126" s="145"/>
      <c r="J126" s="121"/>
      <c r="K126" s="156"/>
      <c r="L126" s="156"/>
      <c r="M126" s="156"/>
      <c r="N126" s="158"/>
      <c r="O126" s="159"/>
      <c r="P126" s="159"/>
      <c r="Q126" s="159"/>
      <c r="R126" s="160"/>
      <c r="S126" s="77"/>
      <c r="T126" s="149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spans="1:36" ht="19.5" customHeight="1" x14ac:dyDescent="0.3">
      <c r="A127" s="70"/>
      <c r="B127" s="171"/>
      <c r="C127" s="172"/>
      <c r="D127" s="173"/>
      <c r="E127" s="172"/>
      <c r="F127" s="174"/>
      <c r="G127" s="110"/>
      <c r="H127" s="157"/>
      <c r="I127" s="145"/>
      <c r="J127" s="121"/>
      <c r="K127" s="156"/>
      <c r="L127" s="156"/>
      <c r="M127" s="156"/>
      <c r="N127" s="158"/>
      <c r="O127" s="159"/>
      <c r="P127" s="159"/>
      <c r="Q127" s="159"/>
      <c r="R127" s="160"/>
      <c r="S127" s="77"/>
      <c r="T127" s="149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spans="1:36" ht="19.5" customHeight="1" x14ac:dyDescent="0.3">
      <c r="A128" s="70"/>
      <c r="B128" s="171"/>
      <c r="C128" s="172"/>
      <c r="D128" s="173"/>
      <c r="E128" s="172"/>
      <c r="F128" s="174"/>
      <c r="G128" s="110"/>
      <c r="H128" s="157"/>
      <c r="I128" s="145"/>
      <c r="J128" s="121"/>
      <c r="K128" s="156"/>
      <c r="L128" s="156"/>
      <c r="M128" s="156"/>
      <c r="N128" s="158"/>
      <c r="O128" s="159"/>
      <c r="P128" s="159"/>
      <c r="Q128" s="159"/>
      <c r="R128" s="160"/>
      <c r="S128" s="77"/>
      <c r="T128" s="149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spans="1:36" ht="19.5" customHeight="1" x14ac:dyDescent="0.3">
      <c r="A129" s="70"/>
      <c r="B129" s="167"/>
      <c r="C129" s="175"/>
      <c r="D129" s="156"/>
      <c r="E129" s="169"/>
      <c r="F129" s="110"/>
      <c r="G129" s="110"/>
      <c r="H129" s="157"/>
      <c r="I129" s="145"/>
      <c r="J129" s="121"/>
      <c r="K129" s="156"/>
      <c r="L129" s="156"/>
      <c r="M129" s="156"/>
      <c r="N129" s="158"/>
      <c r="O129" s="159"/>
      <c r="P129" s="159"/>
      <c r="Q129" s="159"/>
      <c r="R129" s="160"/>
      <c r="S129" s="77"/>
      <c r="T129" s="149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spans="1:36" ht="19.5" customHeight="1" x14ac:dyDescent="0.3">
      <c r="A130" s="70"/>
      <c r="B130" s="176"/>
      <c r="C130" s="176"/>
      <c r="D130" s="156"/>
      <c r="E130" s="176"/>
      <c r="F130" s="110"/>
      <c r="G130" s="110"/>
      <c r="H130" s="157"/>
      <c r="I130" s="145"/>
      <c r="J130" s="121"/>
      <c r="K130" s="156"/>
      <c r="L130" s="156"/>
      <c r="M130" s="156"/>
      <c r="N130" s="158"/>
      <c r="O130" s="159"/>
      <c r="P130" s="159"/>
      <c r="Q130" s="159"/>
      <c r="R130" s="160"/>
      <c r="S130" s="77"/>
      <c r="T130" s="149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spans="1:36" ht="19.5" customHeight="1" x14ac:dyDescent="0.3">
      <c r="A131" s="70"/>
      <c r="B131" s="176"/>
      <c r="C131" s="176"/>
      <c r="D131" s="156"/>
      <c r="E131" s="176"/>
      <c r="F131" s="110"/>
      <c r="G131" s="110"/>
      <c r="H131" s="157"/>
      <c r="I131" s="145"/>
      <c r="J131" s="121"/>
      <c r="K131" s="156"/>
      <c r="L131" s="156"/>
      <c r="M131" s="156"/>
      <c r="N131" s="158"/>
      <c r="O131" s="159"/>
      <c r="P131" s="159"/>
      <c r="Q131" s="159"/>
      <c r="R131" s="160"/>
      <c r="S131" s="77"/>
      <c r="T131" s="149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spans="1:36" ht="19.5" customHeight="1" x14ac:dyDescent="0.3">
      <c r="A132" s="70"/>
      <c r="B132" s="177"/>
      <c r="C132" s="176"/>
      <c r="D132" s="156"/>
      <c r="E132" s="176"/>
      <c r="F132" s="110"/>
      <c r="G132" s="110"/>
      <c r="H132" s="157"/>
      <c r="I132" s="145"/>
      <c r="J132" s="121"/>
      <c r="K132" s="156"/>
      <c r="L132" s="156"/>
      <c r="M132" s="156"/>
      <c r="N132" s="158"/>
      <c r="O132" s="159"/>
      <c r="P132" s="159"/>
      <c r="Q132" s="159"/>
      <c r="R132" s="160"/>
      <c r="S132" s="77"/>
      <c r="T132" s="149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spans="1:36" ht="19.5" customHeight="1" x14ac:dyDescent="0.3">
      <c r="A133" s="70"/>
      <c r="B133" s="156"/>
      <c r="C133" s="156"/>
      <c r="D133" s="156"/>
      <c r="E133" s="157"/>
      <c r="F133" s="110"/>
      <c r="G133" s="157"/>
      <c r="H133" s="157"/>
      <c r="I133" s="145"/>
      <c r="J133" s="121"/>
      <c r="K133" s="156"/>
      <c r="L133" s="156"/>
      <c r="M133" s="156"/>
      <c r="N133" s="158"/>
      <c r="O133" s="159"/>
      <c r="P133" s="159"/>
      <c r="Q133" s="159"/>
      <c r="R133" s="160"/>
      <c r="S133" s="77"/>
      <c r="T133" s="149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spans="1:36" s="142" customFormat="1" ht="19.5" customHeight="1" x14ac:dyDescent="0.3">
      <c r="A134" s="132"/>
      <c r="B134" s="133"/>
      <c r="C134" s="133"/>
      <c r="D134" s="137"/>
      <c r="E134" s="152"/>
      <c r="F134" s="152"/>
      <c r="G134" s="152"/>
      <c r="H134" s="152"/>
      <c r="I134" s="136"/>
      <c r="J134" s="137"/>
      <c r="K134" s="137"/>
      <c r="L134" s="137"/>
      <c r="M134" s="137"/>
      <c r="N134" s="153"/>
      <c r="O134" s="139"/>
      <c r="P134" s="139"/>
      <c r="Q134" s="139"/>
      <c r="R134" s="140"/>
      <c r="S134" s="141"/>
      <c r="T134" s="149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</row>
    <row r="135" spans="1:36" ht="19.5" customHeight="1" x14ac:dyDescent="0.3">
      <c r="A135" s="94"/>
      <c r="B135" s="178"/>
      <c r="C135" s="179"/>
      <c r="D135" s="180"/>
      <c r="E135" s="179"/>
      <c r="F135" s="110"/>
      <c r="G135" s="110"/>
      <c r="H135" s="157"/>
      <c r="I135" s="145"/>
      <c r="J135" s="112"/>
      <c r="K135" s="156"/>
      <c r="L135" s="156"/>
      <c r="M135" s="156"/>
      <c r="N135" s="158"/>
      <c r="O135" s="159"/>
      <c r="P135" s="159"/>
      <c r="Q135" s="159"/>
      <c r="R135" s="160"/>
      <c r="S135" s="115"/>
      <c r="T135" s="149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9.5" customHeight="1" x14ac:dyDescent="0.3">
      <c r="A136" s="94"/>
      <c r="B136" s="178"/>
      <c r="C136" s="179"/>
      <c r="D136" s="180"/>
      <c r="E136" s="179"/>
      <c r="F136" s="110"/>
      <c r="G136" s="110"/>
      <c r="H136" s="157"/>
      <c r="I136" s="145"/>
      <c r="J136" s="112"/>
      <c r="K136" s="156"/>
      <c r="L136" s="156"/>
      <c r="M136" s="156"/>
      <c r="N136" s="158"/>
      <c r="O136" s="159"/>
      <c r="P136" s="159"/>
      <c r="Q136" s="159"/>
      <c r="R136" s="160"/>
      <c r="S136" s="115"/>
      <c r="T136" s="149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</row>
    <row r="137" spans="1:36" ht="19.5" customHeight="1" x14ac:dyDescent="0.3">
      <c r="A137" s="70"/>
      <c r="B137" s="175"/>
      <c r="C137" s="175"/>
      <c r="D137" s="156"/>
      <c r="E137" s="179"/>
      <c r="F137" s="110"/>
      <c r="G137" s="110"/>
      <c r="H137" s="157"/>
      <c r="I137" s="145"/>
      <c r="J137" s="121"/>
      <c r="K137" s="156"/>
      <c r="L137" s="156"/>
      <c r="M137" s="156"/>
      <c r="N137" s="158"/>
      <c r="O137" s="159"/>
      <c r="P137" s="159"/>
      <c r="Q137" s="159"/>
      <c r="R137" s="160"/>
      <c r="S137" s="77"/>
      <c r="T137" s="149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spans="1:36" ht="19.5" customHeight="1" x14ac:dyDescent="0.3">
      <c r="A138" s="70"/>
      <c r="B138" s="175"/>
      <c r="C138" s="175"/>
      <c r="D138" s="156"/>
      <c r="E138" s="181"/>
      <c r="F138" s="110"/>
      <c r="G138" s="110"/>
      <c r="H138" s="157"/>
      <c r="I138" s="145"/>
      <c r="J138" s="121"/>
      <c r="K138" s="156"/>
      <c r="L138" s="156"/>
      <c r="M138" s="156"/>
      <c r="N138" s="158"/>
      <c r="O138" s="159"/>
      <c r="P138" s="159"/>
      <c r="Q138" s="159"/>
      <c r="R138" s="160"/>
      <c r="S138" s="77"/>
      <c r="T138" s="149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spans="1:36" ht="19.5" customHeight="1" x14ac:dyDescent="0.3">
      <c r="A139" s="70"/>
      <c r="B139" s="175"/>
      <c r="C139" s="175"/>
      <c r="D139" s="156"/>
      <c r="E139" s="181"/>
      <c r="F139" s="110"/>
      <c r="G139" s="110"/>
      <c r="H139" s="157"/>
      <c r="I139" s="145"/>
      <c r="J139" s="121"/>
      <c r="K139" s="156"/>
      <c r="L139" s="156"/>
      <c r="M139" s="156"/>
      <c r="N139" s="158"/>
      <c r="O139" s="159"/>
      <c r="P139" s="159"/>
      <c r="Q139" s="159"/>
      <c r="R139" s="160"/>
      <c r="S139" s="77"/>
      <c r="T139" s="149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spans="1:36" ht="19.5" customHeight="1" x14ac:dyDescent="0.3">
      <c r="A140" s="70"/>
      <c r="B140" s="175"/>
      <c r="C140" s="175"/>
      <c r="D140" s="156"/>
      <c r="E140" s="181"/>
      <c r="F140" s="110"/>
      <c r="G140" s="110"/>
      <c r="H140" s="157"/>
      <c r="I140" s="145"/>
      <c r="J140" s="121"/>
      <c r="K140" s="156"/>
      <c r="L140" s="156"/>
      <c r="M140" s="156"/>
      <c r="N140" s="158"/>
      <c r="O140" s="159"/>
      <c r="P140" s="159"/>
      <c r="Q140" s="159"/>
      <c r="R140" s="160"/>
      <c r="S140" s="77"/>
      <c r="T140" s="149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spans="1:36" ht="19.5" customHeight="1" x14ac:dyDescent="0.3">
      <c r="A141" s="70"/>
      <c r="B141" s="175"/>
      <c r="C141" s="175"/>
      <c r="D141" s="156"/>
      <c r="E141" s="179"/>
      <c r="F141" s="110"/>
      <c r="G141" s="110"/>
      <c r="H141" s="157"/>
      <c r="I141" s="145"/>
      <c r="J141" s="121"/>
      <c r="K141" s="156"/>
      <c r="L141" s="156"/>
      <c r="M141" s="156"/>
      <c r="N141" s="158"/>
      <c r="O141" s="159"/>
      <c r="P141" s="159"/>
      <c r="Q141" s="159"/>
      <c r="R141" s="160"/>
      <c r="S141" s="77"/>
      <c r="T141" s="149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spans="1:36" ht="19.5" customHeight="1" x14ac:dyDescent="0.3">
      <c r="A142" s="70"/>
      <c r="B142" s="175"/>
      <c r="C142" s="175"/>
      <c r="D142" s="156"/>
      <c r="E142" s="179"/>
      <c r="F142" s="110"/>
      <c r="G142" s="110"/>
      <c r="H142" s="157"/>
      <c r="I142" s="145"/>
      <c r="J142" s="121"/>
      <c r="K142" s="156"/>
      <c r="L142" s="156"/>
      <c r="M142" s="156"/>
      <c r="N142" s="158"/>
      <c r="O142" s="159"/>
      <c r="P142" s="159"/>
      <c r="Q142" s="159"/>
      <c r="R142" s="160"/>
      <c r="S142" s="77"/>
      <c r="T142" s="149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spans="1:36" ht="19.5" customHeight="1" x14ac:dyDescent="0.3">
      <c r="A143" s="70"/>
      <c r="B143" s="156"/>
      <c r="C143" s="156"/>
      <c r="D143" s="156"/>
      <c r="E143" s="157"/>
      <c r="F143" s="110"/>
      <c r="G143" s="157"/>
      <c r="H143" s="157"/>
      <c r="I143" s="145"/>
      <c r="J143" s="121"/>
      <c r="K143" s="156"/>
      <c r="L143" s="156"/>
      <c r="M143" s="156"/>
      <c r="N143" s="158"/>
      <c r="O143" s="159"/>
      <c r="P143" s="159"/>
      <c r="Q143" s="159"/>
      <c r="R143" s="160"/>
      <c r="S143" s="77"/>
      <c r="T143" s="149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spans="1:36" s="142" customFormat="1" ht="19.5" customHeight="1" x14ac:dyDescent="0.3">
      <c r="A144" s="132"/>
      <c r="B144" s="133"/>
      <c r="C144" s="133"/>
      <c r="D144" s="137"/>
      <c r="E144" s="152"/>
      <c r="F144" s="152"/>
      <c r="G144" s="152"/>
      <c r="H144" s="152"/>
      <c r="I144" s="136"/>
      <c r="J144" s="137"/>
      <c r="K144" s="137"/>
      <c r="L144" s="137"/>
      <c r="M144" s="137"/>
      <c r="N144" s="153"/>
      <c r="O144" s="139"/>
      <c r="P144" s="139"/>
      <c r="Q144" s="139"/>
      <c r="R144" s="140"/>
      <c r="S144" s="141"/>
      <c r="T144" s="149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</row>
    <row r="145" spans="1:36" s="183" customFormat="1" ht="19.5" customHeight="1" x14ac:dyDescent="0.3">
      <c r="A145" s="94"/>
      <c r="B145" s="167"/>
      <c r="C145" s="168"/>
      <c r="D145" s="182"/>
      <c r="E145" s="169"/>
      <c r="F145" s="110"/>
      <c r="G145" s="110"/>
      <c r="H145" s="157"/>
      <c r="I145" s="145"/>
      <c r="J145" s="112"/>
      <c r="K145" s="156"/>
      <c r="L145" s="156"/>
      <c r="M145" s="156"/>
      <c r="N145" s="158"/>
      <c r="O145" s="159"/>
      <c r="P145" s="159"/>
      <c r="Q145" s="159"/>
      <c r="R145" s="160"/>
      <c r="S145" s="115"/>
      <c r="T145" s="149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</row>
    <row r="146" spans="1:36" s="183" customFormat="1" ht="19.5" customHeight="1" x14ac:dyDescent="0.3">
      <c r="A146" s="94"/>
      <c r="B146" s="167"/>
      <c r="C146" s="168"/>
      <c r="D146" s="182"/>
      <c r="E146" s="169"/>
      <c r="F146" s="110"/>
      <c r="G146" s="110"/>
      <c r="H146" s="157"/>
      <c r="I146" s="145"/>
      <c r="J146" s="112"/>
      <c r="K146" s="156"/>
      <c r="L146" s="156"/>
      <c r="M146" s="156"/>
      <c r="N146" s="158"/>
      <c r="O146" s="159"/>
      <c r="P146" s="159"/>
      <c r="Q146" s="159"/>
      <c r="R146" s="160"/>
      <c r="S146" s="115"/>
      <c r="T146" s="149"/>
      <c r="U146" s="70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</row>
    <row r="147" spans="1:36" s="183" customFormat="1" ht="19.5" customHeight="1" x14ac:dyDescent="0.3">
      <c r="A147" s="94"/>
      <c r="B147" s="167"/>
      <c r="C147" s="168"/>
      <c r="D147" s="182"/>
      <c r="E147" s="169"/>
      <c r="F147" s="110"/>
      <c r="G147" s="110"/>
      <c r="H147" s="157"/>
      <c r="I147" s="145"/>
      <c r="J147" s="112"/>
      <c r="K147" s="156"/>
      <c r="L147" s="156"/>
      <c r="M147" s="156"/>
      <c r="N147" s="158"/>
      <c r="O147" s="159"/>
      <c r="P147" s="159"/>
      <c r="Q147" s="159"/>
      <c r="R147" s="160"/>
      <c r="S147" s="115"/>
      <c r="T147" s="149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</row>
    <row r="148" spans="1:36" s="183" customFormat="1" ht="19.5" customHeight="1" x14ac:dyDescent="0.3">
      <c r="A148" s="94"/>
      <c r="B148" s="167"/>
      <c r="C148" s="168"/>
      <c r="D148" s="182"/>
      <c r="E148" s="169"/>
      <c r="F148" s="110"/>
      <c r="G148" s="110"/>
      <c r="H148" s="157"/>
      <c r="I148" s="145"/>
      <c r="J148" s="112"/>
      <c r="K148" s="156"/>
      <c r="L148" s="156"/>
      <c r="M148" s="156"/>
      <c r="N148" s="158"/>
      <c r="O148" s="159"/>
      <c r="P148" s="159"/>
      <c r="Q148" s="159"/>
      <c r="R148" s="160"/>
      <c r="S148" s="115"/>
      <c r="T148" s="149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</row>
    <row r="149" spans="1:36" s="183" customFormat="1" ht="19.5" customHeight="1" x14ac:dyDescent="0.3">
      <c r="A149" s="94"/>
      <c r="B149" s="167"/>
      <c r="C149" s="168"/>
      <c r="D149" s="182"/>
      <c r="E149" s="169"/>
      <c r="F149" s="110"/>
      <c r="G149" s="110"/>
      <c r="H149" s="157"/>
      <c r="I149" s="145"/>
      <c r="J149" s="112"/>
      <c r="K149" s="156"/>
      <c r="L149" s="156"/>
      <c r="M149" s="156"/>
      <c r="N149" s="158"/>
      <c r="O149" s="159"/>
      <c r="P149" s="159"/>
      <c r="Q149" s="159"/>
      <c r="R149" s="160"/>
      <c r="S149" s="115"/>
      <c r="T149" s="149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</row>
    <row r="150" spans="1:36" s="183" customFormat="1" ht="19.5" customHeight="1" x14ac:dyDescent="0.3">
      <c r="A150" s="94"/>
      <c r="B150" s="167"/>
      <c r="C150" s="168"/>
      <c r="D150" s="182"/>
      <c r="E150" s="169"/>
      <c r="F150" s="110"/>
      <c r="G150" s="110"/>
      <c r="H150" s="157"/>
      <c r="I150" s="145"/>
      <c r="J150" s="112"/>
      <c r="K150" s="156"/>
      <c r="L150" s="156"/>
      <c r="M150" s="156"/>
      <c r="N150" s="158"/>
      <c r="O150" s="159"/>
      <c r="P150" s="159"/>
      <c r="Q150" s="159"/>
      <c r="R150" s="160"/>
      <c r="S150" s="115"/>
      <c r="T150" s="149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</row>
    <row r="151" spans="1:36" s="183" customFormat="1" ht="19.5" customHeight="1" x14ac:dyDescent="0.3">
      <c r="A151" s="94"/>
      <c r="B151" s="167"/>
      <c r="C151" s="168"/>
      <c r="D151" s="182"/>
      <c r="E151" s="169"/>
      <c r="F151" s="110"/>
      <c r="G151" s="110"/>
      <c r="H151" s="157"/>
      <c r="I151" s="145"/>
      <c r="J151" s="112"/>
      <c r="K151" s="156"/>
      <c r="L151" s="156"/>
      <c r="M151" s="156"/>
      <c r="N151" s="158"/>
      <c r="O151" s="159"/>
      <c r="P151" s="159"/>
      <c r="Q151" s="159"/>
      <c r="R151" s="160"/>
      <c r="S151" s="115"/>
      <c r="T151" s="149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</row>
    <row r="152" spans="1:36" s="183" customFormat="1" ht="19.5" customHeight="1" x14ac:dyDescent="0.3">
      <c r="A152" s="94"/>
      <c r="B152" s="167"/>
      <c r="C152" s="168"/>
      <c r="D152" s="182"/>
      <c r="E152" s="169"/>
      <c r="F152" s="110"/>
      <c r="G152" s="110"/>
      <c r="H152" s="157"/>
      <c r="I152" s="145"/>
      <c r="J152" s="112"/>
      <c r="K152" s="156"/>
      <c r="L152" s="156"/>
      <c r="M152" s="156"/>
      <c r="N152" s="158"/>
      <c r="O152" s="159"/>
      <c r="P152" s="159"/>
      <c r="Q152" s="159"/>
      <c r="R152" s="160"/>
      <c r="S152" s="115"/>
      <c r="T152" s="149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</row>
    <row r="153" spans="1:36" s="183" customFormat="1" ht="19.5" customHeight="1" x14ac:dyDescent="0.3">
      <c r="A153" s="94"/>
      <c r="B153" s="167"/>
      <c r="C153" s="168"/>
      <c r="D153" s="182"/>
      <c r="E153" s="169"/>
      <c r="F153" s="110"/>
      <c r="G153" s="110"/>
      <c r="H153" s="157"/>
      <c r="I153" s="145"/>
      <c r="J153" s="112"/>
      <c r="K153" s="156"/>
      <c r="L153" s="156"/>
      <c r="M153" s="156"/>
      <c r="N153" s="158"/>
      <c r="O153" s="159"/>
      <c r="P153" s="159"/>
      <c r="Q153" s="159"/>
      <c r="R153" s="160"/>
      <c r="S153" s="115"/>
      <c r="T153" s="149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</row>
    <row r="154" spans="1:36" s="183" customFormat="1" ht="19.5" customHeight="1" x14ac:dyDescent="0.3">
      <c r="A154" s="94"/>
      <c r="B154" s="167"/>
      <c r="C154" s="168"/>
      <c r="D154" s="182"/>
      <c r="E154" s="169"/>
      <c r="F154" s="110"/>
      <c r="G154" s="110"/>
      <c r="H154" s="157"/>
      <c r="I154" s="145"/>
      <c r="J154" s="112"/>
      <c r="K154" s="156"/>
      <c r="L154" s="156"/>
      <c r="M154" s="156"/>
      <c r="N154" s="158"/>
      <c r="O154" s="159"/>
      <c r="P154" s="159"/>
      <c r="Q154" s="159"/>
      <c r="R154" s="160"/>
      <c r="S154" s="115"/>
      <c r="T154" s="149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</row>
    <row r="155" spans="1:36" s="183" customFormat="1" ht="19.5" customHeight="1" x14ac:dyDescent="0.3">
      <c r="A155" s="94"/>
      <c r="B155" s="167"/>
      <c r="C155" s="168"/>
      <c r="D155" s="182"/>
      <c r="E155" s="169"/>
      <c r="F155" s="110"/>
      <c r="G155" s="110"/>
      <c r="H155" s="157"/>
      <c r="I155" s="145"/>
      <c r="J155" s="112"/>
      <c r="K155" s="156"/>
      <c r="L155" s="156"/>
      <c r="M155" s="156"/>
      <c r="N155" s="158"/>
      <c r="O155" s="159"/>
      <c r="P155" s="159"/>
      <c r="Q155" s="159"/>
      <c r="R155" s="160"/>
      <c r="S155" s="115"/>
      <c r="T155" s="149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</row>
    <row r="156" spans="1:36" s="183" customFormat="1" ht="19.5" customHeight="1" x14ac:dyDescent="0.3">
      <c r="A156" s="94"/>
      <c r="B156" s="167"/>
      <c r="C156" s="168"/>
      <c r="D156" s="182"/>
      <c r="E156" s="169"/>
      <c r="F156" s="110"/>
      <c r="G156" s="110"/>
      <c r="H156" s="157"/>
      <c r="I156" s="145"/>
      <c r="J156" s="112"/>
      <c r="K156" s="156"/>
      <c r="L156" s="156"/>
      <c r="M156" s="156"/>
      <c r="N156" s="158"/>
      <c r="O156" s="159"/>
      <c r="P156" s="159"/>
      <c r="Q156" s="159"/>
      <c r="R156" s="160"/>
      <c r="S156" s="115"/>
      <c r="T156" s="149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</row>
    <row r="157" spans="1:36" s="183" customFormat="1" ht="19.5" customHeight="1" x14ac:dyDescent="0.3">
      <c r="A157" s="94"/>
      <c r="B157" s="167"/>
      <c r="C157" s="168"/>
      <c r="D157" s="182"/>
      <c r="E157" s="169"/>
      <c r="F157" s="110"/>
      <c r="G157" s="110"/>
      <c r="H157" s="157"/>
      <c r="I157" s="145"/>
      <c r="J157" s="112"/>
      <c r="K157" s="156"/>
      <c r="L157" s="156"/>
      <c r="M157" s="156"/>
      <c r="N157" s="158"/>
      <c r="O157" s="159"/>
      <c r="P157" s="159"/>
      <c r="Q157" s="159"/>
      <c r="R157" s="160"/>
      <c r="S157" s="115"/>
      <c r="T157" s="149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</row>
    <row r="158" spans="1:36" s="183" customFormat="1" ht="19.5" customHeight="1" x14ac:dyDescent="0.3">
      <c r="A158" s="94"/>
      <c r="B158" s="167"/>
      <c r="C158" s="168"/>
      <c r="D158" s="182"/>
      <c r="E158" s="169"/>
      <c r="F158" s="110"/>
      <c r="G158" s="110"/>
      <c r="H158" s="157"/>
      <c r="I158" s="145"/>
      <c r="J158" s="112"/>
      <c r="K158" s="156"/>
      <c r="L158" s="156"/>
      <c r="M158" s="156"/>
      <c r="N158" s="158"/>
      <c r="O158" s="159"/>
      <c r="P158" s="159"/>
      <c r="Q158" s="159"/>
      <c r="R158" s="160"/>
      <c r="S158" s="115"/>
      <c r="T158" s="149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</row>
    <row r="159" spans="1:36" s="183" customFormat="1" ht="19.5" customHeight="1" x14ac:dyDescent="0.3">
      <c r="A159" s="94"/>
      <c r="B159" s="167"/>
      <c r="C159" s="168"/>
      <c r="D159" s="182"/>
      <c r="E159" s="169"/>
      <c r="F159" s="110"/>
      <c r="G159" s="110"/>
      <c r="H159" s="157"/>
      <c r="I159" s="145"/>
      <c r="J159" s="112"/>
      <c r="K159" s="156"/>
      <c r="L159" s="156"/>
      <c r="M159" s="156"/>
      <c r="N159" s="158"/>
      <c r="O159" s="159"/>
      <c r="P159" s="159"/>
      <c r="Q159" s="159"/>
      <c r="R159" s="160"/>
      <c r="S159" s="115"/>
      <c r="T159" s="149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</row>
    <row r="160" spans="1:36" s="183" customFormat="1" ht="19.5" customHeight="1" x14ac:dyDescent="0.3">
      <c r="A160" s="94"/>
      <c r="B160" s="167"/>
      <c r="C160" s="168"/>
      <c r="D160" s="182"/>
      <c r="E160" s="169"/>
      <c r="F160" s="110"/>
      <c r="G160" s="110"/>
      <c r="H160" s="157"/>
      <c r="I160" s="145"/>
      <c r="J160" s="112"/>
      <c r="K160" s="156"/>
      <c r="L160" s="156"/>
      <c r="M160" s="156"/>
      <c r="N160" s="158"/>
      <c r="O160" s="159"/>
      <c r="P160" s="159"/>
      <c r="Q160" s="159"/>
      <c r="R160" s="160"/>
      <c r="S160" s="115"/>
      <c r="T160" s="149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</row>
    <row r="161" spans="1:36" s="183" customFormat="1" ht="19.5" customHeight="1" x14ac:dyDescent="0.3">
      <c r="A161" s="94"/>
      <c r="B161" s="167"/>
      <c r="C161" s="168"/>
      <c r="D161" s="182"/>
      <c r="E161" s="169"/>
      <c r="F161" s="110"/>
      <c r="G161" s="110"/>
      <c r="H161" s="157"/>
      <c r="I161" s="145"/>
      <c r="J161" s="112"/>
      <c r="K161" s="156"/>
      <c r="L161" s="156"/>
      <c r="M161" s="156"/>
      <c r="N161" s="158"/>
      <c r="O161" s="159"/>
      <c r="P161" s="159"/>
      <c r="Q161" s="159"/>
      <c r="R161" s="160"/>
      <c r="S161" s="115"/>
      <c r="T161" s="149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</row>
    <row r="162" spans="1:36" s="183" customFormat="1" ht="19.5" customHeight="1" x14ac:dyDescent="0.3">
      <c r="A162" s="94"/>
      <c r="B162" s="167"/>
      <c r="C162" s="168"/>
      <c r="D162" s="182"/>
      <c r="E162" s="169"/>
      <c r="F162" s="110"/>
      <c r="G162" s="110"/>
      <c r="H162" s="157"/>
      <c r="I162" s="145"/>
      <c r="J162" s="112"/>
      <c r="K162" s="156"/>
      <c r="L162" s="156"/>
      <c r="M162" s="156"/>
      <c r="N162" s="158"/>
      <c r="O162" s="159"/>
      <c r="P162" s="159"/>
      <c r="Q162" s="159"/>
      <c r="R162" s="160"/>
      <c r="S162" s="115"/>
      <c r="T162" s="149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</row>
    <row r="163" spans="1:36" s="183" customFormat="1" ht="19.5" customHeight="1" x14ac:dyDescent="0.3">
      <c r="A163" s="94"/>
      <c r="B163" s="170"/>
      <c r="C163" s="168"/>
      <c r="D163" s="182"/>
      <c r="E163" s="168"/>
      <c r="F163" s="110"/>
      <c r="G163" s="157"/>
      <c r="H163" s="157"/>
      <c r="I163" s="145"/>
      <c r="J163" s="112"/>
      <c r="K163" s="156"/>
      <c r="L163" s="156"/>
      <c r="M163" s="156"/>
      <c r="N163" s="158"/>
      <c r="O163" s="159"/>
      <c r="P163" s="159"/>
      <c r="Q163" s="159"/>
      <c r="R163" s="160"/>
      <c r="S163" s="115"/>
      <c r="T163" s="149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</row>
    <row r="164" spans="1:36" s="183" customFormat="1" ht="19.5" customHeight="1" x14ac:dyDescent="0.3">
      <c r="A164" s="94"/>
      <c r="B164" s="170"/>
      <c r="C164" s="168"/>
      <c r="D164" s="182"/>
      <c r="E164" s="168"/>
      <c r="F164" s="110"/>
      <c r="G164" s="157"/>
      <c r="H164" s="157"/>
      <c r="I164" s="145"/>
      <c r="J164" s="112"/>
      <c r="K164" s="156"/>
      <c r="L164" s="156"/>
      <c r="M164" s="156"/>
      <c r="N164" s="158"/>
      <c r="O164" s="159"/>
      <c r="P164" s="159"/>
      <c r="Q164" s="159"/>
      <c r="R164" s="160"/>
      <c r="S164" s="115"/>
      <c r="T164" s="149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</row>
    <row r="165" spans="1:36" s="183" customFormat="1" ht="19.5" customHeight="1" x14ac:dyDescent="0.3">
      <c r="A165" s="94"/>
      <c r="B165" s="170"/>
      <c r="C165" s="168"/>
      <c r="D165" s="182"/>
      <c r="E165" s="168"/>
      <c r="F165" s="110"/>
      <c r="G165" s="157"/>
      <c r="H165" s="157"/>
      <c r="I165" s="145"/>
      <c r="J165" s="112"/>
      <c r="K165" s="156"/>
      <c r="L165" s="156"/>
      <c r="M165" s="156"/>
      <c r="N165" s="158"/>
      <c r="O165" s="159"/>
      <c r="P165" s="159"/>
      <c r="Q165" s="159"/>
      <c r="R165" s="160"/>
      <c r="S165" s="115"/>
      <c r="T165" s="149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</row>
    <row r="166" spans="1:36" s="183" customFormat="1" ht="19.5" customHeight="1" x14ac:dyDescent="0.3">
      <c r="A166" s="94"/>
      <c r="B166" s="170"/>
      <c r="C166" s="168"/>
      <c r="D166" s="182"/>
      <c r="E166" s="168"/>
      <c r="F166" s="110"/>
      <c r="G166" s="157"/>
      <c r="H166" s="157"/>
      <c r="I166" s="145"/>
      <c r="J166" s="112"/>
      <c r="K166" s="156"/>
      <c r="L166" s="156"/>
      <c r="M166" s="156"/>
      <c r="N166" s="158"/>
      <c r="O166" s="159"/>
      <c r="P166" s="159"/>
      <c r="Q166" s="159"/>
      <c r="R166" s="160"/>
      <c r="S166" s="115"/>
      <c r="T166" s="149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</row>
    <row r="167" spans="1:36" s="183" customFormat="1" ht="19.5" customHeight="1" x14ac:dyDescent="0.3">
      <c r="A167" s="94"/>
      <c r="B167" s="170"/>
      <c r="C167" s="184"/>
      <c r="D167" s="182"/>
      <c r="E167" s="168"/>
      <c r="F167" s="110"/>
      <c r="G167" s="157"/>
      <c r="H167" s="157"/>
      <c r="I167" s="145"/>
      <c r="J167" s="112"/>
      <c r="K167" s="156"/>
      <c r="L167" s="156"/>
      <c r="M167" s="156"/>
      <c r="N167" s="158"/>
      <c r="O167" s="159"/>
      <c r="P167" s="159"/>
      <c r="Q167" s="159"/>
      <c r="R167" s="160"/>
      <c r="S167" s="115"/>
      <c r="T167" s="149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</row>
    <row r="168" spans="1:36" s="183" customFormat="1" ht="19.5" customHeight="1" x14ac:dyDescent="0.3">
      <c r="A168" s="94"/>
      <c r="B168" s="170"/>
      <c r="C168" s="184"/>
      <c r="D168" s="182"/>
      <c r="E168" s="168"/>
      <c r="F168" s="110"/>
      <c r="G168" s="157"/>
      <c r="H168" s="157"/>
      <c r="I168" s="145"/>
      <c r="J168" s="112"/>
      <c r="K168" s="156"/>
      <c r="L168" s="156"/>
      <c r="M168" s="156"/>
      <c r="N168" s="158"/>
      <c r="O168" s="159"/>
      <c r="P168" s="159"/>
      <c r="Q168" s="159"/>
      <c r="R168" s="160"/>
      <c r="S168" s="115"/>
      <c r="T168" s="149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</row>
    <row r="169" spans="1:36" s="183" customFormat="1" ht="19.5" customHeight="1" x14ac:dyDescent="0.3">
      <c r="A169" s="94"/>
      <c r="B169" s="170"/>
      <c r="C169" s="185"/>
      <c r="D169" s="182"/>
      <c r="E169" s="168"/>
      <c r="F169" s="110"/>
      <c r="G169" s="157"/>
      <c r="H169" s="157"/>
      <c r="I169" s="145"/>
      <c r="J169" s="112"/>
      <c r="K169" s="156"/>
      <c r="L169" s="156"/>
      <c r="M169" s="156"/>
      <c r="N169" s="158"/>
      <c r="O169" s="159"/>
      <c r="P169" s="159"/>
      <c r="Q169" s="159"/>
      <c r="R169" s="160"/>
      <c r="S169" s="115"/>
      <c r="T169" s="149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</row>
    <row r="170" spans="1:36" s="183" customFormat="1" ht="19.5" customHeight="1" x14ac:dyDescent="0.3">
      <c r="A170" s="94"/>
      <c r="B170" s="170"/>
      <c r="C170" s="168"/>
      <c r="D170" s="182"/>
      <c r="E170" s="168"/>
      <c r="F170" s="110"/>
      <c r="G170" s="157"/>
      <c r="H170" s="157"/>
      <c r="I170" s="145"/>
      <c r="J170" s="112"/>
      <c r="K170" s="156"/>
      <c r="L170" s="156"/>
      <c r="M170" s="156"/>
      <c r="N170" s="158"/>
      <c r="O170" s="159"/>
      <c r="P170" s="159"/>
      <c r="Q170" s="159"/>
      <c r="R170" s="160"/>
      <c r="S170" s="115"/>
      <c r="T170" s="149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</row>
    <row r="171" spans="1:36" s="183" customFormat="1" ht="19.5" customHeight="1" x14ac:dyDescent="0.3">
      <c r="A171" s="94"/>
      <c r="B171" s="186"/>
      <c r="C171" s="186"/>
      <c r="D171" s="182"/>
      <c r="E171" s="186"/>
      <c r="F171" s="110"/>
      <c r="G171" s="157"/>
      <c r="H171" s="157"/>
      <c r="I171" s="145"/>
      <c r="J171" s="112"/>
      <c r="K171" s="156"/>
      <c r="L171" s="156"/>
      <c r="M171" s="156"/>
      <c r="N171" s="158"/>
      <c r="O171" s="159"/>
      <c r="P171" s="159"/>
      <c r="Q171" s="159"/>
      <c r="R171" s="160"/>
      <c r="S171" s="115"/>
      <c r="T171" s="149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</row>
    <row r="172" spans="1:36" s="183" customFormat="1" ht="19.5" customHeight="1" x14ac:dyDescent="0.3">
      <c r="A172" s="94"/>
      <c r="B172" s="186"/>
      <c r="C172" s="186"/>
      <c r="D172" s="182"/>
      <c r="E172" s="186"/>
      <c r="F172" s="110"/>
      <c r="G172" s="157"/>
      <c r="H172" s="157"/>
      <c r="I172" s="145"/>
      <c r="J172" s="112"/>
      <c r="K172" s="156"/>
      <c r="L172" s="156"/>
      <c r="M172" s="156"/>
      <c r="N172" s="158"/>
      <c r="O172" s="159"/>
      <c r="P172" s="159"/>
      <c r="Q172" s="159"/>
      <c r="R172" s="160"/>
      <c r="S172" s="115"/>
      <c r="T172" s="149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</row>
    <row r="173" spans="1:36" s="183" customFormat="1" ht="19.5" customHeight="1" x14ac:dyDescent="0.3">
      <c r="A173" s="94"/>
      <c r="B173" s="186"/>
      <c r="C173" s="186"/>
      <c r="D173" s="182"/>
      <c r="E173" s="186"/>
      <c r="F173" s="110"/>
      <c r="G173" s="157"/>
      <c r="H173" s="157"/>
      <c r="I173" s="145"/>
      <c r="J173" s="112"/>
      <c r="K173" s="156"/>
      <c r="L173" s="156"/>
      <c r="M173" s="156"/>
      <c r="N173" s="158"/>
      <c r="O173" s="159"/>
      <c r="P173" s="159"/>
      <c r="Q173" s="159"/>
      <c r="R173" s="160"/>
      <c r="S173" s="115"/>
      <c r="T173" s="149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</row>
    <row r="174" spans="1:36" s="183" customFormat="1" ht="19.5" customHeight="1" x14ac:dyDescent="0.3">
      <c r="A174" s="94"/>
      <c r="B174" s="186"/>
      <c r="C174" s="186"/>
      <c r="D174" s="182"/>
      <c r="E174" s="186"/>
      <c r="F174" s="110"/>
      <c r="G174" s="157"/>
      <c r="H174" s="157"/>
      <c r="I174" s="145"/>
      <c r="J174" s="112"/>
      <c r="K174" s="156"/>
      <c r="L174" s="156"/>
      <c r="M174" s="156"/>
      <c r="N174" s="158"/>
      <c r="O174" s="159"/>
      <c r="P174" s="159"/>
      <c r="Q174" s="159"/>
      <c r="R174" s="160"/>
      <c r="S174" s="115"/>
      <c r="T174" s="149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</row>
    <row r="175" spans="1:36" s="183" customFormat="1" ht="19.5" customHeight="1" x14ac:dyDescent="0.3">
      <c r="A175" s="94"/>
      <c r="B175" s="186"/>
      <c r="C175" s="186"/>
      <c r="D175" s="182"/>
      <c r="E175" s="187"/>
      <c r="F175" s="110"/>
      <c r="G175" s="157"/>
      <c r="H175" s="157"/>
      <c r="I175" s="145"/>
      <c r="J175" s="112"/>
      <c r="K175" s="156"/>
      <c r="L175" s="156"/>
      <c r="M175" s="156"/>
      <c r="N175" s="158"/>
      <c r="O175" s="159"/>
      <c r="P175" s="159"/>
      <c r="Q175" s="159"/>
      <c r="R175" s="160"/>
      <c r="S175" s="115"/>
      <c r="T175" s="149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</row>
    <row r="176" spans="1:36" s="183" customFormat="1" ht="19.5" customHeight="1" x14ac:dyDescent="0.3">
      <c r="A176" s="94"/>
      <c r="B176" s="186"/>
      <c r="C176" s="186"/>
      <c r="D176" s="182"/>
      <c r="E176" s="187"/>
      <c r="F176" s="110"/>
      <c r="G176" s="157"/>
      <c r="H176" s="157"/>
      <c r="I176" s="145"/>
      <c r="J176" s="112"/>
      <c r="K176" s="156"/>
      <c r="L176" s="156"/>
      <c r="M176" s="156"/>
      <c r="N176" s="158"/>
      <c r="O176" s="159"/>
      <c r="P176" s="159"/>
      <c r="Q176" s="159"/>
      <c r="R176" s="160"/>
      <c r="S176" s="115"/>
      <c r="T176" s="149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</row>
    <row r="177" spans="1:36" s="183" customFormat="1" ht="19.5" customHeight="1" x14ac:dyDescent="0.3">
      <c r="A177" s="94"/>
      <c r="B177" s="186"/>
      <c r="C177" s="186"/>
      <c r="D177" s="182"/>
      <c r="E177" s="187"/>
      <c r="F177" s="110"/>
      <c r="G177" s="157"/>
      <c r="H177" s="157"/>
      <c r="I177" s="145"/>
      <c r="J177" s="112"/>
      <c r="K177" s="156"/>
      <c r="L177" s="156"/>
      <c r="M177" s="156"/>
      <c r="N177" s="158"/>
      <c r="O177" s="159"/>
      <c r="P177" s="159"/>
      <c r="Q177" s="159"/>
      <c r="R177" s="160"/>
      <c r="S177" s="115"/>
      <c r="T177" s="149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</row>
    <row r="178" spans="1:36" s="183" customFormat="1" ht="19.5" customHeight="1" x14ac:dyDescent="0.3">
      <c r="A178" s="94"/>
      <c r="B178" s="186"/>
      <c r="C178" s="186"/>
      <c r="D178" s="182"/>
      <c r="E178" s="187"/>
      <c r="F178" s="110"/>
      <c r="G178" s="157"/>
      <c r="H178" s="157"/>
      <c r="I178" s="145"/>
      <c r="J178" s="112"/>
      <c r="K178" s="156"/>
      <c r="L178" s="156"/>
      <c r="M178" s="156"/>
      <c r="N178" s="158"/>
      <c r="O178" s="159"/>
      <c r="P178" s="159"/>
      <c r="Q178" s="159"/>
      <c r="R178" s="160"/>
      <c r="S178" s="115"/>
      <c r="T178" s="149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</row>
    <row r="179" spans="1:36" s="183" customFormat="1" ht="19.5" customHeight="1" x14ac:dyDescent="0.3">
      <c r="A179" s="94"/>
      <c r="B179" s="186"/>
      <c r="C179" s="186"/>
      <c r="D179" s="182"/>
      <c r="E179" s="187"/>
      <c r="F179" s="110"/>
      <c r="G179" s="157"/>
      <c r="H179" s="157"/>
      <c r="I179" s="145"/>
      <c r="J179" s="112"/>
      <c r="K179" s="156"/>
      <c r="L179" s="156"/>
      <c r="M179" s="156"/>
      <c r="N179" s="158"/>
      <c r="O179" s="159"/>
      <c r="P179" s="159"/>
      <c r="Q179" s="159"/>
      <c r="R179" s="160"/>
      <c r="S179" s="115"/>
      <c r="T179" s="149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</row>
    <row r="180" spans="1:36" s="183" customFormat="1" ht="19.5" customHeight="1" x14ac:dyDescent="0.3">
      <c r="A180" s="94"/>
      <c r="B180" s="186"/>
      <c r="C180" s="186"/>
      <c r="D180" s="182"/>
      <c r="E180" s="187"/>
      <c r="F180" s="110"/>
      <c r="G180" s="157"/>
      <c r="H180" s="157"/>
      <c r="I180" s="145"/>
      <c r="J180" s="112"/>
      <c r="K180" s="156"/>
      <c r="L180" s="156"/>
      <c r="M180" s="156"/>
      <c r="N180" s="158"/>
      <c r="O180" s="159"/>
      <c r="P180" s="159"/>
      <c r="Q180" s="159"/>
      <c r="R180" s="160"/>
      <c r="S180" s="115"/>
      <c r="T180" s="149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</row>
    <row r="181" spans="1:36" s="183" customFormat="1" ht="19.5" customHeight="1" x14ac:dyDescent="0.3">
      <c r="A181" s="94"/>
      <c r="B181" s="186"/>
      <c r="C181" s="186"/>
      <c r="D181" s="182"/>
      <c r="E181" s="187"/>
      <c r="F181" s="110"/>
      <c r="G181" s="157"/>
      <c r="H181" s="157"/>
      <c r="I181" s="145"/>
      <c r="J181" s="112"/>
      <c r="K181" s="156"/>
      <c r="L181" s="156"/>
      <c r="M181" s="156"/>
      <c r="N181" s="158"/>
      <c r="O181" s="159"/>
      <c r="P181" s="159"/>
      <c r="Q181" s="159"/>
      <c r="R181" s="160"/>
      <c r="S181" s="115"/>
      <c r="T181" s="149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</row>
    <row r="182" spans="1:36" s="183" customFormat="1" ht="19.5" customHeight="1" x14ac:dyDescent="0.3">
      <c r="A182" s="94"/>
      <c r="B182" s="186"/>
      <c r="C182" s="186"/>
      <c r="D182" s="182"/>
      <c r="E182" s="187"/>
      <c r="F182" s="110"/>
      <c r="G182" s="157"/>
      <c r="H182" s="157"/>
      <c r="I182" s="145"/>
      <c r="J182" s="112"/>
      <c r="K182" s="156"/>
      <c r="L182" s="156"/>
      <c r="M182" s="156"/>
      <c r="N182" s="158"/>
      <c r="O182" s="159"/>
      <c r="P182" s="159"/>
      <c r="Q182" s="159"/>
      <c r="R182" s="160"/>
      <c r="S182" s="115"/>
      <c r="T182" s="149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</row>
    <row r="183" spans="1:36" s="183" customFormat="1" ht="19.5" customHeight="1" x14ac:dyDescent="0.3">
      <c r="A183" s="94"/>
      <c r="B183" s="186"/>
      <c r="C183" s="186"/>
      <c r="D183" s="182"/>
      <c r="E183" s="187"/>
      <c r="F183" s="110"/>
      <c r="G183" s="157"/>
      <c r="H183" s="157"/>
      <c r="I183" s="145"/>
      <c r="J183" s="112"/>
      <c r="K183" s="156"/>
      <c r="L183" s="156"/>
      <c r="M183" s="156"/>
      <c r="N183" s="158"/>
      <c r="O183" s="159"/>
      <c r="P183" s="159"/>
      <c r="Q183" s="159"/>
      <c r="R183" s="160"/>
      <c r="S183" s="115"/>
      <c r="T183" s="149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</row>
    <row r="184" spans="1:36" s="183" customFormat="1" ht="19.5" customHeight="1" x14ac:dyDescent="0.3">
      <c r="A184" s="94"/>
      <c r="B184" s="186"/>
      <c r="C184" s="186"/>
      <c r="D184" s="182"/>
      <c r="E184" s="187"/>
      <c r="F184" s="110"/>
      <c r="G184" s="157"/>
      <c r="H184" s="157"/>
      <c r="I184" s="145"/>
      <c r="J184" s="112"/>
      <c r="K184" s="156"/>
      <c r="L184" s="156"/>
      <c r="M184" s="156"/>
      <c r="N184" s="158"/>
      <c r="O184" s="159"/>
      <c r="P184" s="159"/>
      <c r="Q184" s="159"/>
      <c r="R184" s="160"/>
      <c r="S184" s="115"/>
      <c r="T184" s="149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</row>
    <row r="185" spans="1:36" s="183" customFormat="1" ht="19.5" customHeight="1" x14ac:dyDescent="0.3">
      <c r="A185" s="94"/>
      <c r="B185" s="186"/>
      <c r="C185" s="186"/>
      <c r="D185" s="182"/>
      <c r="E185" s="187"/>
      <c r="F185" s="110"/>
      <c r="G185" s="157"/>
      <c r="H185" s="157"/>
      <c r="I185" s="145"/>
      <c r="J185" s="112"/>
      <c r="K185" s="156"/>
      <c r="L185" s="156"/>
      <c r="M185" s="156"/>
      <c r="N185" s="158"/>
      <c r="O185" s="159"/>
      <c r="P185" s="159"/>
      <c r="Q185" s="159"/>
      <c r="R185" s="160"/>
      <c r="S185" s="115"/>
      <c r="T185" s="149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</row>
    <row r="186" spans="1:36" s="183" customFormat="1" ht="19.5" customHeight="1" x14ac:dyDescent="0.3">
      <c r="A186" s="94"/>
      <c r="B186" s="186"/>
      <c r="C186" s="186"/>
      <c r="D186" s="182"/>
      <c r="E186" s="187"/>
      <c r="F186" s="110"/>
      <c r="G186" s="157"/>
      <c r="H186" s="157"/>
      <c r="I186" s="145"/>
      <c r="J186" s="112"/>
      <c r="K186" s="156"/>
      <c r="L186" s="156"/>
      <c r="M186" s="156"/>
      <c r="N186" s="158"/>
      <c r="O186" s="159"/>
      <c r="P186" s="159"/>
      <c r="Q186" s="159"/>
      <c r="R186" s="160"/>
      <c r="S186" s="115"/>
      <c r="T186" s="149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</row>
    <row r="187" spans="1:36" s="183" customFormat="1" ht="19.5" customHeight="1" x14ac:dyDescent="0.3">
      <c r="A187" s="94"/>
      <c r="B187" s="188"/>
      <c r="C187" s="78"/>
      <c r="D187" s="182"/>
      <c r="E187" s="78"/>
      <c r="F187" s="110"/>
      <c r="G187" s="157"/>
      <c r="H187" s="157"/>
      <c r="I187" s="145"/>
      <c r="J187" s="112"/>
      <c r="K187" s="156"/>
      <c r="L187" s="156"/>
      <c r="M187" s="156"/>
      <c r="N187" s="158"/>
      <c r="O187" s="159"/>
      <c r="P187" s="159"/>
      <c r="Q187" s="159"/>
      <c r="R187" s="160"/>
      <c r="S187" s="115"/>
      <c r="T187" s="149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</row>
    <row r="188" spans="1:36" s="183" customFormat="1" ht="19.5" customHeight="1" x14ac:dyDescent="0.3">
      <c r="A188" s="94"/>
      <c r="B188" s="188"/>
      <c r="C188" s="78"/>
      <c r="D188" s="182"/>
      <c r="E188" s="78"/>
      <c r="F188" s="110"/>
      <c r="G188" s="157"/>
      <c r="H188" s="157"/>
      <c r="I188" s="145"/>
      <c r="J188" s="112"/>
      <c r="K188" s="156"/>
      <c r="L188" s="156"/>
      <c r="M188" s="156"/>
      <c r="N188" s="158"/>
      <c r="O188" s="159"/>
      <c r="P188" s="159"/>
      <c r="Q188" s="159"/>
      <c r="R188" s="160"/>
      <c r="S188" s="115"/>
      <c r="T188" s="149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</row>
    <row r="189" spans="1:36" s="183" customFormat="1" ht="19.5" customHeight="1" x14ac:dyDescent="0.3">
      <c r="A189" s="94"/>
      <c r="B189" s="186"/>
      <c r="C189" s="186"/>
      <c r="D189" s="182"/>
      <c r="E189" s="78"/>
      <c r="F189" s="110"/>
      <c r="G189" s="157"/>
      <c r="H189" s="157"/>
      <c r="I189" s="145"/>
      <c r="J189" s="112"/>
      <c r="K189" s="156"/>
      <c r="L189" s="156"/>
      <c r="M189" s="156"/>
      <c r="N189" s="158"/>
      <c r="O189" s="159"/>
      <c r="P189" s="159"/>
      <c r="Q189" s="159"/>
      <c r="R189" s="160"/>
      <c r="S189" s="115"/>
      <c r="T189" s="149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</row>
    <row r="190" spans="1:36" s="183" customFormat="1" ht="19.5" customHeight="1" x14ac:dyDescent="0.3">
      <c r="A190" s="94"/>
      <c r="B190" s="186"/>
      <c r="C190" s="186"/>
      <c r="D190" s="182"/>
      <c r="E190" s="186"/>
      <c r="F190" s="110"/>
      <c r="G190" s="157"/>
      <c r="H190" s="157"/>
      <c r="I190" s="145"/>
      <c r="J190" s="112"/>
      <c r="K190" s="156"/>
      <c r="L190" s="156"/>
      <c r="M190" s="156"/>
      <c r="N190" s="158"/>
      <c r="O190" s="159"/>
      <c r="P190" s="159"/>
      <c r="Q190" s="159"/>
      <c r="R190" s="160"/>
      <c r="S190" s="115"/>
      <c r="T190" s="149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</row>
    <row r="191" spans="1:36" s="142" customFormat="1" ht="19.5" customHeight="1" x14ac:dyDescent="0.3">
      <c r="A191" s="132"/>
      <c r="B191" s="133"/>
      <c r="C191" s="133"/>
      <c r="D191" s="137"/>
      <c r="E191" s="152"/>
      <c r="F191" s="152"/>
      <c r="G191" s="152"/>
      <c r="H191" s="152"/>
      <c r="I191" s="136"/>
      <c r="J191" s="137"/>
      <c r="K191" s="137"/>
      <c r="L191" s="137"/>
      <c r="M191" s="137"/>
      <c r="N191" s="153"/>
      <c r="O191" s="139"/>
      <c r="P191" s="139"/>
      <c r="Q191" s="139"/>
      <c r="R191" s="140"/>
      <c r="S191" s="141"/>
      <c r="T191" s="149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</row>
    <row r="192" spans="1:36" ht="19.5" customHeight="1" x14ac:dyDescent="0.3">
      <c r="A192" s="70"/>
      <c r="B192" s="189"/>
      <c r="C192" s="190"/>
      <c r="D192" s="156"/>
      <c r="E192" s="190"/>
      <c r="F192" s="110"/>
      <c r="G192" s="110"/>
      <c r="H192" s="157"/>
      <c r="I192" s="145"/>
      <c r="J192" s="121"/>
      <c r="K192" s="156"/>
      <c r="L192" s="156"/>
      <c r="M192" s="156"/>
      <c r="N192" s="158"/>
      <c r="O192" s="159"/>
      <c r="P192" s="159"/>
      <c r="Q192" s="159"/>
      <c r="R192" s="160"/>
      <c r="S192" s="77"/>
      <c r="T192" s="149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spans="1:36" ht="19.5" customHeight="1" x14ac:dyDescent="0.3">
      <c r="A193" s="70"/>
      <c r="B193" s="143"/>
      <c r="C193" s="144"/>
      <c r="D193" s="156"/>
      <c r="E193" s="144"/>
      <c r="F193" s="110"/>
      <c r="G193" s="110"/>
      <c r="H193" s="157"/>
      <c r="I193" s="145"/>
      <c r="J193" s="121"/>
      <c r="K193" s="156"/>
      <c r="L193" s="156"/>
      <c r="M193" s="156"/>
      <c r="N193" s="158"/>
      <c r="O193" s="159"/>
      <c r="P193" s="159"/>
      <c r="Q193" s="159"/>
      <c r="R193" s="160"/>
      <c r="S193" s="77"/>
      <c r="T193" s="149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spans="1:36" ht="19.5" customHeight="1" x14ac:dyDescent="0.3">
      <c r="A194" s="70"/>
      <c r="B194" s="143"/>
      <c r="C194" s="144"/>
      <c r="D194" s="156"/>
      <c r="E194" s="144"/>
      <c r="F194" s="110"/>
      <c r="G194" s="110"/>
      <c r="H194" s="157"/>
      <c r="I194" s="145"/>
      <c r="J194" s="121"/>
      <c r="K194" s="156"/>
      <c r="L194" s="156"/>
      <c r="M194" s="156"/>
      <c r="N194" s="158"/>
      <c r="O194" s="159"/>
      <c r="P194" s="159"/>
      <c r="Q194" s="159"/>
      <c r="R194" s="160"/>
      <c r="S194" s="77"/>
      <c r="T194" s="149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spans="1:36" ht="19.5" customHeight="1" x14ac:dyDescent="0.3">
      <c r="A195" s="70"/>
      <c r="B195" s="143"/>
      <c r="C195" s="144"/>
      <c r="D195" s="156"/>
      <c r="E195" s="144"/>
      <c r="F195" s="110"/>
      <c r="G195" s="110"/>
      <c r="H195" s="157"/>
      <c r="I195" s="145"/>
      <c r="J195" s="121"/>
      <c r="K195" s="156"/>
      <c r="L195" s="156"/>
      <c r="M195" s="156"/>
      <c r="N195" s="158"/>
      <c r="O195" s="159"/>
      <c r="P195" s="159"/>
      <c r="Q195" s="159"/>
      <c r="R195" s="160"/>
      <c r="S195" s="77"/>
      <c r="T195" s="149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spans="1:36" ht="19.5" customHeight="1" x14ac:dyDescent="0.3">
      <c r="A196" s="70"/>
      <c r="B196" s="143"/>
      <c r="C196" s="144"/>
      <c r="D196" s="156"/>
      <c r="E196" s="144"/>
      <c r="F196" s="110"/>
      <c r="G196" s="110"/>
      <c r="H196" s="157"/>
      <c r="I196" s="145"/>
      <c r="J196" s="121"/>
      <c r="K196" s="156"/>
      <c r="L196" s="156"/>
      <c r="M196" s="156"/>
      <c r="N196" s="158"/>
      <c r="O196" s="159"/>
      <c r="P196" s="159"/>
      <c r="Q196" s="159"/>
      <c r="R196" s="160"/>
      <c r="S196" s="77"/>
      <c r="T196" s="149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spans="1:36" ht="19.5" customHeight="1" x14ac:dyDescent="0.3">
      <c r="A197" s="70"/>
      <c r="B197" s="143"/>
      <c r="C197" s="144"/>
      <c r="D197" s="156"/>
      <c r="E197" s="144"/>
      <c r="F197" s="110"/>
      <c r="G197" s="110"/>
      <c r="H197" s="157"/>
      <c r="I197" s="145"/>
      <c r="J197" s="121"/>
      <c r="K197" s="156"/>
      <c r="L197" s="156"/>
      <c r="M197" s="156"/>
      <c r="N197" s="158"/>
      <c r="O197" s="159"/>
      <c r="P197" s="159"/>
      <c r="Q197" s="159"/>
      <c r="R197" s="160"/>
      <c r="S197" s="77"/>
      <c r="T197" s="149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spans="1:36" ht="19.5" customHeight="1" x14ac:dyDescent="0.3">
      <c r="A198" s="70"/>
      <c r="B198" s="156"/>
      <c r="C198" s="156"/>
      <c r="D198" s="156"/>
      <c r="E198" s="157"/>
      <c r="F198" s="110"/>
      <c r="G198" s="157"/>
      <c r="H198" s="157"/>
      <c r="I198" s="145"/>
      <c r="J198" s="121"/>
      <c r="K198" s="156"/>
      <c r="L198" s="156"/>
      <c r="M198" s="156"/>
      <c r="N198" s="158"/>
      <c r="O198" s="159"/>
      <c r="P198" s="159"/>
      <c r="Q198" s="159"/>
      <c r="R198" s="160"/>
      <c r="S198" s="77"/>
      <c r="T198" s="149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spans="1:36" s="142" customFormat="1" ht="19.5" customHeight="1" x14ac:dyDescent="0.3">
      <c r="A199" s="132"/>
      <c r="B199" s="133"/>
      <c r="C199" s="133"/>
      <c r="D199" s="137"/>
      <c r="E199" s="152"/>
      <c r="F199" s="152"/>
      <c r="G199" s="152"/>
      <c r="H199" s="152"/>
      <c r="I199" s="136"/>
      <c r="J199" s="137"/>
      <c r="K199" s="137"/>
      <c r="L199" s="137"/>
      <c r="M199" s="137"/>
      <c r="N199" s="153"/>
      <c r="O199" s="139"/>
      <c r="P199" s="139"/>
      <c r="Q199" s="139"/>
      <c r="R199" s="140"/>
      <c r="S199" s="141"/>
      <c r="T199" s="149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</row>
    <row r="200" spans="1:36" ht="19.5" customHeight="1" x14ac:dyDescent="0.3">
      <c r="A200" s="94"/>
      <c r="B200" s="167"/>
      <c r="C200" s="168"/>
      <c r="D200" s="180"/>
      <c r="E200" s="169"/>
      <c r="F200" s="110"/>
      <c r="G200" s="110"/>
      <c r="H200" s="157"/>
      <c r="I200" s="145"/>
      <c r="J200" s="112"/>
      <c r="K200" s="156"/>
      <c r="L200" s="156"/>
      <c r="M200" s="156"/>
      <c r="N200" s="158"/>
      <c r="O200" s="159"/>
      <c r="P200" s="159"/>
      <c r="Q200" s="159"/>
      <c r="R200" s="160"/>
      <c r="S200" s="115"/>
      <c r="T200" s="149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</row>
    <row r="201" spans="1:36" ht="19.5" customHeight="1" x14ac:dyDescent="0.3">
      <c r="A201" s="94"/>
      <c r="B201" s="167"/>
      <c r="C201" s="168"/>
      <c r="D201" s="180"/>
      <c r="E201" s="169"/>
      <c r="F201" s="110"/>
      <c r="G201" s="110"/>
      <c r="H201" s="157"/>
      <c r="I201" s="145"/>
      <c r="J201" s="112"/>
      <c r="K201" s="156"/>
      <c r="L201" s="156"/>
      <c r="M201" s="156"/>
      <c r="N201" s="158"/>
      <c r="O201" s="159"/>
      <c r="P201" s="159"/>
      <c r="Q201" s="159"/>
      <c r="R201" s="160"/>
      <c r="S201" s="115"/>
      <c r="T201" s="149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</row>
    <row r="202" spans="1:36" ht="19.5" customHeight="1" x14ac:dyDescent="0.3">
      <c r="A202" s="94"/>
      <c r="B202" s="167"/>
      <c r="C202" s="168"/>
      <c r="D202" s="180"/>
      <c r="E202" s="169"/>
      <c r="F202" s="110"/>
      <c r="G202" s="110"/>
      <c r="H202" s="157"/>
      <c r="I202" s="145"/>
      <c r="J202" s="112"/>
      <c r="K202" s="156"/>
      <c r="L202" s="156"/>
      <c r="M202" s="156"/>
      <c r="N202" s="158"/>
      <c r="O202" s="159"/>
      <c r="P202" s="159"/>
      <c r="Q202" s="159"/>
      <c r="R202" s="160"/>
      <c r="S202" s="115"/>
      <c r="T202" s="149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</row>
    <row r="203" spans="1:36" ht="19.5" customHeight="1" x14ac:dyDescent="0.3">
      <c r="A203" s="94"/>
      <c r="B203" s="167"/>
      <c r="C203" s="168"/>
      <c r="D203" s="180"/>
      <c r="E203" s="169"/>
      <c r="F203" s="110"/>
      <c r="G203" s="110"/>
      <c r="H203" s="157"/>
      <c r="I203" s="145"/>
      <c r="J203" s="112"/>
      <c r="K203" s="156"/>
      <c r="L203" s="156"/>
      <c r="M203" s="156"/>
      <c r="N203" s="158"/>
      <c r="O203" s="159"/>
      <c r="P203" s="159"/>
      <c r="Q203" s="159"/>
      <c r="R203" s="160"/>
      <c r="S203" s="115"/>
      <c r="T203" s="149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</row>
    <row r="204" spans="1:36" ht="19.5" customHeight="1" x14ac:dyDescent="0.3">
      <c r="A204" s="94"/>
      <c r="B204" s="167"/>
      <c r="C204" s="168"/>
      <c r="D204" s="180"/>
      <c r="E204" s="169"/>
      <c r="F204" s="110"/>
      <c r="G204" s="110"/>
      <c r="H204" s="157"/>
      <c r="I204" s="145"/>
      <c r="J204" s="112"/>
      <c r="K204" s="156"/>
      <c r="L204" s="156"/>
      <c r="M204" s="156"/>
      <c r="N204" s="158"/>
      <c r="O204" s="159"/>
      <c r="P204" s="159"/>
      <c r="Q204" s="159"/>
      <c r="R204" s="160"/>
      <c r="S204" s="115"/>
      <c r="T204" s="149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</row>
    <row r="205" spans="1:36" ht="19.5" customHeight="1" x14ac:dyDescent="0.3">
      <c r="A205" s="94"/>
      <c r="B205" s="167"/>
      <c r="C205" s="168"/>
      <c r="D205" s="180"/>
      <c r="E205" s="169"/>
      <c r="F205" s="110"/>
      <c r="G205" s="110"/>
      <c r="H205" s="157"/>
      <c r="I205" s="145"/>
      <c r="J205" s="112"/>
      <c r="K205" s="156"/>
      <c r="L205" s="156"/>
      <c r="M205" s="156"/>
      <c r="N205" s="158"/>
      <c r="O205" s="159"/>
      <c r="P205" s="159"/>
      <c r="Q205" s="159"/>
      <c r="R205" s="160"/>
      <c r="S205" s="115"/>
      <c r="T205" s="149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</row>
    <row r="206" spans="1:36" ht="19.5" customHeight="1" x14ac:dyDescent="0.3">
      <c r="A206" s="94"/>
      <c r="B206" s="167"/>
      <c r="C206" s="168"/>
      <c r="D206" s="180"/>
      <c r="E206" s="169"/>
      <c r="F206" s="110"/>
      <c r="G206" s="110"/>
      <c r="H206" s="157"/>
      <c r="I206" s="145"/>
      <c r="J206" s="112"/>
      <c r="K206" s="156"/>
      <c r="L206" s="156"/>
      <c r="M206" s="156"/>
      <c r="N206" s="158"/>
      <c r="O206" s="159"/>
      <c r="P206" s="159"/>
      <c r="Q206" s="159"/>
      <c r="R206" s="160"/>
      <c r="S206" s="115"/>
      <c r="T206" s="149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</row>
    <row r="207" spans="1:36" ht="19.5" customHeight="1" x14ac:dyDescent="0.3">
      <c r="A207" s="94"/>
      <c r="B207" s="167"/>
      <c r="C207" s="168"/>
      <c r="D207" s="180"/>
      <c r="E207" s="169"/>
      <c r="F207" s="110"/>
      <c r="G207" s="110"/>
      <c r="H207" s="157"/>
      <c r="I207" s="145"/>
      <c r="J207" s="112"/>
      <c r="K207" s="156"/>
      <c r="L207" s="156"/>
      <c r="M207" s="156"/>
      <c r="N207" s="158"/>
      <c r="O207" s="159"/>
      <c r="P207" s="159"/>
      <c r="Q207" s="159"/>
      <c r="R207" s="160"/>
      <c r="S207" s="115"/>
      <c r="T207" s="149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</row>
    <row r="208" spans="1:36" ht="19.5" customHeight="1" x14ac:dyDescent="0.3">
      <c r="A208" s="94"/>
      <c r="B208" s="167"/>
      <c r="C208" s="168"/>
      <c r="D208" s="180"/>
      <c r="E208" s="169"/>
      <c r="F208" s="110"/>
      <c r="G208" s="110"/>
      <c r="H208" s="157"/>
      <c r="I208" s="145"/>
      <c r="J208" s="112"/>
      <c r="K208" s="156"/>
      <c r="L208" s="156"/>
      <c r="M208" s="156"/>
      <c r="N208" s="158"/>
      <c r="O208" s="159"/>
      <c r="P208" s="159"/>
      <c r="Q208" s="159"/>
      <c r="R208" s="160"/>
      <c r="S208" s="115"/>
      <c r="T208" s="149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</row>
    <row r="209" spans="1:36" ht="19.5" customHeight="1" x14ac:dyDescent="0.3">
      <c r="A209" s="94"/>
      <c r="B209" s="167"/>
      <c r="C209" s="168"/>
      <c r="D209" s="180"/>
      <c r="E209" s="169"/>
      <c r="F209" s="110"/>
      <c r="G209" s="110"/>
      <c r="H209" s="157"/>
      <c r="I209" s="145"/>
      <c r="J209" s="112"/>
      <c r="K209" s="156"/>
      <c r="L209" s="156"/>
      <c r="M209" s="156"/>
      <c r="N209" s="158"/>
      <c r="O209" s="159"/>
      <c r="P209" s="159"/>
      <c r="Q209" s="159"/>
      <c r="R209" s="160"/>
      <c r="S209" s="115"/>
      <c r="T209" s="149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</row>
    <row r="210" spans="1:36" ht="19.5" customHeight="1" x14ac:dyDescent="0.3">
      <c r="A210" s="94"/>
      <c r="B210" s="167"/>
      <c r="C210" s="168"/>
      <c r="D210" s="180"/>
      <c r="E210" s="169"/>
      <c r="F210" s="110"/>
      <c r="G210" s="110"/>
      <c r="H210" s="157"/>
      <c r="I210" s="145"/>
      <c r="J210" s="112"/>
      <c r="K210" s="156"/>
      <c r="L210" s="156"/>
      <c r="M210" s="156"/>
      <c r="N210" s="158"/>
      <c r="O210" s="159"/>
      <c r="P210" s="159"/>
      <c r="Q210" s="159"/>
      <c r="R210" s="160"/>
      <c r="S210" s="115"/>
      <c r="T210" s="149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</row>
    <row r="211" spans="1:36" ht="19.5" customHeight="1" x14ac:dyDescent="0.3">
      <c r="A211" s="94"/>
      <c r="B211" s="167"/>
      <c r="C211" s="168"/>
      <c r="D211" s="180"/>
      <c r="E211" s="169"/>
      <c r="F211" s="110"/>
      <c r="G211" s="110"/>
      <c r="H211" s="157"/>
      <c r="I211" s="145"/>
      <c r="J211" s="112"/>
      <c r="K211" s="156"/>
      <c r="L211" s="156"/>
      <c r="M211" s="156"/>
      <c r="N211" s="158"/>
      <c r="O211" s="159"/>
      <c r="P211" s="159"/>
      <c r="Q211" s="159"/>
      <c r="R211" s="160"/>
      <c r="S211" s="115"/>
      <c r="T211" s="149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</row>
    <row r="212" spans="1:36" ht="19.5" customHeight="1" x14ac:dyDescent="0.3">
      <c r="A212" s="94"/>
      <c r="B212" s="167"/>
      <c r="C212" s="168"/>
      <c r="D212" s="180"/>
      <c r="E212" s="169"/>
      <c r="F212" s="110"/>
      <c r="G212" s="110"/>
      <c r="H212" s="157"/>
      <c r="I212" s="145"/>
      <c r="J212" s="112"/>
      <c r="K212" s="156"/>
      <c r="L212" s="156"/>
      <c r="M212" s="156"/>
      <c r="N212" s="158"/>
      <c r="O212" s="159"/>
      <c r="P212" s="159"/>
      <c r="Q212" s="159"/>
      <c r="R212" s="160"/>
      <c r="S212" s="115"/>
      <c r="T212" s="149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</row>
    <row r="213" spans="1:36" ht="19.5" customHeight="1" x14ac:dyDescent="0.3">
      <c r="A213" s="94"/>
      <c r="B213" s="167"/>
      <c r="C213" s="168"/>
      <c r="D213" s="180"/>
      <c r="E213" s="169"/>
      <c r="F213" s="110"/>
      <c r="G213" s="110"/>
      <c r="H213" s="157"/>
      <c r="I213" s="145"/>
      <c r="J213" s="112"/>
      <c r="K213" s="156"/>
      <c r="L213" s="156"/>
      <c r="M213" s="156"/>
      <c r="N213" s="158"/>
      <c r="O213" s="159"/>
      <c r="P213" s="159"/>
      <c r="Q213" s="159"/>
      <c r="R213" s="160"/>
      <c r="S213" s="115"/>
      <c r="T213" s="149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</row>
    <row r="214" spans="1:36" ht="19.5" customHeight="1" x14ac:dyDescent="0.3">
      <c r="A214" s="94"/>
      <c r="B214" s="167"/>
      <c r="C214" s="168"/>
      <c r="D214" s="180"/>
      <c r="E214" s="169"/>
      <c r="F214" s="110"/>
      <c r="G214" s="110"/>
      <c r="H214" s="157"/>
      <c r="I214" s="145"/>
      <c r="J214" s="112"/>
      <c r="K214" s="156"/>
      <c r="L214" s="156"/>
      <c r="M214" s="156"/>
      <c r="N214" s="158"/>
      <c r="O214" s="159"/>
      <c r="P214" s="159"/>
      <c r="Q214" s="159"/>
      <c r="R214" s="160"/>
      <c r="S214" s="115"/>
      <c r="T214" s="149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</row>
    <row r="215" spans="1:36" ht="19.5" customHeight="1" x14ac:dyDescent="0.3">
      <c r="A215" s="94"/>
      <c r="B215" s="167"/>
      <c r="C215" s="168"/>
      <c r="D215" s="180"/>
      <c r="E215" s="169"/>
      <c r="F215" s="110"/>
      <c r="G215" s="110"/>
      <c r="H215" s="157"/>
      <c r="I215" s="145"/>
      <c r="J215" s="112"/>
      <c r="K215" s="156"/>
      <c r="L215" s="156"/>
      <c r="M215" s="156"/>
      <c r="N215" s="158"/>
      <c r="O215" s="159"/>
      <c r="P215" s="159"/>
      <c r="Q215" s="159"/>
      <c r="R215" s="160"/>
      <c r="S215" s="115"/>
      <c r="T215" s="149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</row>
    <row r="216" spans="1:36" ht="19.5" customHeight="1" x14ac:dyDescent="0.3">
      <c r="A216" s="94"/>
      <c r="B216" s="167"/>
      <c r="C216" s="168"/>
      <c r="D216" s="180"/>
      <c r="E216" s="169"/>
      <c r="F216" s="110"/>
      <c r="G216" s="110"/>
      <c r="H216" s="157"/>
      <c r="I216" s="145"/>
      <c r="J216" s="112"/>
      <c r="K216" s="156"/>
      <c r="L216" s="156"/>
      <c r="M216" s="156"/>
      <c r="N216" s="158"/>
      <c r="O216" s="159"/>
      <c r="P216" s="159"/>
      <c r="Q216" s="159"/>
      <c r="R216" s="160"/>
      <c r="S216" s="115"/>
      <c r="T216" s="149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</row>
    <row r="217" spans="1:36" ht="19.5" customHeight="1" x14ac:dyDescent="0.3">
      <c r="A217" s="94"/>
      <c r="B217" s="167"/>
      <c r="C217" s="168"/>
      <c r="D217" s="180"/>
      <c r="E217" s="169"/>
      <c r="F217" s="110"/>
      <c r="G217" s="110"/>
      <c r="H217" s="157"/>
      <c r="I217" s="145"/>
      <c r="J217" s="112"/>
      <c r="K217" s="156"/>
      <c r="L217" s="156"/>
      <c r="M217" s="156"/>
      <c r="N217" s="158"/>
      <c r="O217" s="159"/>
      <c r="P217" s="159"/>
      <c r="Q217" s="159"/>
      <c r="R217" s="160"/>
      <c r="S217" s="115"/>
      <c r="T217" s="149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</row>
    <row r="218" spans="1:36" ht="19.5" customHeight="1" x14ac:dyDescent="0.3">
      <c r="A218" s="94"/>
      <c r="B218" s="167"/>
      <c r="C218" s="168"/>
      <c r="D218" s="180"/>
      <c r="E218" s="169"/>
      <c r="F218" s="110"/>
      <c r="G218" s="157"/>
      <c r="H218" s="157"/>
      <c r="I218" s="145"/>
      <c r="J218" s="112"/>
      <c r="K218" s="156"/>
      <c r="L218" s="156"/>
      <c r="M218" s="156"/>
      <c r="N218" s="158"/>
      <c r="O218" s="159"/>
      <c r="P218" s="159"/>
      <c r="Q218" s="159"/>
      <c r="R218" s="160"/>
      <c r="S218" s="115"/>
      <c r="T218" s="149"/>
      <c r="U218" s="70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</row>
    <row r="219" spans="1:36" ht="19.5" customHeight="1" x14ac:dyDescent="0.3">
      <c r="A219" s="94"/>
      <c r="B219" s="171"/>
      <c r="C219" s="172"/>
      <c r="D219" s="191"/>
      <c r="E219" s="172"/>
      <c r="F219" s="174"/>
      <c r="G219" s="157"/>
      <c r="H219" s="157"/>
      <c r="I219" s="145"/>
      <c r="J219" s="112"/>
      <c r="K219" s="156"/>
      <c r="L219" s="156"/>
      <c r="M219" s="156"/>
      <c r="N219" s="158"/>
      <c r="O219" s="159"/>
      <c r="P219" s="159"/>
      <c r="Q219" s="159"/>
      <c r="R219" s="160"/>
      <c r="S219" s="115"/>
      <c r="T219" s="149"/>
      <c r="U219" s="70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</row>
    <row r="220" spans="1:36" ht="19.5" customHeight="1" x14ac:dyDescent="0.3">
      <c r="A220" s="94"/>
      <c r="B220" s="171"/>
      <c r="C220" s="172"/>
      <c r="D220" s="191"/>
      <c r="E220" s="172"/>
      <c r="F220" s="174"/>
      <c r="G220" s="157"/>
      <c r="H220" s="157"/>
      <c r="I220" s="145"/>
      <c r="J220" s="112"/>
      <c r="K220" s="156"/>
      <c r="L220" s="156"/>
      <c r="M220" s="156"/>
      <c r="N220" s="158"/>
      <c r="O220" s="159"/>
      <c r="P220" s="159"/>
      <c r="Q220" s="159"/>
      <c r="R220" s="160"/>
      <c r="S220" s="115"/>
      <c r="T220" s="149"/>
      <c r="U220" s="70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</row>
    <row r="221" spans="1:36" ht="19.5" customHeight="1" x14ac:dyDescent="0.3">
      <c r="A221" s="94"/>
      <c r="B221" s="167"/>
      <c r="C221" s="167"/>
      <c r="D221" s="180"/>
      <c r="E221" s="169"/>
      <c r="F221" s="110"/>
      <c r="G221" s="157"/>
      <c r="H221" s="157"/>
      <c r="I221" s="145"/>
      <c r="J221" s="112"/>
      <c r="K221" s="156"/>
      <c r="L221" s="156"/>
      <c r="M221" s="156"/>
      <c r="N221" s="158"/>
      <c r="O221" s="159"/>
      <c r="P221" s="159"/>
      <c r="Q221" s="159"/>
      <c r="R221" s="160"/>
      <c r="S221" s="115"/>
      <c r="T221" s="149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</row>
    <row r="222" spans="1:36" ht="19.5" customHeight="1" x14ac:dyDescent="0.3">
      <c r="A222" s="94"/>
      <c r="B222" s="167"/>
      <c r="C222" s="168"/>
      <c r="D222" s="180"/>
      <c r="E222" s="169"/>
      <c r="F222" s="110"/>
      <c r="G222" s="157"/>
      <c r="H222" s="157"/>
      <c r="I222" s="145"/>
      <c r="J222" s="112"/>
      <c r="K222" s="156"/>
      <c r="L222" s="156"/>
      <c r="M222" s="156"/>
      <c r="N222" s="158"/>
      <c r="O222" s="159"/>
      <c r="P222" s="159"/>
      <c r="Q222" s="159"/>
      <c r="R222" s="160"/>
      <c r="S222" s="115"/>
      <c r="T222" s="149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</row>
    <row r="223" spans="1:36" ht="19.5" customHeight="1" x14ac:dyDescent="0.3">
      <c r="A223" s="94"/>
      <c r="B223" s="167"/>
      <c r="C223" s="168"/>
      <c r="D223" s="180"/>
      <c r="E223" s="169"/>
      <c r="F223" s="110"/>
      <c r="G223" s="157"/>
      <c r="H223" s="157"/>
      <c r="I223" s="145"/>
      <c r="J223" s="112"/>
      <c r="K223" s="156"/>
      <c r="L223" s="156"/>
      <c r="M223" s="156"/>
      <c r="N223" s="158"/>
      <c r="O223" s="159"/>
      <c r="P223" s="159"/>
      <c r="Q223" s="159"/>
      <c r="R223" s="160"/>
      <c r="S223" s="115"/>
      <c r="T223" s="149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</row>
    <row r="224" spans="1:36" s="142" customFormat="1" ht="19.5" customHeight="1" x14ac:dyDescent="0.3">
      <c r="A224" s="132"/>
      <c r="B224" s="133"/>
      <c r="C224" s="133"/>
      <c r="D224" s="137"/>
      <c r="E224" s="152"/>
      <c r="F224" s="152"/>
      <c r="G224" s="152"/>
      <c r="H224" s="152"/>
      <c r="I224" s="136"/>
      <c r="J224" s="137"/>
      <c r="K224" s="137"/>
      <c r="L224" s="137"/>
      <c r="M224" s="137"/>
      <c r="N224" s="153"/>
      <c r="O224" s="139"/>
      <c r="P224" s="139"/>
      <c r="Q224" s="139"/>
      <c r="R224" s="140"/>
      <c r="S224" s="141"/>
      <c r="T224" s="149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</row>
    <row r="225" spans="1:36" ht="19.5" customHeight="1" x14ac:dyDescent="0.3">
      <c r="A225" s="94"/>
      <c r="B225" s="167"/>
      <c r="C225" s="168"/>
      <c r="D225" s="180"/>
      <c r="E225" s="169"/>
      <c r="F225" s="110"/>
      <c r="G225" s="157"/>
      <c r="H225" s="157"/>
      <c r="I225" s="145"/>
      <c r="J225" s="112"/>
      <c r="K225" s="156"/>
      <c r="L225" s="156"/>
      <c r="M225" s="156"/>
      <c r="N225" s="158"/>
      <c r="O225" s="159"/>
      <c r="P225" s="159"/>
      <c r="Q225" s="159"/>
      <c r="R225" s="160"/>
      <c r="S225" s="115"/>
      <c r="T225" s="149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</row>
    <row r="226" spans="1:36" ht="19.5" customHeight="1" x14ac:dyDescent="0.3">
      <c r="A226" s="94"/>
      <c r="B226" s="167"/>
      <c r="C226" s="168"/>
      <c r="D226" s="180"/>
      <c r="E226" s="169"/>
      <c r="F226" s="110"/>
      <c r="G226" s="157"/>
      <c r="H226" s="157"/>
      <c r="I226" s="145"/>
      <c r="J226" s="112"/>
      <c r="K226" s="156"/>
      <c r="L226" s="156"/>
      <c r="M226" s="156"/>
      <c r="N226" s="158"/>
      <c r="O226" s="159"/>
      <c r="P226" s="159"/>
      <c r="Q226" s="159"/>
      <c r="R226" s="160"/>
      <c r="S226" s="115"/>
      <c r="T226" s="149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</row>
    <row r="227" spans="1:36" ht="19.5" customHeight="1" x14ac:dyDescent="0.3">
      <c r="A227" s="94"/>
      <c r="B227" s="167"/>
      <c r="C227" s="168"/>
      <c r="D227" s="180"/>
      <c r="E227" s="169"/>
      <c r="F227" s="110"/>
      <c r="G227" s="157"/>
      <c r="H227" s="157"/>
      <c r="I227" s="145"/>
      <c r="J227" s="112"/>
      <c r="K227" s="156"/>
      <c r="L227" s="156"/>
      <c r="M227" s="156"/>
      <c r="N227" s="158"/>
      <c r="O227" s="159"/>
      <c r="P227" s="159"/>
      <c r="Q227" s="159"/>
      <c r="R227" s="160"/>
      <c r="S227" s="115"/>
      <c r="T227" s="149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</row>
    <row r="228" spans="1:36" ht="19.5" customHeight="1" x14ac:dyDescent="0.3">
      <c r="A228" s="94"/>
      <c r="B228" s="167"/>
      <c r="C228" s="168"/>
      <c r="D228" s="180"/>
      <c r="E228" s="169"/>
      <c r="F228" s="110"/>
      <c r="G228" s="157"/>
      <c r="H228" s="157"/>
      <c r="I228" s="145"/>
      <c r="J228" s="112"/>
      <c r="K228" s="156"/>
      <c r="L228" s="156"/>
      <c r="M228" s="156"/>
      <c r="N228" s="158"/>
      <c r="O228" s="159"/>
      <c r="P228" s="159"/>
      <c r="Q228" s="159"/>
      <c r="R228" s="160"/>
      <c r="S228" s="115"/>
      <c r="T228" s="149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</row>
    <row r="229" spans="1:36" ht="19.5" customHeight="1" x14ac:dyDescent="0.3">
      <c r="A229" s="94"/>
      <c r="B229" s="167"/>
      <c r="C229" s="168"/>
      <c r="D229" s="180"/>
      <c r="E229" s="169"/>
      <c r="F229" s="110"/>
      <c r="G229" s="157"/>
      <c r="H229" s="157"/>
      <c r="I229" s="145"/>
      <c r="J229" s="112"/>
      <c r="K229" s="156"/>
      <c r="L229" s="156"/>
      <c r="M229" s="156"/>
      <c r="N229" s="158"/>
      <c r="O229" s="159"/>
      <c r="P229" s="159"/>
      <c r="Q229" s="159"/>
      <c r="R229" s="160"/>
      <c r="S229" s="115"/>
      <c r="T229" s="149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</row>
    <row r="230" spans="1:36" ht="19.5" customHeight="1" x14ac:dyDescent="0.3">
      <c r="A230" s="94"/>
      <c r="B230" s="167"/>
      <c r="C230" s="168"/>
      <c r="D230" s="180"/>
      <c r="E230" s="169"/>
      <c r="F230" s="110"/>
      <c r="G230" s="192"/>
      <c r="H230" s="157"/>
      <c r="I230" s="145"/>
      <c r="J230" s="112"/>
      <c r="K230" s="156"/>
      <c r="L230" s="156"/>
      <c r="M230" s="156"/>
      <c r="N230" s="158"/>
      <c r="O230" s="159"/>
      <c r="P230" s="159"/>
      <c r="Q230" s="159"/>
      <c r="R230" s="160"/>
      <c r="S230" s="115"/>
      <c r="T230" s="149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</row>
    <row r="231" spans="1:36" ht="19.5" customHeight="1" x14ac:dyDescent="0.3">
      <c r="A231" s="94"/>
      <c r="B231" s="167"/>
      <c r="C231" s="168"/>
      <c r="D231" s="180"/>
      <c r="E231" s="169"/>
      <c r="F231" s="110"/>
      <c r="G231" s="157"/>
      <c r="H231" s="157"/>
      <c r="I231" s="145"/>
      <c r="J231" s="112"/>
      <c r="K231" s="156"/>
      <c r="L231" s="156"/>
      <c r="M231" s="156"/>
      <c r="N231" s="158"/>
      <c r="O231" s="159"/>
      <c r="P231" s="159"/>
      <c r="Q231" s="159"/>
      <c r="R231" s="160"/>
      <c r="S231" s="115"/>
      <c r="T231" s="149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</row>
    <row r="232" spans="1:36" ht="19.5" customHeight="1" x14ac:dyDescent="0.3">
      <c r="A232" s="94"/>
      <c r="B232" s="167"/>
      <c r="C232" s="168"/>
      <c r="D232" s="180"/>
      <c r="E232" s="169"/>
      <c r="F232" s="110"/>
      <c r="G232" s="192"/>
      <c r="H232" s="157"/>
      <c r="I232" s="145"/>
      <c r="J232" s="112"/>
      <c r="K232" s="156"/>
      <c r="L232" s="156"/>
      <c r="M232" s="156"/>
      <c r="N232" s="158"/>
      <c r="O232" s="159"/>
      <c r="P232" s="159"/>
      <c r="Q232" s="159"/>
      <c r="R232" s="160"/>
      <c r="S232" s="115"/>
      <c r="T232" s="149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</row>
    <row r="233" spans="1:36" ht="19.5" customHeight="1" x14ac:dyDescent="0.3">
      <c r="A233" s="94"/>
      <c r="B233" s="167"/>
      <c r="C233" s="168"/>
      <c r="D233" s="180"/>
      <c r="E233" s="169"/>
      <c r="F233" s="110"/>
      <c r="G233" s="157"/>
      <c r="H233" s="157"/>
      <c r="I233" s="145"/>
      <c r="J233" s="112"/>
      <c r="K233" s="156"/>
      <c r="L233" s="156"/>
      <c r="M233" s="156"/>
      <c r="N233" s="158"/>
      <c r="O233" s="159"/>
      <c r="P233" s="159"/>
      <c r="Q233" s="159"/>
      <c r="R233" s="160"/>
      <c r="S233" s="115"/>
      <c r="T233" s="149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</row>
    <row r="234" spans="1:36" ht="19.5" customHeight="1" x14ac:dyDescent="0.3">
      <c r="A234" s="94"/>
      <c r="B234" s="167"/>
      <c r="C234" s="168"/>
      <c r="D234" s="180"/>
      <c r="E234" s="169"/>
      <c r="F234" s="110"/>
      <c r="G234" s="192"/>
      <c r="H234" s="157"/>
      <c r="I234" s="145"/>
      <c r="J234" s="112"/>
      <c r="K234" s="156"/>
      <c r="L234" s="156"/>
      <c r="M234" s="156"/>
      <c r="N234" s="158"/>
      <c r="O234" s="159"/>
      <c r="P234" s="159"/>
      <c r="Q234" s="159"/>
      <c r="R234" s="160"/>
      <c r="S234" s="115"/>
      <c r="T234" s="149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</row>
    <row r="235" spans="1:36" ht="19.5" customHeight="1" x14ac:dyDescent="0.3">
      <c r="A235" s="94"/>
      <c r="B235" s="167"/>
      <c r="C235" s="168"/>
      <c r="D235" s="180"/>
      <c r="E235" s="169"/>
      <c r="F235" s="110"/>
      <c r="G235" s="157"/>
      <c r="H235" s="157"/>
      <c r="I235" s="145"/>
      <c r="J235" s="112"/>
      <c r="K235" s="156"/>
      <c r="L235" s="156"/>
      <c r="M235" s="156"/>
      <c r="N235" s="158"/>
      <c r="O235" s="159"/>
      <c r="P235" s="159"/>
      <c r="Q235" s="159"/>
      <c r="R235" s="160"/>
      <c r="S235" s="115"/>
      <c r="T235" s="149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</row>
    <row r="236" spans="1:36" ht="19.5" customHeight="1" x14ac:dyDescent="0.3">
      <c r="A236" s="94"/>
      <c r="B236" s="167"/>
      <c r="C236" s="168"/>
      <c r="D236" s="180"/>
      <c r="E236" s="169"/>
      <c r="F236" s="110"/>
      <c r="G236" s="157"/>
      <c r="H236" s="157"/>
      <c r="I236" s="145"/>
      <c r="J236" s="112"/>
      <c r="K236" s="156"/>
      <c r="L236" s="156"/>
      <c r="M236" s="156"/>
      <c r="N236" s="158"/>
      <c r="O236" s="159"/>
      <c r="P236" s="159"/>
      <c r="Q236" s="159"/>
      <c r="R236" s="160"/>
      <c r="S236" s="115"/>
      <c r="T236" s="149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</row>
    <row r="237" spans="1:36" ht="19.5" customHeight="1" x14ac:dyDescent="0.3">
      <c r="A237" s="94"/>
      <c r="B237" s="167"/>
      <c r="C237" s="168"/>
      <c r="D237" s="180"/>
      <c r="E237" s="169"/>
      <c r="F237" s="110"/>
      <c r="G237" s="157"/>
      <c r="H237" s="157"/>
      <c r="I237" s="145"/>
      <c r="J237" s="112"/>
      <c r="K237" s="156"/>
      <c r="L237" s="156"/>
      <c r="M237" s="156"/>
      <c r="N237" s="158"/>
      <c r="O237" s="159"/>
      <c r="P237" s="159"/>
      <c r="Q237" s="159"/>
      <c r="R237" s="160"/>
      <c r="S237" s="115"/>
      <c r="T237" s="149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</row>
    <row r="238" spans="1:36" ht="19.5" customHeight="1" x14ac:dyDescent="0.3">
      <c r="A238" s="94"/>
      <c r="B238" s="167"/>
      <c r="C238" s="168"/>
      <c r="D238" s="180"/>
      <c r="E238" s="169"/>
      <c r="F238" s="110"/>
      <c r="G238" s="157"/>
      <c r="H238" s="157"/>
      <c r="I238" s="145"/>
      <c r="J238" s="112"/>
      <c r="K238" s="156"/>
      <c r="L238" s="156"/>
      <c r="M238" s="156"/>
      <c r="N238" s="158"/>
      <c r="O238" s="159"/>
      <c r="P238" s="159"/>
      <c r="Q238" s="159"/>
      <c r="R238" s="160"/>
      <c r="S238" s="115"/>
      <c r="T238" s="149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</row>
    <row r="239" spans="1:36" ht="19.5" customHeight="1" x14ac:dyDescent="0.3">
      <c r="A239" s="94"/>
      <c r="B239" s="167"/>
      <c r="C239" s="168"/>
      <c r="D239" s="180"/>
      <c r="E239" s="169"/>
      <c r="F239" s="110"/>
      <c r="G239" s="157"/>
      <c r="H239" s="157"/>
      <c r="I239" s="145"/>
      <c r="J239" s="112"/>
      <c r="K239" s="156"/>
      <c r="L239" s="156"/>
      <c r="M239" s="156"/>
      <c r="N239" s="158"/>
      <c r="O239" s="159"/>
      <c r="P239" s="159"/>
      <c r="Q239" s="159"/>
      <c r="R239" s="160"/>
      <c r="S239" s="115"/>
      <c r="T239" s="149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</row>
    <row r="240" spans="1:36" ht="19.5" customHeight="1" x14ac:dyDescent="0.3">
      <c r="A240" s="94"/>
      <c r="B240" s="167"/>
      <c r="C240" s="168"/>
      <c r="D240" s="180"/>
      <c r="E240" s="169"/>
      <c r="F240" s="110"/>
      <c r="G240" s="157"/>
      <c r="H240" s="157"/>
      <c r="I240" s="145"/>
      <c r="J240" s="112"/>
      <c r="K240" s="156"/>
      <c r="L240" s="156"/>
      <c r="M240" s="156"/>
      <c r="N240" s="158"/>
      <c r="O240" s="159"/>
      <c r="P240" s="159"/>
      <c r="Q240" s="159"/>
      <c r="R240" s="160"/>
      <c r="S240" s="115"/>
      <c r="T240" s="149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</row>
    <row r="241" spans="1:36" s="183" customFormat="1" ht="19.5" customHeight="1" x14ac:dyDescent="0.3">
      <c r="A241" s="94"/>
      <c r="B241" s="193"/>
      <c r="C241" s="193"/>
      <c r="D241" s="193"/>
      <c r="E241" s="194"/>
      <c r="F241" s="194"/>
      <c r="G241" s="194"/>
      <c r="H241" s="194"/>
      <c r="I241" s="195"/>
      <c r="J241" s="196"/>
      <c r="K241" s="196"/>
      <c r="L241" s="196"/>
      <c r="M241" s="196"/>
      <c r="N241" s="197"/>
      <c r="O241" s="198"/>
      <c r="P241" s="198"/>
      <c r="Q241" s="198"/>
      <c r="R241" s="199"/>
      <c r="S241" s="200"/>
      <c r="T241" s="201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</row>
    <row r="242" spans="1:36" s="142" customFormat="1" ht="19.5" customHeight="1" x14ac:dyDescent="0.3">
      <c r="A242" s="132"/>
      <c r="B242" s="133"/>
      <c r="C242" s="134"/>
      <c r="D242" s="134"/>
      <c r="E242" s="135"/>
      <c r="F242" s="135"/>
      <c r="G242" s="135"/>
      <c r="H242" s="135"/>
      <c r="I242" s="136"/>
      <c r="J242" s="137"/>
      <c r="K242" s="134"/>
      <c r="L242" s="134"/>
      <c r="M242" s="134"/>
      <c r="N242" s="153"/>
      <c r="O242" s="154"/>
      <c r="P242" s="154"/>
      <c r="Q242" s="154"/>
      <c r="R242" s="155"/>
      <c r="S242" s="141"/>
      <c r="T242" s="149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</row>
    <row r="243" spans="1:36" ht="19.5" customHeight="1" x14ac:dyDescent="0.3">
      <c r="A243" s="70"/>
      <c r="B243" s="164"/>
      <c r="C243" s="165"/>
      <c r="D243" s="156"/>
      <c r="E243" s="165"/>
      <c r="F243" s="110"/>
      <c r="G243" s="110"/>
      <c r="H243" s="157"/>
      <c r="I243" s="145"/>
      <c r="J243" s="121"/>
      <c r="K243" s="156"/>
      <c r="L243" s="156"/>
      <c r="M243" s="156"/>
      <c r="N243" s="158"/>
      <c r="O243" s="159"/>
      <c r="P243" s="159"/>
      <c r="Q243" s="159"/>
      <c r="R243" s="160"/>
      <c r="S243" s="77"/>
      <c r="T243" s="149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spans="1:36" ht="19.5" customHeight="1" x14ac:dyDescent="0.3">
      <c r="A244" s="70"/>
      <c r="B244" s="164"/>
      <c r="C244" s="165"/>
      <c r="D244" s="156"/>
      <c r="E244" s="165"/>
      <c r="F244" s="110"/>
      <c r="G244" s="110"/>
      <c r="H244" s="157"/>
      <c r="I244" s="145"/>
      <c r="J244" s="121"/>
      <c r="K244" s="156"/>
      <c r="L244" s="156"/>
      <c r="M244" s="156"/>
      <c r="N244" s="158"/>
      <c r="O244" s="159"/>
      <c r="P244" s="159"/>
      <c r="Q244" s="159"/>
      <c r="R244" s="160"/>
      <c r="S244" s="77"/>
      <c r="T244" s="149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spans="1:36" ht="32.25" customHeight="1" x14ac:dyDescent="0.3">
      <c r="A245" s="70"/>
      <c r="B245" s="164"/>
      <c r="C245" s="165"/>
      <c r="D245" s="156"/>
      <c r="E245" s="165"/>
      <c r="F245" s="110"/>
      <c r="G245" s="110"/>
      <c r="H245" s="157"/>
      <c r="I245" s="145"/>
      <c r="J245" s="121"/>
      <c r="K245" s="156"/>
      <c r="L245" s="156"/>
      <c r="M245" s="156"/>
      <c r="N245" s="158"/>
      <c r="O245" s="159"/>
      <c r="P245" s="159"/>
      <c r="Q245" s="159"/>
      <c r="R245" s="160"/>
      <c r="S245" s="77"/>
      <c r="T245" s="149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spans="1:36" ht="19.5" customHeight="1" x14ac:dyDescent="0.3">
      <c r="A246" s="70"/>
      <c r="B246" s="164"/>
      <c r="C246" s="165"/>
      <c r="D246" s="156"/>
      <c r="E246" s="165"/>
      <c r="F246" s="110"/>
      <c r="G246" s="110"/>
      <c r="H246" s="157"/>
      <c r="I246" s="145"/>
      <c r="J246" s="121"/>
      <c r="K246" s="156"/>
      <c r="L246" s="156"/>
      <c r="M246" s="156"/>
      <c r="N246" s="158"/>
      <c r="O246" s="159"/>
      <c r="P246" s="159"/>
      <c r="Q246" s="159"/>
      <c r="R246" s="160"/>
      <c r="S246" s="77"/>
      <c r="T246" s="149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spans="1:36" ht="19.5" customHeight="1" x14ac:dyDescent="0.3">
      <c r="A247" s="70"/>
      <c r="B247" s="164"/>
      <c r="C247" s="165"/>
      <c r="D247" s="156"/>
      <c r="E247" s="165"/>
      <c r="F247" s="110"/>
      <c r="G247" s="110"/>
      <c r="H247" s="157"/>
      <c r="I247" s="145"/>
      <c r="J247" s="121"/>
      <c r="K247" s="156"/>
      <c r="L247" s="156"/>
      <c r="M247" s="156"/>
      <c r="N247" s="158"/>
      <c r="O247" s="159"/>
      <c r="P247" s="159"/>
      <c r="Q247" s="159"/>
      <c r="R247" s="160"/>
      <c r="S247" s="77"/>
      <c r="T247" s="149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spans="1:36" ht="19.5" customHeight="1" x14ac:dyDescent="0.3">
      <c r="A248" s="70"/>
      <c r="B248" s="164"/>
      <c r="C248" s="165"/>
      <c r="D248" s="156"/>
      <c r="E248" s="165"/>
      <c r="F248" s="110"/>
      <c r="G248" s="110"/>
      <c r="H248" s="157"/>
      <c r="I248" s="145"/>
      <c r="J248" s="121"/>
      <c r="K248" s="156"/>
      <c r="L248" s="156"/>
      <c r="M248" s="156"/>
      <c r="N248" s="158"/>
      <c r="O248" s="159"/>
      <c r="P248" s="159"/>
      <c r="Q248" s="159"/>
      <c r="R248" s="160"/>
      <c r="S248" s="77"/>
      <c r="T248" s="149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spans="1:36" ht="19.5" customHeight="1" x14ac:dyDescent="0.3">
      <c r="A249" s="70"/>
      <c r="B249" s="164"/>
      <c r="C249" s="165"/>
      <c r="D249" s="156"/>
      <c r="E249" s="165"/>
      <c r="F249" s="110"/>
      <c r="G249" s="110"/>
      <c r="H249" s="157"/>
      <c r="I249" s="145"/>
      <c r="J249" s="121"/>
      <c r="K249" s="156"/>
      <c r="L249" s="156"/>
      <c r="M249" s="156"/>
      <c r="N249" s="158"/>
      <c r="O249" s="159"/>
      <c r="P249" s="159"/>
      <c r="Q249" s="159"/>
      <c r="R249" s="160"/>
      <c r="S249" s="77"/>
      <c r="T249" s="149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spans="1:36" ht="19.5" customHeight="1" x14ac:dyDescent="0.3">
      <c r="A250" s="70"/>
      <c r="B250" s="156"/>
      <c r="C250" s="156"/>
      <c r="D250" s="156"/>
      <c r="E250" s="157"/>
      <c r="F250" s="110"/>
      <c r="G250" s="157"/>
      <c r="H250" s="157"/>
      <c r="I250" s="145"/>
      <c r="J250" s="121"/>
      <c r="K250" s="156"/>
      <c r="L250" s="156"/>
      <c r="M250" s="156"/>
      <c r="N250" s="158"/>
      <c r="O250" s="159"/>
      <c r="P250" s="159"/>
      <c r="Q250" s="159"/>
      <c r="R250" s="160"/>
      <c r="S250" s="77"/>
      <c r="T250" s="149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spans="1:36" s="142" customFormat="1" ht="19.5" customHeight="1" x14ac:dyDescent="0.3">
      <c r="A251" s="132"/>
      <c r="B251" s="133"/>
      <c r="C251" s="134"/>
      <c r="D251" s="134"/>
      <c r="E251" s="135"/>
      <c r="F251" s="135"/>
      <c r="G251" s="135"/>
      <c r="H251" s="135"/>
      <c r="I251" s="136"/>
      <c r="J251" s="137"/>
      <c r="K251" s="134"/>
      <c r="L251" s="134"/>
      <c r="M251" s="134"/>
      <c r="N251" s="153"/>
      <c r="O251" s="154"/>
      <c r="P251" s="154"/>
      <c r="Q251" s="154"/>
      <c r="R251" s="155"/>
      <c r="S251" s="141"/>
      <c r="T251" s="149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</row>
    <row r="252" spans="1:36" ht="19.5" customHeight="1" x14ac:dyDescent="0.3">
      <c r="A252" s="70"/>
      <c r="B252" s="164"/>
      <c r="C252" s="165"/>
      <c r="D252" s="156"/>
      <c r="E252" s="202"/>
      <c r="F252" s="110"/>
      <c r="G252" s="110"/>
      <c r="H252" s="157"/>
      <c r="I252" s="145"/>
      <c r="J252" s="121"/>
      <c r="K252" s="156"/>
      <c r="L252" s="156"/>
      <c r="M252" s="156"/>
      <c r="N252" s="158"/>
      <c r="O252" s="159"/>
      <c r="P252" s="159"/>
      <c r="Q252" s="159"/>
      <c r="R252" s="160"/>
      <c r="S252" s="77"/>
      <c r="T252" s="149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spans="1:36" ht="19.5" customHeight="1" x14ac:dyDescent="0.3">
      <c r="A253" s="70"/>
      <c r="B253" s="164"/>
      <c r="C253" s="165"/>
      <c r="D253" s="156"/>
      <c r="E253" s="202"/>
      <c r="F253" s="110"/>
      <c r="G253" s="110"/>
      <c r="H253" s="157"/>
      <c r="I253" s="145"/>
      <c r="J253" s="121"/>
      <c r="K253" s="156"/>
      <c r="L253" s="156"/>
      <c r="M253" s="156"/>
      <c r="N253" s="158"/>
      <c r="O253" s="159"/>
      <c r="P253" s="159"/>
      <c r="Q253" s="159"/>
      <c r="R253" s="160"/>
      <c r="S253" s="77"/>
      <c r="T253" s="149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spans="1:36" ht="19.5" customHeight="1" x14ac:dyDescent="0.3">
      <c r="A254" s="70"/>
      <c r="B254" s="164"/>
      <c r="C254" s="165"/>
      <c r="D254" s="156"/>
      <c r="E254" s="202"/>
      <c r="F254" s="110"/>
      <c r="G254" s="110"/>
      <c r="H254" s="157"/>
      <c r="I254" s="145"/>
      <c r="J254" s="121"/>
      <c r="K254" s="156"/>
      <c r="L254" s="156"/>
      <c r="M254" s="156"/>
      <c r="N254" s="158"/>
      <c r="O254" s="159"/>
      <c r="P254" s="159"/>
      <c r="Q254" s="159"/>
      <c r="R254" s="160"/>
      <c r="S254" s="77"/>
      <c r="T254" s="149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spans="1:36" ht="19.5" customHeight="1" x14ac:dyDescent="0.3">
      <c r="A255" s="70"/>
      <c r="B255" s="164"/>
      <c r="C255" s="165"/>
      <c r="D255" s="156"/>
      <c r="E255" s="202"/>
      <c r="F255" s="110"/>
      <c r="G255" s="110"/>
      <c r="H255" s="157"/>
      <c r="I255" s="145"/>
      <c r="J255" s="121"/>
      <c r="K255" s="156"/>
      <c r="L255" s="156"/>
      <c r="M255" s="156"/>
      <c r="N255" s="158"/>
      <c r="O255" s="159"/>
      <c r="P255" s="159"/>
      <c r="Q255" s="159"/>
      <c r="R255" s="160"/>
      <c r="S255" s="77"/>
      <c r="T255" s="149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spans="1:36" ht="19.5" customHeight="1" x14ac:dyDescent="0.3">
      <c r="A256" s="70"/>
      <c r="B256" s="164"/>
      <c r="C256" s="165"/>
      <c r="D256" s="156"/>
      <c r="E256" s="202"/>
      <c r="F256" s="110"/>
      <c r="G256" s="110"/>
      <c r="H256" s="157"/>
      <c r="I256" s="145"/>
      <c r="J256" s="121"/>
      <c r="K256" s="156"/>
      <c r="L256" s="156"/>
      <c r="M256" s="156"/>
      <c r="N256" s="158"/>
      <c r="O256" s="159"/>
      <c r="P256" s="159"/>
      <c r="Q256" s="159"/>
      <c r="R256" s="160"/>
      <c r="S256" s="77"/>
      <c r="T256" s="149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spans="1:36" ht="19.5" customHeight="1" x14ac:dyDescent="0.3">
      <c r="A257" s="70"/>
      <c r="B257" s="164"/>
      <c r="C257" s="165"/>
      <c r="D257" s="156"/>
      <c r="E257" s="202"/>
      <c r="F257" s="110"/>
      <c r="G257" s="110"/>
      <c r="H257" s="157"/>
      <c r="I257" s="145"/>
      <c r="J257" s="121"/>
      <c r="K257" s="156"/>
      <c r="L257" s="156"/>
      <c r="M257" s="156"/>
      <c r="N257" s="158"/>
      <c r="O257" s="159"/>
      <c r="P257" s="159"/>
      <c r="Q257" s="159"/>
      <c r="R257" s="160"/>
      <c r="S257" s="77"/>
      <c r="T257" s="149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spans="1:36" ht="19.5" customHeight="1" x14ac:dyDescent="0.3">
      <c r="A258" s="70"/>
      <c r="B258" s="164"/>
      <c r="C258" s="165"/>
      <c r="D258" s="156"/>
      <c r="E258" s="202"/>
      <c r="F258" s="110"/>
      <c r="G258" s="110"/>
      <c r="H258" s="157"/>
      <c r="I258" s="145"/>
      <c r="J258" s="121"/>
      <c r="K258" s="156"/>
      <c r="L258" s="156"/>
      <c r="M258" s="156"/>
      <c r="N258" s="158"/>
      <c r="O258" s="159"/>
      <c r="P258" s="159"/>
      <c r="Q258" s="159"/>
      <c r="R258" s="160"/>
      <c r="S258" s="77"/>
      <c r="T258" s="149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spans="1:36" ht="19.5" customHeight="1" x14ac:dyDescent="0.3">
      <c r="A259" s="70"/>
      <c r="B259" s="164"/>
      <c r="C259" s="165"/>
      <c r="D259" s="156"/>
      <c r="E259" s="202"/>
      <c r="F259" s="110"/>
      <c r="G259" s="110"/>
      <c r="H259" s="157"/>
      <c r="I259" s="145"/>
      <c r="J259" s="121"/>
      <c r="K259" s="156"/>
      <c r="L259" s="156"/>
      <c r="M259" s="156"/>
      <c r="N259" s="158"/>
      <c r="O259" s="159"/>
      <c r="P259" s="159"/>
      <c r="Q259" s="159"/>
      <c r="R259" s="160"/>
      <c r="S259" s="77"/>
      <c r="T259" s="149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spans="1:36" ht="19.5" customHeight="1" x14ac:dyDescent="0.3">
      <c r="A260" s="70"/>
      <c r="B260" s="164"/>
      <c r="C260" s="165"/>
      <c r="D260" s="156"/>
      <c r="E260" s="202"/>
      <c r="F260" s="110"/>
      <c r="G260" s="110"/>
      <c r="H260" s="157"/>
      <c r="I260" s="145"/>
      <c r="J260" s="121"/>
      <c r="K260" s="156"/>
      <c r="L260" s="156"/>
      <c r="M260" s="156"/>
      <c r="N260" s="158"/>
      <c r="O260" s="159"/>
      <c r="P260" s="159"/>
      <c r="Q260" s="159"/>
      <c r="R260" s="160"/>
      <c r="S260" s="77"/>
      <c r="T260" s="149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spans="1:36" ht="19.5" customHeight="1" x14ac:dyDescent="0.3">
      <c r="A261" s="70"/>
      <c r="B261" s="164"/>
      <c r="C261" s="165"/>
      <c r="D261" s="156"/>
      <c r="E261" s="202"/>
      <c r="F261" s="110"/>
      <c r="G261" s="110"/>
      <c r="H261" s="157"/>
      <c r="I261" s="145"/>
      <c r="J261" s="121"/>
      <c r="K261" s="156"/>
      <c r="L261" s="156"/>
      <c r="M261" s="156"/>
      <c r="N261" s="158"/>
      <c r="O261" s="159"/>
      <c r="P261" s="159"/>
      <c r="Q261" s="159"/>
      <c r="R261" s="160"/>
      <c r="S261" s="77"/>
      <c r="T261" s="149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spans="1:36" ht="19.5" customHeight="1" x14ac:dyDescent="0.3">
      <c r="A262" s="70"/>
      <c r="B262" s="164"/>
      <c r="C262" s="165"/>
      <c r="D262" s="156"/>
      <c r="E262" s="202"/>
      <c r="F262" s="110"/>
      <c r="G262" s="110"/>
      <c r="H262" s="157"/>
      <c r="I262" s="145"/>
      <c r="J262" s="121"/>
      <c r="K262" s="156"/>
      <c r="L262" s="156"/>
      <c r="M262" s="156"/>
      <c r="N262" s="158"/>
      <c r="O262" s="159"/>
      <c r="P262" s="159"/>
      <c r="Q262" s="159"/>
      <c r="R262" s="160"/>
      <c r="S262" s="77"/>
      <c r="T262" s="149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spans="1:36" ht="19.5" customHeight="1" x14ac:dyDescent="0.3">
      <c r="A263" s="70"/>
      <c r="B263" s="164"/>
      <c r="C263" s="165"/>
      <c r="D263" s="156"/>
      <c r="E263" s="202"/>
      <c r="F263" s="110"/>
      <c r="G263" s="110"/>
      <c r="H263" s="157"/>
      <c r="I263" s="145"/>
      <c r="J263" s="121"/>
      <c r="K263" s="156"/>
      <c r="L263" s="156"/>
      <c r="M263" s="156"/>
      <c r="N263" s="158"/>
      <c r="O263" s="159"/>
      <c r="P263" s="159"/>
      <c r="Q263" s="159"/>
      <c r="R263" s="160"/>
      <c r="S263" s="77"/>
      <c r="T263" s="149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spans="1:36" ht="19.5" customHeight="1" x14ac:dyDescent="0.3">
      <c r="A264" s="70"/>
      <c r="B264" s="164"/>
      <c r="C264" s="165"/>
      <c r="D264" s="156"/>
      <c r="E264" s="202"/>
      <c r="F264" s="110"/>
      <c r="G264" s="110"/>
      <c r="H264" s="157"/>
      <c r="I264" s="145"/>
      <c r="J264" s="121"/>
      <c r="K264" s="156"/>
      <c r="L264" s="156"/>
      <c r="M264" s="156"/>
      <c r="N264" s="158"/>
      <c r="O264" s="159"/>
      <c r="P264" s="159"/>
      <c r="Q264" s="159"/>
      <c r="R264" s="160"/>
      <c r="S264" s="77"/>
      <c r="T264" s="149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spans="1:36" ht="19.5" customHeight="1" x14ac:dyDescent="0.3">
      <c r="A265" s="70"/>
      <c r="B265" s="164"/>
      <c r="C265" s="165"/>
      <c r="D265" s="156"/>
      <c r="E265" s="202"/>
      <c r="F265" s="110"/>
      <c r="G265" s="110"/>
      <c r="H265" s="157"/>
      <c r="I265" s="145"/>
      <c r="J265" s="121"/>
      <c r="K265" s="156"/>
      <c r="L265" s="156"/>
      <c r="M265" s="156"/>
      <c r="N265" s="158"/>
      <c r="O265" s="159"/>
      <c r="P265" s="159"/>
      <c r="Q265" s="159"/>
      <c r="R265" s="160"/>
      <c r="S265" s="77"/>
      <c r="T265" s="149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spans="1:36" ht="19.5" customHeight="1" x14ac:dyDescent="0.3">
      <c r="A266" s="70"/>
      <c r="B266" s="164"/>
      <c r="C266" s="165"/>
      <c r="D266" s="156"/>
      <c r="E266" s="202"/>
      <c r="F266" s="110"/>
      <c r="G266" s="110"/>
      <c r="H266" s="157"/>
      <c r="I266" s="145"/>
      <c r="J266" s="121"/>
      <c r="K266" s="156"/>
      <c r="L266" s="156"/>
      <c r="M266" s="156"/>
      <c r="N266" s="158"/>
      <c r="O266" s="159"/>
      <c r="P266" s="159"/>
      <c r="Q266" s="159"/>
      <c r="R266" s="160"/>
      <c r="S266" s="77"/>
      <c r="T266" s="149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spans="1:36" ht="19.5" customHeight="1" x14ac:dyDescent="0.3">
      <c r="A267" s="70"/>
      <c r="B267" s="164"/>
      <c r="C267" s="165"/>
      <c r="D267" s="156"/>
      <c r="E267" s="202"/>
      <c r="F267" s="110"/>
      <c r="G267" s="110"/>
      <c r="H267" s="157"/>
      <c r="I267" s="145"/>
      <c r="J267" s="121"/>
      <c r="K267" s="156"/>
      <c r="L267" s="156"/>
      <c r="M267" s="156"/>
      <c r="N267" s="158"/>
      <c r="O267" s="159"/>
      <c r="P267" s="159"/>
      <c r="Q267" s="159"/>
      <c r="R267" s="160"/>
      <c r="S267" s="77"/>
      <c r="T267" s="149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spans="1:36" ht="19.5" customHeight="1" x14ac:dyDescent="0.3">
      <c r="A268" s="70"/>
      <c r="B268" s="164"/>
      <c r="C268" s="165"/>
      <c r="D268" s="156"/>
      <c r="E268" s="202"/>
      <c r="F268" s="164"/>
      <c r="G268" s="110"/>
      <c r="H268" s="157"/>
      <c r="I268" s="145"/>
      <c r="J268" s="121"/>
      <c r="K268" s="156"/>
      <c r="L268" s="156"/>
      <c r="M268" s="156"/>
      <c r="N268" s="158"/>
      <c r="O268" s="159"/>
      <c r="P268" s="159"/>
      <c r="Q268" s="159"/>
      <c r="R268" s="160"/>
      <c r="S268" s="77"/>
      <c r="T268" s="149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spans="1:36" s="142" customFormat="1" ht="19.5" customHeight="1" x14ac:dyDescent="0.3">
      <c r="A269" s="132"/>
      <c r="B269" s="133"/>
      <c r="C269" s="134"/>
      <c r="D269" s="134"/>
      <c r="E269" s="135"/>
      <c r="F269" s="135"/>
      <c r="G269" s="135"/>
      <c r="H269" s="135"/>
      <c r="I269" s="136"/>
      <c r="J269" s="137"/>
      <c r="K269" s="134"/>
      <c r="L269" s="134"/>
      <c r="M269" s="134"/>
      <c r="N269" s="138"/>
      <c r="O269" s="139"/>
      <c r="P269" s="139"/>
      <c r="Q269" s="139"/>
      <c r="R269" s="140"/>
      <c r="S269" s="141"/>
      <c r="T269" s="149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</row>
    <row r="270" spans="1:36" ht="19.5" customHeight="1" x14ac:dyDescent="0.3">
      <c r="A270" s="70"/>
      <c r="B270" s="164"/>
      <c r="C270" s="165"/>
      <c r="D270" s="156"/>
      <c r="E270" s="165"/>
      <c r="F270" s="110"/>
      <c r="G270" s="110"/>
      <c r="H270" s="157"/>
      <c r="I270" s="145"/>
      <c r="J270" s="121"/>
      <c r="K270" s="156"/>
      <c r="L270" s="156"/>
      <c r="M270" s="156"/>
      <c r="N270" s="158"/>
      <c r="O270" s="159"/>
      <c r="P270" s="159"/>
      <c r="Q270" s="159"/>
      <c r="R270" s="160"/>
      <c r="S270" s="77"/>
      <c r="T270" s="149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spans="1:36" ht="19.5" customHeight="1" x14ac:dyDescent="0.3">
      <c r="A271" s="70"/>
      <c r="B271" s="164"/>
      <c r="C271" s="165"/>
      <c r="D271" s="156"/>
      <c r="E271" s="165"/>
      <c r="F271" s="110"/>
      <c r="G271" s="110"/>
      <c r="H271" s="157"/>
      <c r="I271" s="145"/>
      <c r="J271" s="121"/>
      <c r="K271" s="156"/>
      <c r="L271" s="156"/>
      <c r="M271" s="156"/>
      <c r="N271" s="158"/>
      <c r="O271" s="159"/>
      <c r="P271" s="159"/>
      <c r="Q271" s="159"/>
      <c r="R271" s="160"/>
      <c r="S271" s="77"/>
      <c r="T271" s="149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spans="1:36" ht="19.5" customHeight="1" x14ac:dyDescent="0.3">
      <c r="A272" s="70"/>
      <c r="B272" s="164"/>
      <c r="C272" s="165"/>
      <c r="D272" s="156"/>
      <c r="E272" s="165"/>
      <c r="F272" s="110"/>
      <c r="G272" s="110"/>
      <c r="H272" s="157"/>
      <c r="I272" s="145"/>
      <c r="J272" s="121"/>
      <c r="K272" s="156"/>
      <c r="L272" s="156"/>
      <c r="M272" s="156"/>
      <c r="N272" s="158"/>
      <c r="O272" s="159"/>
      <c r="P272" s="159"/>
      <c r="Q272" s="159"/>
      <c r="R272" s="160"/>
      <c r="S272" s="77"/>
      <c r="T272" s="149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pans="1:36" ht="19.5" customHeight="1" x14ac:dyDescent="0.3">
      <c r="A273" s="70"/>
      <c r="B273" s="164"/>
      <c r="C273" s="165"/>
      <c r="D273" s="156"/>
      <c r="E273" s="165"/>
      <c r="F273" s="110"/>
      <c r="G273" s="110"/>
      <c r="H273" s="157"/>
      <c r="I273" s="145"/>
      <c r="J273" s="121"/>
      <c r="K273" s="156"/>
      <c r="L273" s="156"/>
      <c r="M273" s="156"/>
      <c r="N273" s="158"/>
      <c r="O273" s="159"/>
      <c r="P273" s="159"/>
      <c r="Q273" s="159"/>
      <c r="R273" s="160"/>
      <c r="S273" s="77"/>
      <c r="T273" s="149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pans="1:36" ht="19.5" customHeight="1" x14ac:dyDescent="0.3">
      <c r="A274" s="70"/>
      <c r="B274" s="164"/>
      <c r="C274" s="165"/>
      <c r="D274" s="156"/>
      <c r="E274" s="165"/>
      <c r="F274" s="110"/>
      <c r="G274" s="110"/>
      <c r="H274" s="157"/>
      <c r="I274" s="145"/>
      <c r="J274" s="121"/>
      <c r="K274" s="156"/>
      <c r="L274" s="156"/>
      <c r="M274" s="156"/>
      <c r="N274" s="158"/>
      <c r="O274" s="159"/>
      <c r="P274" s="159"/>
      <c r="Q274" s="159"/>
      <c r="R274" s="160"/>
      <c r="S274" s="77"/>
      <c r="T274" s="149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pans="1:36" ht="19.5" customHeight="1" x14ac:dyDescent="0.3">
      <c r="A275" s="70"/>
      <c r="B275" s="156"/>
      <c r="C275" s="156"/>
      <c r="D275" s="156"/>
      <c r="E275" s="157"/>
      <c r="F275" s="110"/>
      <c r="G275" s="157"/>
      <c r="H275" s="157"/>
      <c r="I275" s="145"/>
      <c r="J275" s="121"/>
      <c r="K275" s="156"/>
      <c r="L275" s="156"/>
      <c r="M275" s="156"/>
      <c r="N275" s="158"/>
      <c r="O275" s="159"/>
      <c r="P275" s="159"/>
      <c r="Q275" s="159"/>
      <c r="R275" s="160"/>
      <c r="S275" s="77"/>
      <c r="T275" s="149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pans="1:36" s="142" customFormat="1" ht="19.5" customHeight="1" x14ac:dyDescent="0.3">
      <c r="A276" s="132"/>
      <c r="B276" s="133"/>
      <c r="C276" s="134"/>
      <c r="D276" s="134"/>
      <c r="E276" s="135"/>
      <c r="F276" s="135"/>
      <c r="G276" s="135"/>
      <c r="H276" s="135"/>
      <c r="I276" s="136"/>
      <c r="J276" s="137"/>
      <c r="K276" s="134"/>
      <c r="L276" s="134"/>
      <c r="M276" s="134"/>
      <c r="N276" s="138"/>
      <c r="O276" s="139"/>
      <c r="P276" s="139"/>
      <c r="Q276" s="139"/>
      <c r="R276" s="140"/>
      <c r="S276" s="141"/>
      <c r="T276" s="149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</row>
    <row r="277" spans="1:36" ht="19.5" customHeight="1" x14ac:dyDescent="0.3">
      <c r="A277" s="70"/>
      <c r="B277" s="164"/>
      <c r="C277" s="165"/>
      <c r="D277" s="156"/>
      <c r="E277" s="165"/>
      <c r="F277" s="110"/>
      <c r="G277" s="110"/>
      <c r="H277" s="157"/>
      <c r="I277" s="145"/>
      <c r="J277" s="121"/>
      <c r="K277" s="156"/>
      <c r="L277" s="156"/>
      <c r="M277" s="156"/>
      <c r="N277" s="158"/>
      <c r="O277" s="159"/>
      <c r="P277" s="159"/>
      <c r="Q277" s="159"/>
      <c r="R277" s="160"/>
      <c r="S277" s="77"/>
      <c r="T277" s="149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pans="1:36" ht="19.5" customHeight="1" x14ac:dyDescent="0.3">
      <c r="A278" s="70"/>
      <c r="B278" s="164"/>
      <c r="C278" s="165"/>
      <c r="D278" s="156"/>
      <c r="E278" s="165"/>
      <c r="F278" s="110"/>
      <c r="G278" s="110"/>
      <c r="H278" s="157"/>
      <c r="I278" s="145"/>
      <c r="J278" s="121"/>
      <c r="K278" s="156"/>
      <c r="L278" s="156"/>
      <c r="M278" s="156"/>
      <c r="N278" s="158"/>
      <c r="O278" s="159"/>
      <c r="P278" s="159"/>
      <c r="Q278" s="159"/>
      <c r="R278" s="160"/>
      <c r="S278" s="77"/>
      <c r="T278" s="149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pans="1:36" ht="19.5" customHeight="1" x14ac:dyDescent="0.3">
      <c r="A279" s="70"/>
      <c r="B279" s="164"/>
      <c r="C279" s="165"/>
      <c r="D279" s="156"/>
      <c r="E279" s="165"/>
      <c r="F279" s="110"/>
      <c r="G279" s="110"/>
      <c r="H279" s="157"/>
      <c r="I279" s="145"/>
      <c r="J279" s="121"/>
      <c r="K279" s="156"/>
      <c r="L279" s="156"/>
      <c r="M279" s="156"/>
      <c r="N279" s="158"/>
      <c r="O279" s="159"/>
      <c r="P279" s="159"/>
      <c r="Q279" s="159"/>
      <c r="R279" s="160"/>
      <c r="S279" s="77"/>
      <c r="T279" s="149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spans="1:36" ht="19.5" customHeight="1" x14ac:dyDescent="0.3">
      <c r="A280" s="70"/>
      <c r="B280" s="164"/>
      <c r="C280" s="165"/>
      <c r="D280" s="156"/>
      <c r="E280" s="165"/>
      <c r="F280" s="110"/>
      <c r="G280" s="110"/>
      <c r="H280" s="157"/>
      <c r="I280" s="145"/>
      <c r="J280" s="121"/>
      <c r="K280" s="156"/>
      <c r="L280" s="156"/>
      <c r="M280" s="156"/>
      <c r="N280" s="158"/>
      <c r="O280" s="159"/>
      <c r="P280" s="159"/>
      <c r="Q280" s="159"/>
      <c r="R280" s="160"/>
      <c r="S280" s="77"/>
      <c r="T280" s="149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spans="1:36" ht="19.5" customHeight="1" x14ac:dyDescent="0.3">
      <c r="A281" s="70"/>
      <c r="B281" s="164"/>
      <c r="C281" s="165"/>
      <c r="D281" s="156"/>
      <c r="E281" s="165"/>
      <c r="F281" s="110"/>
      <c r="G281" s="110"/>
      <c r="H281" s="157"/>
      <c r="I281" s="145"/>
      <c r="J281" s="121"/>
      <c r="K281" s="156"/>
      <c r="L281" s="156"/>
      <c r="M281" s="156"/>
      <c r="N281" s="158"/>
      <c r="O281" s="159"/>
      <c r="P281" s="159"/>
      <c r="Q281" s="159"/>
      <c r="R281" s="160"/>
      <c r="S281" s="77"/>
      <c r="T281" s="149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spans="1:36" ht="19.5" customHeight="1" x14ac:dyDescent="0.3">
      <c r="A282" s="70"/>
      <c r="B282" s="164"/>
      <c r="C282" s="165"/>
      <c r="D282" s="156"/>
      <c r="E282" s="165"/>
      <c r="F282" s="110"/>
      <c r="G282" s="110"/>
      <c r="H282" s="157"/>
      <c r="I282" s="145"/>
      <c r="J282" s="121"/>
      <c r="K282" s="156"/>
      <c r="L282" s="156"/>
      <c r="M282" s="156"/>
      <c r="N282" s="158"/>
      <c r="O282" s="159"/>
      <c r="P282" s="159"/>
      <c r="Q282" s="159"/>
      <c r="R282" s="160"/>
      <c r="S282" s="77"/>
      <c r="T282" s="149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spans="1:36" ht="19.5" customHeight="1" x14ac:dyDescent="0.3">
      <c r="A283" s="70"/>
      <c r="B283" s="164"/>
      <c r="C283" s="165"/>
      <c r="D283" s="156"/>
      <c r="E283" s="165"/>
      <c r="F283" s="110"/>
      <c r="G283" s="110"/>
      <c r="H283" s="157"/>
      <c r="I283" s="145"/>
      <c r="J283" s="121"/>
      <c r="K283" s="156"/>
      <c r="L283" s="156"/>
      <c r="M283" s="156"/>
      <c r="N283" s="158"/>
      <c r="O283" s="159"/>
      <c r="P283" s="159"/>
      <c r="Q283" s="159"/>
      <c r="R283" s="160"/>
      <c r="S283" s="77"/>
      <c r="T283" s="149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spans="1:36" ht="19.5" customHeight="1" x14ac:dyDescent="0.3">
      <c r="A284" s="70"/>
      <c r="B284" s="164"/>
      <c r="C284" s="165"/>
      <c r="D284" s="156"/>
      <c r="E284" s="165"/>
      <c r="F284" s="110"/>
      <c r="G284" s="110"/>
      <c r="H284" s="157"/>
      <c r="I284" s="145"/>
      <c r="J284" s="121"/>
      <c r="K284" s="156"/>
      <c r="L284" s="156"/>
      <c r="M284" s="156"/>
      <c r="N284" s="158"/>
      <c r="O284" s="159"/>
      <c r="P284" s="159"/>
      <c r="Q284" s="159"/>
      <c r="R284" s="160"/>
      <c r="S284" s="77"/>
      <c r="T284" s="149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spans="1:36" ht="19.5" customHeight="1" x14ac:dyDescent="0.3">
      <c r="A285" s="70"/>
      <c r="B285" s="166"/>
      <c r="C285" s="203"/>
      <c r="D285" s="156"/>
      <c r="E285" s="203"/>
      <c r="F285" s="110"/>
      <c r="G285" s="110"/>
      <c r="H285" s="157"/>
      <c r="I285" s="145"/>
      <c r="J285" s="121"/>
      <c r="K285" s="156"/>
      <c r="L285" s="156"/>
      <c r="M285" s="156"/>
      <c r="N285" s="158"/>
      <c r="O285" s="159"/>
      <c r="P285" s="159"/>
      <c r="Q285" s="159"/>
      <c r="R285" s="160"/>
      <c r="S285" s="77"/>
      <c r="T285" s="149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spans="1:36" s="142" customFormat="1" ht="19.5" customHeight="1" x14ac:dyDescent="0.3">
      <c r="A286" s="132"/>
      <c r="B286" s="133"/>
      <c r="C286" s="133"/>
      <c r="D286" s="134"/>
      <c r="E286" s="135"/>
      <c r="F286" s="135"/>
      <c r="G286" s="135"/>
      <c r="H286" s="135"/>
      <c r="I286" s="136"/>
      <c r="J286" s="137"/>
      <c r="K286" s="134"/>
      <c r="L286" s="134"/>
      <c r="M286" s="134"/>
      <c r="N286" s="138"/>
      <c r="O286" s="139"/>
      <c r="P286" s="139"/>
      <c r="Q286" s="139"/>
      <c r="R286" s="140"/>
      <c r="S286" s="141"/>
      <c r="T286" s="149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</row>
    <row r="287" spans="1:36" ht="19.5" customHeight="1" x14ac:dyDescent="0.3">
      <c r="A287" s="70"/>
      <c r="B287" s="178"/>
      <c r="C287" s="179"/>
      <c r="D287" s="156"/>
      <c r="E287" s="179"/>
      <c r="F287" s="110"/>
      <c r="G287" s="110"/>
      <c r="H287" s="157"/>
      <c r="I287" s="145"/>
      <c r="J287" s="121"/>
      <c r="K287" s="156"/>
      <c r="L287" s="156"/>
      <c r="M287" s="156"/>
      <c r="N287" s="158"/>
      <c r="O287" s="159"/>
      <c r="P287" s="159"/>
      <c r="Q287" s="159"/>
      <c r="R287" s="160"/>
      <c r="S287" s="77"/>
      <c r="T287" s="149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  <row r="288" spans="1:36" ht="19.5" customHeight="1" x14ac:dyDescent="0.3">
      <c r="A288" s="70"/>
      <c r="B288" s="178"/>
      <c r="C288" s="179"/>
      <c r="D288" s="156"/>
      <c r="E288" s="179"/>
      <c r="F288" s="110"/>
      <c r="G288" s="110"/>
      <c r="H288" s="157"/>
      <c r="I288" s="145"/>
      <c r="J288" s="121"/>
      <c r="K288" s="156"/>
      <c r="L288" s="156"/>
      <c r="M288" s="156"/>
      <c r="N288" s="158"/>
      <c r="O288" s="159"/>
      <c r="P288" s="159"/>
      <c r="Q288" s="159"/>
      <c r="R288" s="160"/>
      <c r="S288" s="77"/>
      <c r="T288" s="149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spans="1:36" ht="19.5" customHeight="1" x14ac:dyDescent="0.3">
      <c r="A289" s="70"/>
      <c r="B289" s="178"/>
      <c r="C289" s="179"/>
      <c r="D289" s="156"/>
      <c r="E289" s="179"/>
      <c r="F289" s="110"/>
      <c r="G289" s="110"/>
      <c r="H289" s="157"/>
      <c r="I289" s="145"/>
      <c r="J289" s="121"/>
      <c r="K289" s="156"/>
      <c r="L289" s="156"/>
      <c r="M289" s="156"/>
      <c r="N289" s="158"/>
      <c r="O289" s="159"/>
      <c r="P289" s="159"/>
      <c r="Q289" s="159"/>
      <c r="R289" s="160"/>
      <c r="S289" s="77"/>
      <c r="T289" s="149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spans="1:36" ht="19.5" customHeight="1" x14ac:dyDescent="0.3">
      <c r="A290" s="70"/>
      <c r="B290" s="178"/>
      <c r="C290" s="179"/>
      <c r="D290" s="156"/>
      <c r="E290" s="179"/>
      <c r="F290" s="110"/>
      <c r="G290" s="110"/>
      <c r="H290" s="157"/>
      <c r="I290" s="145"/>
      <c r="J290" s="121"/>
      <c r="K290" s="156"/>
      <c r="L290" s="156"/>
      <c r="M290" s="156"/>
      <c r="N290" s="158"/>
      <c r="O290" s="159"/>
      <c r="P290" s="159"/>
      <c r="Q290" s="159"/>
      <c r="R290" s="160"/>
      <c r="S290" s="77"/>
      <c r="T290" s="149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spans="1:36" ht="19.5" customHeight="1" x14ac:dyDescent="0.3">
      <c r="A291" s="70"/>
      <c r="B291" s="178"/>
      <c r="C291" s="179"/>
      <c r="D291" s="156"/>
      <c r="E291" s="179"/>
      <c r="F291" s="110"/>
      <c r="G291" s="110"/>
      <c r="H291" s="157"/>
      <c r="I291" s="145"/>
      <c r="J291" s="121"/>
      <c r="K291" s="156"/>
      <c r="L291" s="156"/>
      <c r="M291" s="156"/>
      <c r="N291" s="158"/>
      <c r="O291" s="159"/>
      <c r="P291" s="159"/>
      <c r="Q291" s="159"/>
      <c r="R291" s="160"/>
      <c r="S291" s="77"/>
      <c r="T291" s="149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spans="1:36" ht="19.5" customHeight="1" x14ac:dyDescent="0.3">
      <c r="A292" s="70"/>
      <c r="B292" s="178"/>
      <c r="C292" s="179"/>
      <c r="D292" s="156"/>
      <c r="E292" s="179"/>
      <c r="F292" s="110"/>
      <c r="G292" s="110"/>
      <c r="H292" s="157"/>
      <c r="I292" s="145"/>
      <c r="J292" s="121"/>
      <c r="K292" s="156"/>
      <c r="L292" s="156"/>
      <c r="M292" s="156"/>
      <c r="N292" s="158"/>
      <c r="O292" s="159"/>
      <c r="P292" s="159"/>
      <c r="Q292" s="159"/>
      <c r="R292" s="160"/>
      <c r="S292" s="77"/>
      <c r="T292" s="149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spans="1:36" ht="19.5" customHeight="1" x14ac:dyDescent="0.3">
      <c r="A293" s="70"/>
      <c r="B293" s="178"/>
      <c r="C293" s="179"/>
      <c r="D293" s="156"/>
      <c r="E293" s="179"/>
      <c r="F293" s="110"/>
      <c r="G293" s="110"/>
      <c r="H293" s="157"/>
      <c r="I293" s="145"/>
      <c r="J293" s="121"/>
      <c r="K293" s="156"/>
      <c r="L293" s="156"/>
      <c r="M293" s="156"/>
      <c r="N293" s="158"/>
      <c r="O293" s="159"/>
      <c r="P293" s="159"/>
      <c r="Q293" s="159"/>
      <c r="R293" s="160"/>
      <c r="S293" s="77"/>
      <c r="T293" s="149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spans="1:36" ht="19.5" customHeight="1" x14ac:dyDescent="0.3">
      <c r="A294" s="70"/>
      <c r="B294" s="178"/>
      <c r="C294" s="179"/>
      <c r="D294" s="156"/>
      <c r="E294" s="179"/>
      <c r="F294" s="110"/>
      <c r="G294" s="110"/>
      <c r="H294" s="157"/>
      <c r="I294" s="145"/>
      <c r="J294" s="121"/>
      <c r="K294" s="156"/>
      <c r="L294" s="156"/>
      <c r="M294" s="156"/>
      <c r="N294" s="158"/>
      <c r="O294" s="159"/>
      <c r="P294" s="159"/>
      <c r="Q294" s="159"/>
      <c r="R294" s="160"/>
      <c r="S294" s="77"/>
      <c r="T294" s="149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spans="1:36" ht="19.5" customHeight="1" x14ac:dyDescent="0.3">
      <c r="A295" s="70"/>
      <c r="B295" s="178"/>
      <c r="C295" s="179"/>
      <c r="D295" s="156"/>
      <c r="E295" s="179"/>
      <c r="F295" s="110"/>
      <c r="G295" s="110"/>
      <c r="H295" s="157"/>
      <c r="I295" s="145"/>
      <c r="J295" s="121"/>
      <c r="K295" s="156"/>
      <c r="L295" s="156"/>
      <c r="M295" s="156"/>
      <c r="N295" s="158"/>
      <c r="O295" s="159"/>
      <c r="P295" s="159"/>
      <c r="Q295" s="159"/>
      <c r="R295" s="160"/>
      <c r="S295" s="77"/>
      <c r="T295" s="149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spans="1:36" ht="19.5" customHeight="1" x14ac:dyDescent="0.3">
      <c r="A296" s="70"/>
      <c r="B296" s="178"/>
      <c r="C296" s="179"/>
      <c r="D296" s="156"/>
      <c r="E296" s="179"/>
      <c r="F296" s="110"/>
      <c r="G296" s="110"/>
      <c r="H296" s="157"/>
      <c r="I296" s="145"/>
      <c r="J296" s="121"/>
      <c r="K296" s="156"/>
      <c r="L296" s="156"/>
      <c r="M296" s="156"/>
      <c r="N296" s="158"/>
      <c r="O296" s="159"/>
      <c r="P296" s="159"/>
      <c r="Q296" s="159"/>
      <c r="R296" s="160"/>
      <c r="S296" s="77"/>
      <c r="T296" s="149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spans="1:36" ht="19.5" customHeight="1" x14ac:dyDescent="0.3">
      <c r="A297" s="70"/>
      <c r="B297" s="178"/>
      <c r="C297" s="179"/>
      <c r="D297" s="156"/>
      <c r="E297" s="179"/>
      <c r="F297" s="110"/>
      <c r="G297" s="110"/>
      <c r="H297" s="157"/>
      <c r="I297" s="145"/>
      <c r="J297" s="121"/>
      <c r="K297" s="156"/>
      <c r="L297" s="156"/>
      <c r="M297" s="156"/>
      <c r="N297" s="158"/>
      <c r="O297" s="159"/>
      <c r="P297" s="159"/>
      <c r="Q297" s="159"/>
      <c r="R297" s="160"/>
      <c r="S297" s="77"/>
      <c r="T297" s="149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spans="1:36" ht="19.5" customHeight="1" x14ac:dyDescent="0.3">
      <c r="A298" s="70"/>
      <c r="B298" s="178"/>
      <c r="C298" s="179"/>
      <c r="D298" s="156"/>
      <c r="E298" s="179"/>
      <c r="F298" s="110"/>
      <c r="G298" s="110"/>
      <c r="H298" s="157"/>
      <c r="I298" s="145"/>
      <c r="J298" s="121"/>
      <c r="K298" s="156"/>
      <c r="L298" s="156"/>
      <c r="M298" s="156"/>
      <c r="N298" s="158"/>
      <c r="O298" s="159"/>
      <c r="P298" s="159"/>
      <c r="Q298" s="159"/>
      <c r="R298" s="160"/>
      <c r="S298" s="77"/>
      <c r="T298" s="149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spans="1:36" s="142" customFormat="1" ht="19.5" customHeight="1" x14ac:dyDescent="0.3">
      <c r="A299" s="132"/>
      <c r="B299" s="133"/>
      <c r="C299" s="133"/>
      <c r="D299" s="204"/>
      <c r="E299" s="205"/>
      <c r="F299" s="205"/>
      <c r="G299" s="205"/>
      <c r="H299" s="205"/>
      <c r="I299" s="136"/>
      <c r="J299" s="137"/>
      <c r="K299" s="134"/>
      <c r="L299" s="134"/>
      <c r="M299" s="134"/>
      <c r="N299" s="138"/>
      <c r="O299" s="139"/>
      <c r="P299" s="139"/>
      <c r="Q299" s="139"/>
      <c r="R299" s="140"/>
      <c r="S299" s="141"/>
      <c r="T299" s="149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</row>
    <row r="300" spans="1:36" ht="19.5" customHeight="1" x14ac:dyDescent="0.3">
      <c r="A300" s="70"/>
      <c r="B300" s="178"/>
      <c r="C300" s="179"/>
      <c r="D300" s="156"/>
      <c r="E300" s="179"/>
      <c r="F300" s="110"/>
      <c r="G300" s="110"/>
      <c r="H300" s="157"/>
      <c r="I300" s="145"/>
      <c r="J300" s="121"/>
      <c r="K300" s="156"/>
      <c r="L300" s="156"/>
      <c r="M300" s="156"/>
      <c r="N300" s="158"/>
      <c r="O300" s="159"/>
      <c r="P300" s="159"/>
      <c r="Q300" s="159"/>
      <c r="R300" s="160"/>
      <c r="S300" s="77"/>
      <c r="T300" s="149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spans="1:36" ht="19.5" customHeight="1" x14ac:dyDescent="0.3">
      <c r="A301" s="70"/>
      <c r="B301" s="178"/>
      <c r="C301" s="179"/>
      <c r="D301" s="156"/>
      <c r="E301" s="179"/>
      <c r="F301" s="110"/>
      <c r="G301" s="110"/>
      <c r="H301" s="157"/>
      <c r="I301" s="145"/>
      <c r="J301" s="121"/>
      <c r="K301" s="156"/>
      <c r="L301" s="156"/>
      <c r="M301" s="156"/>
      <c r="N301" s="158"/>
      <c r="O301" s="159"/>
      <c r="P301" s="159"/>
      <c r="Q301" s="159"/>
      <c r="R301" s="160"/>
      <c r="S301" s="77"/>
      <c r="T301" s="149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spans="1:36" ht="19.5" customHeight="1" x14ac:dyDescent="0.3">
      <c r="A302" s="70"/>
      <c r="B302" s="178"/>
      <c r="C302" s="179"/>
      <c r="D302" s="156"/>
      <c r="E302" s="179"/>
      <c r="F302" s="110"/>
      <c r="G302" s="110"/>
      <c r="H302" s="157"/>
      <c r="I302" s="145"/>
      <c r="J302" s="121"/>
      <c r="K302" s="156"/>
      <c r="L302" s="156"/>
      <c r="M302" s="156"/>
      <c r="N302" s="158"/>
      <c r="O302" s="159"/>
      <c r="P302" s="159"/>
      <c r="Q302" s="159"/>
      <c r="R302" s="160"/>
      <c r="S302" s="77"/>
      <c r="T302" s="149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spans="1:36" ht="12.75" customHeight="1" x14ac:dyDescent="0.3">
      <c r="A303" s="70"/>
      <c r="B303" s="178"/>
      <c r="C303" s="179"/>
      <c r="D303" s="156"/>
      <c r="E303" s="179"/>
      <c r="F303" s="110"/>
      <c r="G303" s="110"/>
      <c r="H303" s="157"/>
      <c r="I303" s="145"/>
      <c r="J303" s="121"/>
      <c r="K303" s="156"/>
      <c r="L303" s="156"/>
      <c r="M303" s="156"/>
      <c r="N303" s="158"/>
      <c r="O303" s="159"/>
      <c r="P303" s="159"/>
      <c r="Q303" s="159"/>
      <c r="R303" s="160"/>
      <c r="S303" s="77"/>
      <c r="T303" s="149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spans="1:36" ht="12.75" customHeight="1" x14ac:dyDescent="0.3">
      <c r="A304" s="70"/>
      <c r="B304" s="178"/>
      <c r="C304" s="179"/>
      <c r="D304" s="156"/>
      <c r="E304" s="179"/>
      <c r="F304" s="110"/>
      <c r="G304" s="110"/>
      <c r="H304" s="157"/>
      <c r="I304" s="145"/>
      <c r="J304" s="121"/>
      <c r="K304" s="156"/>
      <c r="L304" s="156"/>
      <c r="M304" s="156"/>
      <c r="N304" s="158"/>
      <c r="O304" s="159"/>
      <c r="P304" s="159"/>
      <c r="Q304" s="159"/>
      <c r="R304" s="160"/>
      <c r="S304" s="77"/>
      <c r="T304" s="149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spans="2:20" ht="15" customHeight="1" x14ac:dyDescent="0.3">
      <c r="B305" s="178"/>
      <c r="C305" s="179"/>
      <c r="D305" s="206"/>
      <c r="E305" s="179"/>
      <c r="F305" s="110"/>
      <c r="G305" s="110"/>
      <c r="H305" s="157"/>
      <c r="I305" s="145"/>
      <c r="J305" s="177"/>
      <c r="K305" s="156"/>
      <c r="L305" s="156"/>
      <c r="M305" s="156"/>
      <c r="N305" s="158"/>
      <c r="O305" s="159"/>
      <c r="P305" s="159"/>
      <c r="Q305" s="159"/>
      <c r="R305" s="160"/>
      <c r="T305" s="149"/>
    </row>
  </sheetData>
  <mergeCells count="18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</mergeCells>
  <conditionalFormatting sqref="J2:J3 J6:J304">
    <cfRule type="cellIs" dxfId="222" priority="1" operator="equal">
      <formula>"Disc"</formula>
    </cfRule>
  </conditionalFormatting>
  <conditionalFormatting sqref="T15:T17 T20:T28 T103:T132">
    <cfRule type="expression" dxfId="221" priority="15">
      <formula>T15:T246&gt;30%</formula>
    </cfRule>
  </conditionalFormatting>
  <conditionalFormatting sqref="T18:T19 T94:T100">
    <cfRule type="expression" dxfId="220" priority="13">
      <formula>T18:T250&gt;30%</formula>
    </cfRule>
  </conditionalFormatting>
  <conditionalFormatting sqref="T29:T35 T66:T81">
    <cfRule type="expression" dxfId="219" priority="2">
      <formula>T29:T268&gt;30%</formula>
    </cfRule>
  </conditionalFormatting>
  <conditionalFormatting sqref="T36:T42">
    <cfRule type="expression" dxfId="218" priority="17">
      <formula>T36:T274&gt;30%</formula>
    </cfRule>
  </conditionalFormatting>
  <conditionalFormatting sqref="T43:T49 T60:T63">
    <cfRule type="expression" dxfId="217" priority="18">
      <formula>T43:T285&gt;30%</formula>
    </cfRule>
  </conditionalFormatting>
  <conditionalFormatting sqref="T50:T54">
    <cfRule type="expression" dxfId="216" priority="3">
      <formula>T50:T286&gt;30%</formula>
    </cfRule>
  </conditionalFormatting>
  <conditionalFormatting sqref="T55:T58">
    <cfRule type="expression" dxfId="215" priority="14">
      <formula>T55:T299&gt;30%</formula>
    </cfRule>
  </conditionalFormatting>
  <conditionalFormatting sqref="T59">
    <cfRule type="expression" dxfId="214" priority="6">
      <formula>T59:T302&gt;30%</formula>
    </cfRule>
  </conditionalFormatting>
  <conditionalFormatting sqref="T64:T65">
    <cfRule type="expression" dxfId="213" priority="11">
      <formula>T64:T305&gt;30%</formula>
    </cfRule>
  </conditionalFormatting>
  <conditionalFormatting sqref="T82:T93 T101:T102">
    <cfRule type="expression" dxfId="212" priority="12">
      <formula>T82:T315&gt;30%</formula>
    </cfRule>
  </conditionalFormatting>
  <conditionalFormatting sqref="T133:T134 T143:T168">
    <cfRule type="expression" dxfId="211" priority="21">
      <formula>T133:T363&gt;30%</formula>
    </cfRule>
  </conditionalFormatting>
  <conditionalFormatting sqref="T135">
    <cfRule type="expression" dxfId="210" priority="5">
      <formula>T135:T369&gt;30%</formula>
    </cfRule>
  </conditionalFormatting>
  <conditionalFormatting sqref="T136:T142">
    <cfRule type="expression" dxfId="209" priority="7">
      <formula>T136:T371&gt;30%</formula>
    </cfRule>
  </conditionalFormatting>
  <conditionalFormatting sqref="T169:T189">
    <cfRule type="expression" dxfId="208" priority="22">
      <formula>T169:T398&gt;30%</formula>
    </cfRule>
  </conditionalFormatting>
  <conditionalFormatting sqref="T190">
    <cfRule type="expression" dxfId="207" priority="4">
      <formula>T190:T412&gt;30%</formula>
    </cfRule>
  </conditionalFormatting>
  <conditionalFormatting sqref="T191:T239">
    <cfRule type="expression" dxfId="206" priority="23">
      <formula>T191:T405&gt;30%</formula>
    </cfRule>
  </conditionalFormatting>
  <conditionalFormatting sqref="T240">
    <cfRule type="expression" dxfId="205" priority="9">
      <formula>T240:T455&gt;30%</formula>
    </cfRule>
  </conditionalFormatting>
  <conditionalFormatting sqref="T241:T267">
    <cfRule type="expression" dxfId="204" priority="19">
      <formula>T241:T438&gt;30%</formula>
    </cfRule>
  </conditionalFormatting>
  <conditionalFormatting sqref="T268">
    <cfRule type="expression" dxfId="203" priority="16">
      <formula>T268:T463&gt;30%</formula>
    </cfRule>
  </conditionalFormatting>
  <conditionalFormatting sqref="T269:T285">
    <cfRule type="expression" dxfId="202" priority="20">
      <formula>T269:T458&gt;30%</formula>
    </cfRule>
  </conditionalFormatting>
  <conditionalFormatting sqref="T286:T298">
    <cfRule type="expression" dxfId="201" priority="10">
      <formula>T286:T477&gt;30%</formula>
    </cfRule>
  </conditionalFormatting>
  <conditionalFormatting sqref="T299:T305">
    <cfRule type="expression" dxfId="200" priority="8">
      <formula>T299:T482&gt;30%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5"/>
  <sheetViews>
    <sheetView zoomScale="85" zoomScaleNormal="85" workbookViewId="0">
      <selection activeCell="L24" sqref="L24"/>
    </sheetView>
  </sheetViews>
  <sheetFormatPr defaultColWidth="12.54296875" defaultRowHeight="13" outlineLevelCol="1" x14ac:dyDescent="0.3"/>
  <cols>
    <col min="1" max="1" width="1.453125" style="78" customWidth="1"/>
    <col min="2" max="2" width="19.81640625" style="78" customWidth="1"/>
    <col min="3" max="3" width="48.1796875" style="78" customWidth="1"/>
    <col min="4" max="4" width="14.26953125" style="78" customWidth="1"/>
    <col min="5" max="5" width="7.81640625" style="78" customWidth="1"/>
    <col min="6" max="6" width="15.26953125" style="78" customWidth="1"/>
    <col min="7" max="7" width="11.81640625" style="78" customWidth="1"/>
    <col min="8" max="8" width="14" style="78" customWidth="1"/>
    <col min="9" max="9" width="13.81640625" style="78" customWidth="1"/>
    <col min="10" max="10" width="5.453125" style="78" customWidth="1"/>
    <col min="11" max="11" width="19.81640625" style="78" customWidth="1" outlineLevel="1"/>
    <col min="12" max="12" width="20" style="78" customWidth="1" outlineLevel="1"/>
    <col min="13" max="13" width="21.54296875" style="78" customWidth="1" outlineLevel="1"/>
    <col min="14" max="14" width="14" style="78" customWidth="1" outlineLevel="1"/>
    <col min="15" max="15" width="18.26953125" style="78" customWidth="1" outlineLevel="1"/>
    <col min="16" max="16" width="12" style="78" customWidth="1" outlineLevel="1"/>
    <col min="17" max="17" width="18.54296875" style="78" bestFit="1" customWidth="1" outlineLevel="1"/>
    <col min="18" max="18" width="19" style="78" customWidth="1" outlineLevel="1"/>
    <col min="19" max="19" width="1.453125" style="78" customWidth="1"/>
    <col min="20" max="20" width="13.7265625" style="78" customWidth="1"/>
    <col min="21" max="36" width="7.54296875" style="78" customWidth="1"/>
    <col min="37" max="16384" width="12.54296875" style="78"/>
  </cols>
  <sheetData>
    <row r="1" spans="1:36" ht="4.5" customHeight="1" x14ac:dyDescent="0.3">
      <c r="A1" s="70"/>
      <c r="B1" s="70"/>
      <c r="C1" s="70"/>
      <c r="D1" s="70"/>
      <c r="E1" s="71"/>
      <c r="F1" s="72"/>
      <c r="G1" s="71"/>
      <c r="H1" s="71"/>
      <c r="I1" s="73"/>
      <c r="J1" s="70"/>
      <c r="K1" s="70"/>
      <c r="L1" s="70"/>
      <c r="M1" s="70"/>
      <c r="N1" s="74"/>
      <c r="O1" s="75"/>
      <c r="P1" s="75"/>
      <c r="Q1" s="75"/>
      <c r="R1" s="76"/>
      <c r="S1" s="77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6" ht="24.75" customHeight="1" x14ac:dyDescent="0.3">
      <c r="A2" s="79"/>
      <c r="B2" s="80"/>
      <c r="C2" s="79"/>
      <c r="D2" s="79"/>
      <c r="E2" s="81"/>
      <c r="F2" s="82"/>
      <c r="G2" s="83"/>
      <c r="H2" s="83"/>
      <c r="I2" s="84"/>
      <c r="J2" s="79"/>
      <c r="K2" s="85"/>
      <c r="L2" s="85"/>
      <c r="M2" s="85"/>
      <c r="N2" s="86"/>
      <c r="O2" s="87"/>
      <c r="P2" s="87"/>
      <c r="Q2" s="75"/>
      <c r="R2" s="76"/>
      <c r="S2" s="88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34.5" customHeight="1" x14ac:dyDescent="0.3">
      <c r="A3" s="70"/>
      <c r="B3" s="80"/>
      <c r="C3" s="70"/>
      <c r="D3" s="70"/>
      <c r="E3" s="71"/>
      <c r="F3" s="72"/>
      <c r="G3" s="71"/>
      <c r="H3" s="71"/>
      <c r="I3" s="73"/>
      <c r="J3" s="70"/>
      <c r="K3" s="89"/>
      <c r="L3" s="90"/>
      <c r="M3" s="4"/>
      <c r="N3" s="91"/>
      <c r="O3" s="92"/>
      <c r="P3" s="87"/>
      <c r="Q3" s="75"/>
      <c r="R3" s="76"/>
      <c r="S3" s="77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</row>
    <row r="4" spans="1:36" ht="30" customHeight="1" thickBot="1" x14ac:dyDescent="0.35">
      <c r="A4" s="70"/>
      <c r="B4" s="93"/>
      <c r="C4" s="496"/>
      <c r="D4" s="497"/>
      <c r="E4" s="94"/>
      <c r="F4" s="72"/>
      <c r="G4" s="71"/>
      <c r="H4" s="71"/>
      <c r="I4" s="73"/>
      <c r="J4" s="70"/>
      <c r="K4" s="95"/>
      <c r="L4" s="498"/>
      <c r="M4" s="498"/>
      <c r="N4" s="498"/>
      <c r="O4" s="498"/>
      <c r="P4" s="96"/>
      <c r="Q4" s="2"/>
      <c r="R4" s="97"/>
      <c r="S4" s="77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spans="1:36" ht="30" customHeight="1" thickBot="1" x14ac:dyDescent="0.35">
      <c r="A5" s="70"/>
      <c r="B5" s="93"/>
      <c r="C5" s="496"/>
      <c r="D5" s="497"/>
      <c r="E5" s="94"/>
      <c r="F5" s="72"/>
      <c r="G5" s="71"/>
      <c r="H5" s="71"/>
      <c r="I5" s="73"/>
      <c r="J5" s="70"/>
      <c r="K5" s="98"/>
      <c r="L5" s="499"/>
      <c r="M5" s="499"/>
      <c r="N5" s="500"/>
      <c r="O5" s="500"/>
      <c r="P5" s="99"/>
      <c r="Q5" s="75"/>
      <c r="R5" s="76"/>
      <c r="S5" s="77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</row>
    <row r="6" spans="1:36" ht="4.5" customHeight="1" x14ac:dyDescent="0.3">
      <c r="A6" s="70"/>
      <c r="B6" s="70"/>
      <c r="C6" s="70"/>
      <c r="D6" s="70"/>
      <c r="E6" s="71"/>
      <c r="F6" s="72"/>
      <c r="G6" s="71"/>
      <c r="H6" s="71"/>
      <c r="I6" s="73"/>
      <c r="J6" s="94"/>
      <c r="K6" s="70"/>
      <c r="L6" s="70"/>
      <c r="M6" s="70"/>
      <c r="N6" s="74"/>
      <c r="O6" s="75"/>
      <c r="P6" s="75"/>
      <c r="Q6" s="75"/>
      <c r="R6" s="76"/>
      <c r="S6" s="77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</row>
    <row r="7" spans="1:36" ht="19.5" customHeight="1" x14ac:dyDescent="0.3">
      <c r="A7" s="94"/>
      <c r="B7" s="486"/>
      <c r="C7" s="488"/>
      <c r="D7" s="488"/>
      <c r="E7" s="490"/>
      <c r="F7" s="100"/>
      <c r="G7" s="100"/>
      <c r="H7" s="100"/>
      <c r="I7" s="102"/>
      <c r="J7" s="100"/>
      <c r="K7" s="488"/>
      <c r="L7" s="488"/>
      <c r="M7" s="488"/>
      <c r="N7" s="492"/>
      <c r="O7" s="494"/>
      <c r="P7" s="494"/>
      <c r="Q7" s="494"/>
      <c r="R7" s="484"/>
      <c r="S7" s="10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30" customHeight="1" x14ac:dyDescent="0.3">
      <c r="A8" s="105"/>
      <c r="B8" s="487"/>
      <c r="C8" s="489"/>
      <c r="D8" s="489"/>
      <c r="E8" s="491"/>
      <c r="F8" s="101"/>
      <c r="G8" s="101"/>
      <c r="H8" s="101"/>
      <c r="I8" s="106"/>
      <c r="J8" s="107"/>
      <c r="K8" s="489"/>
      <c r="L8" s="489"/>
      <c r="M8" s="489"/>
      <c r="N8" s="493"/>
      <c r="O8" s="495"/>
      <c r="P8" s="495"/>
      <c r="Q8" s="495"/>
      <c r="R8" s="485"/>
      <c r="S8" s="108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</row>
    <row r="9" spans="1:36" ht="11.25" customHeight="1" x14ac:dyDescent="0.3">
      <c r="A9" s="94"/>
      <c r="B9" s="100"/>
      <c r="C9" s="110"/>
      <c r="D9" s="100"/>
      <c r="E9" s="100"/>
      <c r="F9" s="100"/>
      <c r="G9" s="100"/>
      <c r="H9" s="100"/>
      <c r="I9" s="111"/>
      <c r="J9" s="112"/>
      <c r="K9" s="112"/>
      <c r="L9" s="112"/>
      <c r="M9" s="112"/>
      <c r="N9" s="103"/>
      <c r="O9" s="113"/>
      <c r="P9" s="113"/>
      <c r="Q9" s="113"/>
      <c r="R9" s="114"/>
      <c r="S9" s="115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2" customHeight="1" x14ac:dyDescent="0.3">
      <c r="A10" s="94"/>
      <c r="B10" s="116"/>
      <c r="C10" s="117"/>
      <c r="D10" s="116"/>
      <c r="E10" s="118"/>
      <c r="F10" s="117"/>
      <c r="G10" s="119"/>
      <c r="H10" s="119"/>
      <c r="I10" s="120"/>
      <c r="J10" s="112"/>
      <c r="K10" s="112"/>
      <c r="L10" s="112"/>
      <c r="M10" s="112"/>
      <c r="N10" s="103"/>
      <c r="O10" s="113"/>
      <c r="P10" s="113"/>
      <c r="Q10" s="113"/>
      <c r="R10" s="114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</row>
    <row r="11" spans="1:36" ht="12" customHeight="1" x14ac:dyDescent="0.3">
      <c r="A11" s="94"/>
      <c r="B11" s="112"/>
      <c r="C11" s="121"/>
      <c r="D11" s="112"/>
      <c r="E11" s="100"/>
      <c r="F11" s="121"/>
      <c r="G11" s="122"/>
      <c r="H11" s="122"/>
      <c r="I11" s="123"/>
      <c r="J11" s="112"/>
      <c r="K11" s="112"/>
      <c r="L11" s="112"/>
      <c r="M11" s="112"/>
      <c r="N11" s="103"/>
      <c r="O11" s="113"/>
      <c r="P11" s="113"/>
      <c r="Q11" s="113"/>
      <c r="R11" s="114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</row>
    <row r="12" spans="1:36" ht="16.5" customHeight="1" x14ac:dyDescent="0.3">
      <c r="A12" s="94"/>
      <c r="B12" s="124"/>
      <c r="C12" s="125"/>
      <c r="D12" s="125"/>
      <c r="E12" s="126"/>
      <c r="F12" s="126"/>
      <c r="G12" s="127"/>
      <c r="H12" s="126"/>
      <c r="I12" s="120"/>
      <c r="J12" s="128"/>
      <c r="K12" s="128"/>
      <c r="L12" s="128"/>
      <c r="M12" s="128"/>
      <c r="N12" s="129"/>
      <c r="O12" s="130"/>
      <c r="P12" s="130"/>
      <c r="Q12" s="130"/>
      <c r="R12" s="131"/>
      <c r="S12" s="115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</row>
    <row r="13" spans="1:36" ht="12" customHeight="1" x14ac:dyDescent="0.3">
      <c r="A13" s="94"/>
      <c r="B13" s="112"/>
      <c r="C13" s="121"/>
      <c r="D13" s="112"/>
      <c r="E13" s="100"/>
      <c r="F13" s="121"/>
      <c r="G13" s="122"/>
      <c r="H13" s="122"/>
      <c r="I13" s="123"/>
      <c r="J13" s="112"/>
      <c r="K13" s="112"/>
      <c r="L13" s="112"/>
      <c r="M13" s="112"/>
      <c r="N13" s="103"/>
      <c r="O13" s="113"/>
      <c r="P13" s="113"/>
      <c r="Q13" s="113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</row>
    <row r="14" spans="1:36" s="142" customFormat="1" ht="12" customHeight="1" x14ac:dyDescent="0.3">
      <c r="A14" s="132"/>
      <c r="B14" s="133"/>
      <c r="C14" s="134"/>
      <c r="D14" s="134"/>
      <c r="E14" s="135"/>
      <c r="F14" s="135"/>
      <c r="G14" s="135"/>
      <c r="H14" s="135"/>
      <c r="I14" s="136"/>
      <c r="J14" s="137"/>
      <c r="K14" s="134"/>
      <c r="L14" s="134"/>
      <c r="M14" s="134"/>
      <c r="N14" s="138"/>
      <c r="O14" s="139"/>
      <c r="P14" s="139"/>
      <c r="Q14" s="139"/>
      <c r="R14" s="140"/>
      <c r="S14" s="14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9.5" customHeight="1" x14ac:dyDescent="0.3">
      <c r="A15" s="70"/>
      <c r="B15" s="143"/>
      <c r="C15" s="144"/>
      <c r="D15" s="144"/>
      <c r="E15" s="144"/>
      <c r="F15" s="110"/>
      <c r="G15" s="110"/>
      <c r="H15" s="110"/>
      <c r="I15" s="145"/>
      <c r="J15" s="121"/>
      <c r="K15" s="121"/>
      <c r="L15" s="121"/>
      <c r="M15" s="121"/>
      <c r="N15" s="146"/>
      <c r="O15" s="147"/>
      <c r="P15" s="147"/>
      <c r="Q15" s="147"/>
      <c r="R15" s="148"/>
      <c r="S15" s="77"/>
      <c r="T15" s="14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ht="19.5" customHeight="1" x14ac:dyDescent="0.3">
      <c r="A16" s="70"/>
      <c r="B16" s="143"/>
      <c r="C16" s="144"/>
      <c r="D16" s="144"/>
      <c r="E16" s="144"/>
      <c r="F16" s="110"/>
      <c r="G16" s="110"/>
      <c r="H16" s="110"/>
      <c r="I16" s="145"/>
      <c r="J16" s="121"/>
      <c r="K16" s="121"/>
      <c r="L16" s="121"/>
      <c r="M16" s="121"/>
      <c r="N16" s="146"/>
      <c r="O16" s="147"/>
      <c r="P16" s="147"/>
      <c r="Q16" s="147"/>
      <c r="R16" s="148"/>
      <c r="S16" s="77"/>
      <c r="T16" s="14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</row>
    <row r="17" spans="1:36" ht="19.5" customHeight="1" x14ac:dyDescent="0.3">
      <c r="A17" s="70"/>
      <c r="B17" s="143"/>
      <c r="C17" s="144"/>
      <c r="D17" s="144"/>
      <c r="E17" s="144"/>
      <c r="F17" s="110"/>
      <c r="G17" s="110"/>
      <c r="H17" s="110"/>
      <c r="I17" s="145"/>
      <c r="J17" s="121"/>
      <c r="K17" s="121"/>
      <c r="L17" s="121"/>
      <c r="M17" s="121"/>
      <c r="N17" s="146"/>
      <c r="O17" s="147"/>
      <c r="P17" s="147"/>
      <c r="Q17" s="147"/>
      <c r="R17" s="148"/>
      <c r="S17" s="77"/>
      <c r="T17" s="14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</row>
    <row r="18" spans="1:36" ht="19.5" customHeight="1" x14ac:dyDescent="0.3">
      <c r="A18" s="70"/>
      <c r="B18" s="143"/>
      <c r="C18" s="144"/>
      <c r="D18" s="144"/>
      <c r="E18" s="144"/>
      <c r="F18" s="110"/>
      <c r="G18" s="110"/>
      <c r="H18" s="110"/>
      <c r="I18" s="145"/>
      <c r="J18" s="121"/>
      <c r="K18" s="121"/>
      <c r="L18" s="121"/>
      <c r="M18" s="121"/>
      <c r="N18" s="146"/>
      <c r="O18" s="147"/>
      <c r="P18" s="147"/>
      <c r="Q18" s="147"/>
      <c r="R18" s="148"/>
      <c r="S18" s="77"/>
      <c r="T18" s="14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</row>
    <row r="19" spans="1:36" ht="19.5" customHeight="1" x14ac:dyDescent="0.3">
      <c r="A19" s="70"/>
      <c r="B19" s="150"/>
      <c r="C19" s="151"/>
      <c r="D19" s="151"/>
      <c r="E19" s="151"/>
      <c r="F19" s="110"/>
      <c r="G19" s="110"/>
      <c r="H19" s="110"/>
      <c r="I19" s="145"/>
      <c r="J19" s="121"/>
      <c r="K19" s="121"/>
      <c r="L19" s="121"/>
      <c r="M19" s="121"/>
      <c r="N19" s="146"/>
      <c r="O19" s="147"/>
      <c r="P19" s="147"/>
      <c r="Q19" s="147"/>
      <c r="R19" s="148"/>
      <c r="S19" s="77"/>
      <c r="T19" s="14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</row>
    <row r="20" spans="1:36" ht="19.5" customHeight="1" x14ac:dyDescent="0.3">
      <c r="A20" s="70"/>
      <c r="B20" s="121"/>
      <c r="C20" s="121"/>
      <c r="D20" s="121"/>
      <c r="E20" s="110"/>
      <c r="F20" s="110"/>
      <c r="G20" s="110"/>
      <c r="H20" s="110"/>
      <c r="I20" s="145"/>
      <c r="J20" s="121"/>
      <c r="K20" s="121"/>
      <c r="L20" s="121"/>
      <c r="M20" s="121"/>
      <c r="N20" s="146"/>
      <c r="O20" s="147"/>
      <c r="P20" s="147"/>
      <c r="Q20" s="147"/>
      <c r="R20" s="148"/>
      <c r="S20" s="77"/>
      <c r="T20" s="14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</row>
    <row r="21" spans="1:36" s="142" customFormat="1" ht="19.5" customHeight="1" x14ac:dyDescent="0.3">
      <c r="A21" s="132"/>
      <c r="B21" s="133"/>
      <c r="C21" s="137"/>
      <c r="D21" s="137"/>
      <c r="E21" s="152"/>
      <c r="F21" s="152"/>
      <c r="G21" s="152"/>
      <c r="H21" s="152"/>
      <c r="I21" s="136"/>
      <c r="J21" s="137"/>
      <c r="K21" s="134"/>
      <c r="L21" s="134"/>
      <c r="M21" s="134"/>
      <c r="N21" s="153"/>
      <c r="O21" s="154"/>
      <c r="P21" s="154"/>
      <c r="Q21" s="154"/>
      <c r="R21" s="155"/>
      <c r="S21" s="141"/>
      <c r="T21" s="149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</row>
    <row r="22" spans="1:36" ht="19.5" customHeight="1" x14ac:dyDescent="0.3">
      <c r="A22" s="70"/>
      <c r="B22" s="143"/>
      <c r="C22" s="144"/>
      <c r="D22" s="156"/>
      <c r="E22" s="144"/>
      <c r="F22" s="110"/>
      <c r="G22" s="110"/>
      <c r="H22" s="157"/>
      <c r="I22" s="145"/>
      <c r="J22" s="121"/>
      <c r="K22" s="156"/>
      <c r="L22" s="156"/>
      <c r="M22" s="156"/>
      <c r="N22" s="158"/>
      <c r="O22" s="159"/>
      <c r="P22" s="159"/>
      <c r="Q22" s="159"/>
      <c r="R22" s="160"/>
      <c r="S22" s="77"/>
      <c r="T22" s="14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ht="19.5" customHeight="1" x14ac:dyDescent="0.3">
      <c r="A23" s="70"/>
      <c r="B23" s="143"/>
      <c r="C23" s="144"/>
      <c r="D23" s="156"/>
      <c r="E23" s="144"/>
      <c r="F23" s="110"/>
      <c r="G23" s="110"/>
      <c r="H23" s="157"/>
      <c r="I23" s="145"/>
      <c r="J23" s="121"/>
      <c r="K23" s="156"/>
      <c r="L23" s="156"/>
      <c r="M23" s="156"/>
      <c r="N23" s="158"/>
      <c r="O23" s="159"/>
      <c r="P23" s="159"/>
      <c r="Q23" s="159"/>
      <c r="R23" s="160"/>
      <c r="S23" s="77"/>
      <c r="T23" s="14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spans="1:36" ht="19.5" customHeight="1" x14ac:dyDescent="0.3">
      <c r="A24" s="70"/>
      <c r="B24" s="143"/>
      <c r="C24" s="144"/>
      <c r="D24" s="156"/>
      <c r="E24" s="144"/>
      <c r="F24" s="110"/>
      <c r="G24" s="110"/>
      <c r="H24" s="157"/>
      <c r="I24" s="145"/>
      <c r="J24" s="121"/>
      <c r="K24" s="156"/>
      <c r="L24" s="156"/>
      <c r="M24" s="156"/>
      <c r="N24" s="158"/>
      <c r="O24" s="159"/>
      <c r="P24" s="159"/>
      <c r="Q24" s="159"/>
      <c r="R24" s="160"/>
      <c r="S24" s="77"/>
      <c r="T24" s="14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ht="19.5" customHeight="1" x14ac:dyDescent="0.3">
      <c r="A25" s="70"/>
      <c r="B25" s="143"/>
      <c r="C25" s="144"/>
      <c r="D25" s="156"/>
      <c r="E25" s="144"/>
      <c r="F25" s="110"/>
      <c r="G25" s="110"/>
      <c r="H25" s="157"/>
      <c r="I25" s="145"/>
      <c r="J25" s="121"/>
      <c r="K25" s="156"/>
      <c r="L25" s="156"/>
      <c r="M25" s="156"/>
      <c r="N25" s="158"/>
      <c r="O25" s="159"/>
      <c r="P25" s="159"/>
      <c r="Q25" s="159"/>
      <c r="R25" s="160"/>
      <c r="S25" s="77"/>
      <c r="T25" s="14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ht="19.5" customHeight="1" x14ac:dyDescent="0.3">
      <c r="A26" s="70"/>
      <c r="B26" s="143"/>
      <c r="C26" s="144"/>
      <c r="D26" s="156"/>
      <c r="E26" s="144"/>
      <c r="F26" s="110"/>
      <c r="G26" s="110"/>
      <c r="H26" s="157"/>
      <c r="I26" s="145"/>
      <c r="J26" s="121"/>
      <c r="K26" s="156"/>
      <c r="L26" s="156"/>
      <c r="M26" s="156"/>
      <c r="N26" s="158"/>
      <c r="O26" s="159"/>
      <c r="P26" s="159"/>
      <c r="Q26" s="159"/>
      <c r="R26" s="160"/>
      <c r="S26" s="77"/>
      <c r="T26" s="14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1:36" ht="19.5" customHeight="1" x14ac:dyDescent="0.3">
      <c r="A27" s="70"/>
      <c r="B27" s="143"/>
      <c r="C27" s="144"/>
      <c r="D27" s="156"/>
      <c r="E27" s="144"/>
      <c r="F27" s="110"/>
      <c r="G27" s="110"/>
      <c r="H27" s="157"/>
      <c r="I27" s="145"/>
      <c r="J27" s="121"/>
      <c r="K27" s="156"/>
      <c r="L27" s="156"/>
      <c r="M27" s="156"/>
      <c r="N27" s="158"/>
      <c r="O27" s="159"/>
      <c r="P27" s="159"/>
      <c r="Q27" s="159"/>
      <c r="R27" s="160"/>
      <c r="S27" s="77"/>
      <c r="T27" s="14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1:36" s="142" customFormat="1" ht="19.5" customHeight="1" x14ac:dyDescent="0.3">
      <c r="A28" s="132"/>
      <c r="B28" s="133"/>
      <c r="C28" s="134"/>
      <c r="D28" s="134"/>
      <c r="E28" s="135"/>
      <c r="F28" s="135"/>
      <c r="G28" s="135"/>
      <c r="H28" s="135"/>
      <c r="I28" s="136"/>
      <c r="J28" s="137"/>
      <c r="K28" s="134"/>
      <c r="L28" s="134"/>
      <c r="M28" s="134"/>
      <c r="N28" s="138"/>
      <c r="O28" s="139"/>
      <c r="P28" s="139"/>
      <c r="Q28" s="139"/>
      <c r="R28" s="140"/>
      <c r="S28" s="141"/>
      <c r="T28" s="149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ht="19.5" customHeight="1" x14ac:dyDescent="0.3">
      <c r="A29" s="70"/>
      <c r="B29" s="143"/>
      <c r="C29" s="144"/>
      <c r="D29" s="156"/>
      <c r="E29" s="144"/>
      <c r="F29" s="110"/>
      <c r="G29" s="110"/>
      <c r="H29" s="157"/>
      <c r="I29" s="145"/>
      <c r="J29" s="121"/>
      <c r="K29" s="156"/>
      <c r="L29" s="156"/>
      <c r="M29" s="156"/>
      <c r="N29" s="158"/>
      <c r="O29" s="159"/>
      <c r="P29" s="159"/>
      <c r="Q29" s="159"/>
      <c r="R29" s="160"/>
      <c r="S29" s="77"/>
      <c r="T29" s="14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</row>
    <row r="30" spans="1:36" ht="19.5" customHeight="1" x14ac:dyDescent="0.3">
      <c r="A30" s="70"/>
      <c r="B30" s="143"/>
      <c r="C30" s="144"/>
      <c r="D30" s="156"/>
      <c r="E30" s="144"/>
      <c r="F30" s="110"/>
      <c r="G30" s="110"/>
      <c r="H30" s="157"/>
      <c r="I30" s="145"/>
      <c r="J30" s="121"/>
      <c r="K30" s="156"/>
      <c r="L30" s="156"/>
      <c r="M30" s="156"/>
      <c r="N30" s="158"/>
      <c r="O30" s="159"/>
      <c r="P30" s="159"/>
      <c r="Q30" s="159"/>
      <c r="R30" s="160"/>
      <c r="S30" s="77"/>
      <c r="T30" s="14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</row>
    <row r="31" spans="1:36" ht="19.5" customHeight="1" x14ac:dyDescent="0.3">
      <c r="A31" s="70"/>
      <c r="B31" s="143"/>
      <c r="C31" s="144"/>
      <c r="D31" s="156"/>
      <c r="E31" s="144"/>
      <c r="F31" s="110"/>
      <c r="G31" s="110"/>
      <c r="H31" s="157"/>
      <c r="I31" s="145"/>
      <c r="J31" s="121"/>
      <c r="K31" s="156"/>
      <c r="L31" s="156"/>
      <c r="M31" s="156"/>
      <c r="N31" s="158"/>
      <c r="O31" s="159"/>
      <c r="P31" s="159"/>
      <c r="Q31" s="159"/>
      <c r="R31" s="160"/>
      <c r="S31" s="77"/>
      <c r="T31" s="14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</row>
    <row r="32" spans="1:36" ht="19.5" customHeight="1" x14ac:dyDescent="0.3">
      <c r="A32" s="70"/>
      <c r="B32" s="143"/>
      <c r="C32" s="144"/>
      <c r="D32" s="156"/>
      <c r="E32" s="144"/>
      <c r="F32" s="110"/>
      <c r="G32" s="110"/>
      <c r="H32" s="157"/>
      <c r="I32" s="145"/>
      <c r="J32" s="121"/>
      <c r="K32" s="156"/>
      <c r="L32" s="156"/>
      <c r="M32" s="156"/>
      <c r="N32" s="158"/>
      <c r="O32" s="159"/>
      <c r="P32" s="159"/>
      <c r="Q32" s="159"/>
      <c r="R32" s="160"/>
      <c r="S32" s="77"/>
      <c r="T32" s="149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</row>
    <row r="33" spans="1:36" ht="19.5" customHeight="1" x14ac:dyDescent="0.3">
      <c r="A33" s="70"/>
      <c r="B33" s="143"/>
      <c r="C33" s="144"/>
      <c r="D33" s="156"/>
      <c r="E33" s="144"/>
      <c r="F33" s="110"/>
      <c r="G33" s="110"/>
      <c r="H33" s="157"/>
      <c r="I33" s="145"/>
      <c r="J33" s="121"/>
      <c r="K33" s="156"/>
      <c r="L33" s="156"/>
      <c r="M33" s="156"/>
      <c r="N33" s="158"/>
      <c r="O33" s="159"/>
      <c r="P33" s="159"/>
      <c r="Q33" s="159"/>
      <c r="R33" s="160"/>
      <c r="S33" s="77"/>
      <c r="T33" s="149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</row>
    <row r="34" spans="1:36" ht="19.5" customHeight="1" x14ac:dyDescent="0.3">
      <c r="A34" s="70"/>
      <c r="B34" s="143"/>
      <c r="C34" s="144"/>
      <c r="D34" s="156"/>
      <c r="E34" s="144"/>
      <c r="F34" s="110"/>
      <c r="G34" s="110"/>
      <c r="H34" s="157"/>
      <c r="I34" s="145"/>
      <c r="J34" s="121"/>
      <c r="K34" s="156"/>
      <c r="L34" s="156"/>
      <c r="M34" s="156"/>
      <c r="N34" s="158"/>
      <c r="O34" s="159"/>
      <c r="P34" s="159"/>
      <c r="Q34" s="159"/>
      <c r="R34" s="160"/>
      <c r="S34" s="77"/>
      <c r="T34" s="149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</row>
    <row r="35" spans="1:36" ht="19.5" customHeight="1" x14ac:dyDescent="0.3">
      <c r="A35" s="70"/>
      <c r="B35" s="143"/>
      <c r="C35" s="144"/>
      <c r="D35" s="156"/>
      <c r="E35" s="144"/>
      <c r="F35" s="110"/>
      <c r="G35" s="110"/>
      <c r="H35" s="157"/>
      <c r="I35" s="145"/>
      <c r="J35" s="121"/>
      <c r="K35" s="156"/>
      <c r="L35" s="156"/>
      <c r="M35" s="156"/>
      <c r="N35" s="158"/>
      <c r="O35" s="159"/>
      <c r="P35" s="159"/>
      <c r="Q35" s="159"/>
      <c r="R35" s="160"/>
      <c r="S35" s="77"/>
      <c r="T35" s="149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spans="1:36" ht="19.5" customHeight="1" x14ac:dyDescent="0.3">
      <c r="A36" s="70"/>
      <c r="B36" s="156"/>
      <c r="C36" s="156"/>
      <c r="D36" s="156"/>
      <c r="E36" s="157"/>
      <c r="F36" s="157"/>
      <c r="G36" s="157"/>
      <c r="H36" s="157"/>
      <c r="I36" s="145"/>
      <c r="J36" s="121"/>
      <c r="K36" s="156"/>
      <c r="L36" s="156"/>
      <c r="M36" s="156"/>
      <c r="N36" s="158"/>
      <c r="O36" s="159"/>
      <c r="P36" s="159"/>
      <c r="Q36" s="159"/>
      <c r="R36" s="160"/>
      <c r="S36" s="77"/>
      <c r="T36" s="149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</row>
    <row r="37" spans="1:36" s="142" customFormat="1" ht="19.5" customHeight="1" x14ac:dyDescent="0.3">
      <c r="A37" s="132"/>
      <c r="B37" s="133"/>
      <c r="C37" s="137"/>
      <c r="D37" s="137"/>
      <c r="E37" s="152"/>
      <c r="F37" s="152"/>
      <c r="G37" s="152"/>
      <c r="H37" s="152"/>
      <c r="I37" s="136"/>
      <c r="J37" s="137"/>
      <c r="K37" s="134"/>
      <c r="L37" s="134"/>
      <c r="M37" s="134"/>
      <c r="N37" s="153"/>
      <c r="O37" s="139"/>
      <c r="P37" s="139"/>
      <c r="Q37" s="139"/>
      <c r="R37" s="140"/>
      <c r="S37" s="141"/>
      <c r="T37" s="149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</row>
    <row r="38" spans="1:36" ht="19.5" customHeight="1" x14ac:dyDescent="0.3">
      <c r="A38" s="70"/>
      <c r="B38" s="161"/>
      <c r="C38" s="144"/>
      <c r="D38" s="162"/>
      <c r="E38" s="144"/>
      <c r="F38" s="110"/>
      <c r="G38" s="110"/>
      <c r="H38" s="157"/>
      <c r="I38" s="145"/>
      <c r="J38" s="121"/>
      <c r="K38" s="156"/>
      <c r="L38" s="156"/>
      <c r="M38" s="156"/>
      <c r="N38" s="158"/>
      <c r="O38" s="159"/>
      <c r="P38" s="159"/>
      <c r="Q38" s="159"/>
      <c r="R38" s="160"/>
      <c r="S38" s="77"/>
      <c r="T38" s="149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</row>
    <row r="39" spans="1:36" ht="19.5" customHeight="1" x14ac:dyDescent="0.3">
      <c r="A39" s="70"/>
      <c r="B39" s="161"/>
      <c r="C39" s="144"/>
      <c r="D39" s="156"/>
      <c r="E39" s="144"/>
      <c r="F39" s="110"/>
      <c r="G39" s="110"/>
      <c r="H39" s="157"/>
      <c r="I39" s="145"/>
      <c r="J39" s="121"/>
      <c r="K39" s="156"/>
      <c r="L39" s="156"/>
      <c r="M39" s="156"/>
      <c r="N39" s="158"/>
      <c r="O39" s="159"/>
      <c r="P39" s="159"/>
      <c r="Q39" s="159"/>
      <c r="R39" s="160"/>
      <c r="S39" s="77"/>
      <c r="T39" s="149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</row>
    <row r="40" spans="1:36" ht="19.5" customHeight="1" x14ac:dyDescent="0.3">
      <c r="A40" s="70"/>
      <c r="B40" s="161"/>
      <c r="C40" s="144"/>
      <c r="D40" s="156"/>
      <c r="E40" s="144"/>
      <c r="F40" s="110"/>
      <c r="G40" s="110"/>
      <c r="H40" s="157"/>
      <c r="I40" s="145"/>
      <c r="J40" s="121"/>
      <c r="K40" s="156"/>
      <c r="L40" s="156"/>
      <c r="M40" s="156"/>
      <c r="N40" s="158"/>
      <c r="O40" s="159"/>
      <c r="P40" s="159"/>
      <c r="Q40" s="159"/>
      <c r="R40" s="160"/>
      <c r="S40" s="77"/>
      <c r="T40" s="149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spans="1:36" ht="19.5" customHeight="1" x14ac:dyDescent="0.3">
      <c r="A41" s="70"/>
      <c r="B41" s="161"/>
      <c r="C41" s="144"/>
      <c r="D41" s="156"/>
      <c r="E41" s="144"/>
      <c r="F41" s="110"/>
      <c r="G41" s="110"/>
      <c r="H41" s="157"/>
      <c r="I41" s="145"/>
      <c r="J41" s="121"/>
      <c r="K41" s="156"/>
      <c r="L41" s="156"/>
      <c r="M41" s="156"/>
      <c r="N41" s="158"/>
      <c r="O41" s="159"/>
      <c r="P41" s="159"/>
      <c r="Q41" s="159"/>
      <c r="R41" s="160"/>
      <c r="S41" s="77"/>
      <c r="T41" s="149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spans="1:36" ht="19.5" customHeight="1" x14ac:dyDescent="0.3">
      <c r="A42" s="70"/>
      <c r="B42" s="161"/>
      <c r="C42" s="163"/>
      <c r="D42" s="156"/>
      <c r="E42" s="144"/>
      <c r="F42" s="110"/>
      <c r="G42" s="110"/>
      <c r="H42" s="157"/>
      <c r="I42" s="145"/>
      <c r="J42" s="121"/>
      <c r="K42" s="156"/>
      <c r="L42" s="156"/>
      <c r="M42" s="156"/>
      <c r="N42" s="158"/>
      <c r="O42" s="159"/>
      <c r="P42" s="159"/>
      <c r="Q42" s="159"/>
      <c r="R42" s="160"/>
      <c r="S42" s="77"/>
      <c r="T42" s="149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36" ht="19.5" customHeight="1" x14ac:dyDescent="0.3">
      <c r="A43" s="70"/>
      <c r="B43" s="161"/>
      <c r="C43" s="144"/>
      <c r="D43" s="156"/>
      <c r="E43" s="144"/>
      <c r="F43" s="110"/>
      <c r="G43" s="110"/>
      <c r="H43" s="157"/>
      <c r="I43" s="145"/>
      <c r="J43" s="121"/>
      <c r="K43" s="156"/>
      <c r="L43" s="156"/>
      <c r="M43" s="156"/>
      <c r="N43" s="158"/>
      <c r="O43" s="159"/>
      <c r="P43" s="159"/>
      <c r="Q43" s="159"/>
      <c r="R43" s="160"/>
      <c r="S43" s="77"/>
      <c r="T43" s="149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36" ht="19.5" customHeight="1" x14ac:dyDescent="0.3">
      <c r="A44" s="70"/>
      <c r="B44" s="161"/>
      <c r="C44" s="144"/>
      <c r="D44" s="156"/>
      <c r="E44" s="144"/>
      <c r="F44" s="110"/>
      <c r="G44" s="110"/>
      <c r="H44" s="157"/>
      <c r="I44" s="145"/>
      <c r="J44" s="121"/>
      <c r="K44" s="156"/>
      <c r="L44" s="156"/>
      <c r="M44" s="156"/>
      <c r="N44" s="158"/>
      <c r="O44" s="159"/>
      <c r="P44" s="159"/>
      <c r="Q44" s="159"/>
      <c r="R44" s="160"/>
      <c r="S44" s="77"/>
      <c r="T44" s="149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36" ht="19.5" customHeight="1" x14ac:dyDescent="0.3">
      <c r="A45" s="70"/>
      <c r="B45" s="161"/>
      <c r="C45" s="144"/>
      <c r="D45" s="156"/>
      <c r="E45" s="144"/>
      <c r="F45" s="110"/>
      <c r="G45" s="110"/>
      <c r="H45" s="157"/>
      <c r="I45" s="145"/>
      <c r="J45" s="121"/>
      <c r="K45" s="156"/>
      <c r="L45" s="156"/>
      <c r="M45" s="156"/>
      <c r="N45" s="158"/>
      <c r="O45" s="159"/>
      <c r="P45" s="159"/>
      <c r="Q45" s="159"/>
      <c r="R45" s="160"/>
      <c r="S45" s="77"/>
      <c r="T45" s="14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36" ht="19.5" customHeight="1" x14ac:dyDescent="0.3">
      <c r="A46" s="70"/>
      <c r="B46" s="161"/>
      <c r="C46" s="144"/>
      <c r="D46" s="156"/>
      <c r="E46" s="144"/>
      <c r="F46" s="110"/>
      <c r="G46" s="110"/>
      <c r="H46" s="157"/>
      <c r="I46" s="145"/>
      <c r="J46" s="121"/>
      <c r="K46" s="156"/>
      <c r="L46" s="156"/>
      <c r="M46" s="156"/>
      <c r="N46" s="158"/>
      <c r="O46" s="159"/>
      <c r="P46" s="159"/>
      <c r="Q46" s="159"/>
      <c r="R46" s="160"/>
      <c r="S46" s="77"/>
      <c r="T46" s="149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36" ht="19.5" customHeight="1" x14ac:dyDescent="0.3">
      <c r="A47" s="70"/>
      <c r="B47" s="161"/>
      <c r="C47" s="144"/>
      <c r="D47" s="156"/>
      <c r="E47" s="144"/>
      <c r="F47" s="110"/>
      <c r="G47" s="110"/>
      <c r="H47" s="157"/>
      <c r="I47" s="145"/>
      <c r="J47" s="121"/>
      <c r="K47" s="156"/>
      <c r="L47" s="156"/>
      <c r="M47" s="156"/>
      <c r="N47" s="158"/>
      <c r="O47" s="159"/>
      <c r="P47" s="159"/>
      <c r="Q47" s="159"/>
      <c r="R47" s="160"/>
      <c r="S47" s="77"/>
      <c r="T47" s="149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36" ht="19.5" customHeight="1" x14ac:dyDescent="0.3">
      <c r="A48" s="70"/>
      <c r="B48" s="161"/>
      <c r="C48" s="144"/>
      <c r="D48" s="156"/>
      <c r="E48" s="143"/>
      <c r="F48" s="110"/>
      <c r="G48" s="110"/>
      <c r="H48" s="157"/>
      <c r="I48" s="145"/>
      <c r="J48" s="121"/>
      <c r="K48" s="156"/>
      <c r="L48" s="156"/>
      <c r="M48" s="156"/>
      <c r="N48" s="158"/>
      <c r="O48" s="159"/>
      <c r="P48" s="159"/>
      <c r="Q48" s="159"/>
      <c r="R48" s="160"/>
      <c r="S48" s="77"/>
      <c r="T48" s="149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36" ht="19.5" customHeight="1" x14ac:dyDescent="0.3">
      <c r="A49" s="70"/>
      <c r="B49" s="161"/>
      <c r="C49" s="144"/>
      <c r="D49" s="156"/>
      <c r="E49" s="143"/>
      <c r="F49" s="110"/>
      <c r="G49" s="110"/>
      <c r="H49" s="157"/>
      <c r="I49" s="145"/>
      <c r="J49" s="121"/>
      <c r="K49" s="156"/>
      <c r="L49" s="156"/>
      <c r="M49" s="156"/>
      <c r="N49" s="158"/>
      <c r="O49" s="159"/>
      <c r="P49" s="159"/>
      <c r="Q49" s="159"/>
      <c r="R49" s="160"/>
      <c r="S49" s="77"/>
      <c r="T49" s="149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spans="1:36" ht="19.5" customHeight="1" x14ac:dyDescent="0.3">
      <c r="A50" s="70"/>
      <c r="B50" s="156"/>
      <c r="C50" s="156"/>
      <c r="D50" s="156"/>
      <c r="E50" s="157"/>
      <c r="F50" s="157"/>
      <c r="G50" s="157"/>
      <c r="H50" s="157"/>
      <c r="I50" s="145"/>
      <c r="J50" s="121"/>
      <c r="K50" s="156"/>
      <c r="L50" s="156"/>
      <c r="M50" s="156"/>
      <c r="N50" s="158"/>
      <c r="O50" s="159"/>
      <c r="P50" s="159"/>
      <c r="Q50" s="159"/>
      <c r="R50" s="160"/>
      <c r="S50" s="77"/>
      <c r="T50" s="149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spans="1:36" s="142" customFormat="1" ht="19.5" customHeight="1" x14ac:dyDescent="0.3">
      <c r="A51" s="132"/>
      <c r="B51" s="133"/>
      <c r="C51" s="133"/>
      <c r="D51" s="137"/>
      <c r="E51" s="152"/>
      <c r="F51" s="152"/>
      <c r="G51" s="152"/>
      <c r="H51" s="152"/>
      <c r="I51" s="136"/>
      <c r="J51" s="137"/>
      <c r="K51" s="134"/>
      <c r="L51" s="134"/>
      <c r="M51" s="134"/>
      <c r="N51" s="153"/>
      <c r="O51" s="139"/>
      <c r="P51" s="139"/>
      <c r="Q51" s="139"/>
      <c r="R51" s="140"/>
      <c r="S51" s="141"/>
      <c r="T51" s="149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</row>
    <row r="52" spans="1:36" ht="19.5" customHeight="1" x14ac:dyDescent="0.3">
      <c r="A52" s="70"/>
      <c r="B52" s="143"/>
      <c r="C52" s="144"/>
      <c r="D52" s="156"/>
      <c r="E52" s="144"/>
      <c r="F52" s="110"/>
      <c r="G52" s="110"/>
      <c r="H52" s="157"/>
      <c r="I52" s="145"/>
      <c r="J52" s="121"/>
      <c r="K52" s="156"/>
      <c r="L52" s="156"/>
      <c r="M52" s="156"/>
      <c r="N52" s="158"/>
      <c r="O52" s="159"/>
      <c r="P52" s="159"/>
      <c r="Q52" s="159"/>
      <c r="R52" s="160"/>
      <c r="S52" s="77"/>
      <c r="T52" s="149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spans="1:36" ht="19.5" customHeight="1" x14ac:dyDescent="0.3">
      <c r="A53" s="70"/>
      <c r="B53" s="143"/>
      <c r="C53" s="144"/>
      <c r="D53" s="156"/>
      <c r="E53" s="144"/>
      <c r="F53" s="110"/>
      <c r="G53" s="110"/>
      <c r="H53" s="157"/>
      <c r="I53" s="145"/>
      <c r="J53" s="121"/>
      <c r="K53" s="156"/>
      <c r="L53" s="156"/>
      <c r="M53" s="156"/>
      <c r="N53" s="158"/>
      <c r="O53" s="159"/>
      <c r="P53" s="159"/>
      <c r="Q53" s="159"/>
      <c r="R53" s="160"/>
      <c r="S53" s="77"/>
      <c r="T53" s="149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pans="1:36" ht="19.5" customHeight="1" x14ac:dyDescent="0.3">
      <c r="A54" s="70"/>
      <c r="B54" s="143"/>
      <c r="C54" s="144"/>
      <c r="D54" s="156"/>
      <c r="E54" s="144"/>
      <c r="F54" s="110"/>
      <c r="G54" s="110"/>
      <c r="H54" s="157"/>
      <c r="I54" s="145"/>
      <c r="J54" s="121"/>
      <c r="K54" s="156"/>
      <c r="L54" s="156"/>
      <c r="M54" s="156"/>
      <c r="N54" s="158"/>
      <c r="O54" s="159"/>
      <c r="P54" s="159"/>
      <c r="Q54" s="159"/>
      <c r="R54" s="160"/>
      <c r="S54" s="77"/>
      <c r="T54" s="149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ht="19.5" customHeight="1" x14ac:dyDescent="0.3">
      <c r="A55" s="70"/>
      <c r="B55" s="143"/>
      <c r="C55" s="144"/>
      <c r="D55" s="156"/>
      <c r="E55" s="144"/>
      <c r="F55" s="110"/>
      <c r="G55" s="110"/>
      <c r="H55" s="157"/>
      <c r="I55" s="145"/>
      <c r="J55" s="121"/>
      <c r="K55" s="156"/>
      <c r="L55" s="156"/>
      <c r="M55" s="156"/>
      <c r="N55" s="158"/>
      <c r="O55" s="159"/>
      <c r="P55" s="159"/>
      <c r="Q55" s="159"/>
      <c r="R55" s="160"/>
      <c r="S55" s="77"/>
      <c r="T55" s="149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spans="1:36" ht="19.5" customHeight="1" x14ac:dyDescent="0.3">
      <c r="A56" s="70"/>
      <c r="B56" s="143"/>
      <c r="C56" s="144"/>
      <c r="D56" s="162"/>
      <c r="E56" s="144"/>
      <c r="F56" s="110"/>
      <c r="G56" s="110"/>
      <c r="H56" s="157"/>
      <c r="I56" s="145"/>
      <c r="J56" s="121"/>
      <c r="K56" s="156"/>
      <c r="L56" s="156"/>
      <c r="M56" s="156"/>
      <c r="N56" s="158"/>
      <c r="O56" s="159"/>
      <c r="P56" s="159"/>
      <c r="Q56" s="159"/>
      <c r="R56" s="160"/>
      <c r="S56" s="77"/>
      <c r="T56" s="149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spans="1:36" ht="19.5" customHeight="1" x14ac:dyDescent="0.3">
      <c r="A57" s="70"/>
      <c r="B57" s="143"/>
      <c r="C57" s="144"/>
      <c r="D57" s="156"/>
      <c r="E57" s="144"/>
      <c r="F57" s="110"/>
      <c r="G57" s="110"/>
      <c r="H57" s="157"/>
      <c r="I57" s="145"/>
      <c r="J57" s="121"/>
      <c r="K57" s="156"/>
      <c r="L57" s="156"/>
      <c r="M57" s="156"/>
      <c r="N57" s="158"/>
      <c r="O57" s="159"/>
      <c r="P57" s="159"/>
      <c r="Q57" s="159"/>
      <c r="R57" s="160"/>
      <c r="S57" s="77"/>
      <c r="T57" s="149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spans="1:36" ht="19.5" customHeight="1" x14ac:dyDescent="0.3">
      <c r="A58" s="70"/>
      <c r="B58" s="150"/>
      <c r="C58" s="151"/>
      <c r="D58" s="156"/>
      <c r="E58" s="144"/>
      <c r="F58" s="110"/>
      <c r="G58" s="110"/>
      <c r="H58" s="157"/>
      <c r="I58" s="145"/>
      <c r="J58" s="121"/>
      <c r="K58" s="156"/>
      <c r="L58" s="156"/>
      <c r="M58" s="156"/>
      <c r="N58" s="158"/>
      <c r="O58" s="159"/>
      <c r="P58" s="159"/>
      <c r="Q58" s="159"/>
      <c r="R58" s="160"/>
      <c r="S58" s="77"/>
      <c r="T58" s="149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spans="1:36" ht="19.5" customHeight="1" x14ac:dyDescent="0.3">
      <c r="A59" s="70"/>
      <c r="B59" s="150"/>
      <c r="C59" s="151"/>
      <c r="D59" s="156"/>
      <c r="E59" s="151"/>
      <c r="F59" s="110"/>
      <c r="G59" s="110"/>
      <c r="H59" s="157"/>
      <c r="I59" s="145"/>
      <c r="J59" s="121"/>
      <c r="K59" s="156"/>
      <c r="L59" s="156"/>
      <c r="M59" s="156"/>
      <c r="N59" s="158"/>
      <c r="O59" s="159"/>
      <c r="P59" s="159"/>
      <c r="Q59" s="159"/>
      <c r="R59" s="160"/>
      <c r="S59" s="77"/>
      <c r="T59" s="149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spans="1:36" ht="19.5" customHeight="1" x14ac:dyDescent="0.3">
      <c r="A60" s="70"/>
      <c r="B60" s="156"/>
      <c r="C60" s="156"/>
      <c r="D60" s="156"/>
      <c r="E60" s="157"/>
      <c r="F60" s="157"/>
      <c r="G60" s="157"/>
      <c r="H60" s="157"/>
      <c r="I60" s="145"/>
      <c r="J60" s="121"/>
      <c r="K60" s="156"/>
      <c r="L60" s="156"/>
      <c r="M60" s="156"/>
      <c r="N60" s="158"/>
      <c r="O60" s="159"/>
      <c r="P60" s="159"/>
      <c r="Q60" s="159"/>
      <c r="R60" s="160"/>
      <c r="S60" s="77"/>
      <c r="T60" s="149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spans="1:36" s="142" customFormat="1" ht="19.5" customHeight="1" x14ac:dyDescent="0.3">
      <c r="A61" s="132"/>
      <c r="B61" s="133"/>
      <c r="C61" s="133"/>
      <c r="D61" s="137"/>
      <c r="E61" s="152"/>
      <c r="F61" s="152"/>
      <c r="G61" s="152"/>
      <c r="H61" s="152"/>
      <c r="I61" s="136"/>
      <c r="J61" s="137"/>
      <c r="K61" s="134"/>
      <c r="L61" s="134"/>
      <c r="M61" s="134"/>
      <c r="N61" s="153"/>
      <c r="O61" s="139"/>
      <c r="P61" s="139"/>
      <c r="Q61" s="139"/>
      <c r="R61" s="140"/>
      <c r="S61" s="141"/>
      <c r="T61" s="149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</row>
    <row r="62" spans="1:36" ht="19.5" customHeight="1" x14ac:dyDescent="0.3">
      <c r="A62" s="70"/>
      <c r="B62" s="143"/>
      <c r="C62" s="144"/>
      <c r="D62" s="156"/>
      <c r="E62" s="144"/>
      <c r="F62" s="110"/>
      <c r="G62" s="110"/>
      <c r="H62" s="157"/>
      <c r="I62" s="145"/>
      <c r="J62" s="121"/>
      <c r="K62" s="156"/>
      <c r="L62" s="156"/>
      <c r="M62" s="156"/>
      <c r="N62" s="158"/>
      <c r="O62" s="159"/>
      <c r="P62" s="159"/>
      <c r="Q62" s="159"/>
      <c r="R62" s="160"/>
      <c r="S62" s="77"/>
      <c r="T62" s="149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ht="19.5" customHeight="1" x14ac:dyDescent="0.3">
      <c r="A63" s="70"/>
      <c r="B63" s="143"/>
      <c r="C63" s="144"/>
      <c r="D63" s="156"/>
      <c r="E63" s="144"/>
      <c r="F63" s="110"/>
      <c r="G63" s="110"/>
      <c r="H63" s="157"/>
      <c r="I63" s="145"/>
      <c r="J63" s="121"/>
      <c r="K63" s="156"/>
      <c r="L63" s="156"/>
      <c r="M63" s="156"/>
      <c r="N63" s="158"/>
      <c r="O63" s="159"/>
      <c r="P63" s="159"/>
      <c r="Q63" s="159"/>
      <c r="R63" s="160"/>
      <c r="S63" s="77"/>
      <c r="T63" s="149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spans="1:36" ht="19.5" customHeight="1" x14ac:dyDescent="0.3">
      <c r="A64" s="70"/>
      <c r="B64" s="143"/>
      <c r="C64" s="144"/>
      <c r="D64" s="156"/>
      <c r="E64" s="144"/>
      <c r="F64" s="110"/>
      <c r="G64" s="110"/>
      <c r="H64" s="157"/>
      <c r="I64" s="145"/>
      <c r="J64" s="121"/>
      <c r="K64" s="156"/>
      <c r="L64" s="156"/>
      <c r="M64" s="156"/>
      <c r="N64" s="158"/>
      <c r="O64" s="159"/>
      <c r="P64" s="159"/>
      <c r="Q64" s="159"/>
      <c r="R64" s="160"/>
      <c r="S64" s="77"/>
      <c r="T64" s="149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6" ht="19.5" customHeight="1" x14ac:dyDescent="0.3">
      <c r="A65" s="70"/>
      <c r="B65" s="150"/>
      <c r="C65" s="151"/>
      <c r="D65" s="156"/>
      <c r="E65" s="151"/>
      <c r="F65" s="110"/>
      <c r="G65" s="110"/>
      <c r="H65" s="157"/>
      <c r="I65" s="145"/>
      <c r="J65" s="121"/>
      <c r="K65" s="156"/>
      <c r="L65" s="156"/>
      <c r="M65" s="156"/>
      <c r="N65" s="158"/>
      <c r="O65" s="159"/>
      <c r="P65" s="159"/>
      <c r="Q65" s="159"/>
      <c r="R65" s="160"/>
      <c r="S65" s="77"/>
      <c r="T65" s="149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spans="1:36" ht="19.5" customHeight="1" x14ac:dyDescent="0.3">
      <c r="A66" s="70"/>
      <c r="B66" s="156"/>
      <c r="C66" s="156"/>
      <c r="D66" s="156"/>
      <c r="E66" s="157"/>
      <c r="F66" s="157"/>
      <c r="G66" s="157"/>
      <c r="H66" s="157"/>
      <c r="I66" s="145"/>
      <c r="J66" s="121"/>
      <c r="K66" s="156"/>
      <c r="L66" s="156"/>
      <c r="M66" s="156"/>
      <c r="N66" s="158"/>
      <c r="O66" s="159"/>
      <c r="P66" s="159"/>
      <c r="Q66" s="159"/>
      <c r="R66" s="160"/>
      <c r="S66" s="77"/>
      <c r="T66" s="149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pans="1:36" s="142" customFormat="1" ht="19.5" customHeight="1" x14ac:dyDescent="0.3">
      <c r="A67" s="132"/>
      <c r="B67" s="133"/>
      <c r="C67" s="133"/>
      <c r="D67" s="137"/>
      <c r="E67" s="152"/>
      <c r="F67" s="152"/>
      <c r="G67" s="152"/>
      <c r="H67" s="152"/>
      <c r="I67" s="136"/>
      <c r="J67" s="137"/>
      <c r="K67" s="134"/>
      <c r="L67" s="134"/>
      <c r="M67" s="134"/>
      <c r="N67" s="153"/>
      <c r="O67" s="139"/>
      <c r="P67" s="139"/>
      <c r="Q67" s="139"/>
      <c r="R67" s="140"/>
      <c r="S67" s="141"/>
      <c r="T67" s="149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 spans="1:36" ht="19.5" customHeight="1" x14ac:dyDescent="0.3">
      <c r="A68" s="70"/>
      <c r="B68" s="143"/>
      <c r="C68" s="144"/>
      <c r="D68" s="156"/>
      <c r="E68" s="144"/>
      <c r="F68" s="110"/>
      <c r="G68" s="110"/>
      <c r="H68" s="157"/>
      <c r="I68" s="145"/>
      <c r="J68" s="121"/>
      <c r="K68" s="156"/>
      <c r="L68" s="156"/>
      <c r="M68" s="156"/>
      <c r="N68" s="158"/>
      <c r="O68" s="159"/>
      <c r="P68" s="159"/>
      <c r="Q68" s="159"/>
      <c r="R68" s="160"/>
      <c r="S68" s="77"/>
      <c r="T68" s="149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spans="1:36" ht="19.5" customHeight="1" x14ac:dyDescent="0.3">
      <c r="A69" s="70"/>
      <c r="B69" s="143"/>
      <c r="C69" s="144"/>
      <c r="D69" s="156"/>
      <c r="E69" s="144"/>
      <c r="F69" s="110"/>
      <c r="G69" s="110"/>
      <c r="H69" s="157"/>
      <c r="I69" s="145"/>
      <c r="J69" s="121"/>
      <c r="K69" s="156"/>
      <c r="L69" s="156"/>
      <c r="M69" s="156"/>
      <c r="N69" s="158"/>
      <c r="O69" s="159"/>
      <c r="P69" s="159"/>
      <c r="Q69" s="159"/>
      <c r="R69" s="160"/>
      <c r="S69" s="77"/>
      <c r="T69" s="149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ht="19.5" customHeight="1" x14ac:dyDescent="0.3">
      <c r="A70" s="70"/>
      <c r="B70" s="156"/>
      <c r="C70" s="156"/>
      <c r="D70" s="156"/>
      <c r="E70" s="157"/>
      <c r="F70" s="157"/>
      <c r="G70" s="157"/>
      <c r="H70" s="157"/>
      <c r="I70" s="145"/>
      <c r="J70" s="121"/>
      <c r="K70" s="156"/>
      <c r="L70" s="156"/>
      <c r="M70" s="156"/>
      <c r="N70" s="158"/>
      <c r="O70" s="159"/>
      <c r="P70" s="159"/>
      <c r="Q70" s="159"/>
      <c r="R70" s="160"/>
      <c r="S70" s="77"/>
      <c r="T70" s="149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spans="1:36" s="142" customFormat="1" ht="19.5" customHeight="1" x14ac:dyDescent="0.3">
      <c r="A71" s="132"/>
      <c r="B71" s="133"/>
      <c r="C71" s="133"/>
      <c r="D71" s="137"/>
      <c r="E71" s="152"/>
      <c r="F71" s="152"/>
      <c r="G71" s="152"/>
      <c r="H71" s="152"/>
      <c r="I71" s="136"/>
      <c r="J71" s="137"/>
      <c r="K71" s="134"/>
      <c r="L71" s="134"/>
      <c r="M71" s="134"/>
      <c r="N71" s="153"/>
      <c r="O71" s="139"/>
      <c r="P71" s="139"/>
      <c r="Q71" s="139"/>
      <c r="R71" s="140"/>
      <c r="S71" s="141"/>
      <c r="T71" s="149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 spans="1:36" ht="19.5" customHeight="1" x14ac:dyDescent="0.3">
      <c r="A72" s="70"/>
      <c r="B72" s="143"/>
      <c r="C72" s="144"/>
      <c r="D72" s="144"/>
      <c r="E72" s="144"/>
      <c r="F72" s="110"/>
      <c r="G72" s="110"/>
      <c r="H72" s="157"/>
      <c r="I72" s="145"/>
      <c r="J72" s="121"/>
      <c r="K72" s="156"/>
      <c r="L72" s="156"/>
      <c r="M72" s="156"/>
      <c r="N72" s="158"/>
      <c r="O72" s="159"/>
      <c r="P72" s="159"/>
      <c r="Q72" s="159"/>
      <c r="R72" s="160"/>
      <c r="S72" s="77"/>
      <c r="T72" s="149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spans="1:36" ht="19.5" customHeight="1" x14ac:dyDescent="0.3">
      <c r="A73" s="70"/>
      <c r="B73" s="143"/>
      <c r="C73" s="144"/>
      <c r="D73" s="144"/>
      <c r="E73" s="144"/>
      <c r="F73" s="110"/>
      <c r="G73" s="110"/>
      <c r="H73" s="157"/>
      <c r="I73" s="145"/>
      <c r="J73" s="121"/>
      <c r="K73" s="156"/>
      <c r="L73" s="156"/>
      <c r="M73" s="156"/>
      <c r="N73" s="158"/>
      <c r="O73" s="159"/>
      <c r="P73" s="159"/>
      <c r="Q73" s="159"/>
      <c r="R73" s="160"/>
      <c r="S73" s="77"/>
      <c r="T73" s="149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36" ht="19.5" customHeight="1" x14ac:dyDescent="0.3">
      <c r="A74" s="70"/>
      <c r="B74" s="143"/>
      <c r="C74" s="144"/>
      <c r="D74" s="144"/>
      <c r="E74" s="144"/>
      <c r="F74" s="110"/>
      <c r="G74" s="110"/>
      <c r="H74" s="157"/>
      <c r="I74" s="145"/>
      <c r="J74" s="121"/>
      <c r="K74" s="156"/>
      <c r="L74" s="156"/>
      <c r="M74" s="156"/>
      <c r="N74" s="158"/>
      <c r="O74" s="159"/>
      <c r="P74" s="159"/>
      <c r="Q74" s="159"/>
      <c r="R74" s="160"/>
      <c r="S74" s="77"/>
      <c r="T74" s="149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spans="1:36" ht="19.5" customHeight="1" x14ac:dyDescent="0.3">
      <c r="A75" s="70"/>
      <c r="B75" s="156"/>
      <c r="C75" s="156"/>
      <c r="D75" s="156"/>
      <c r="E75" s="157"/>
      <c r="F75" s="157"/>
      <c r="G75" s="157"/>
      <c r="H75" s="157"/>
      <c r="I75" s="145"/>
      <c r="J75" s="121"/>
      <c r="K75" s="156"/>
      <c r="L75" s="156"/>
      <c r="M75" s="156"/>
      <c r="N75" s="158"/>
      <c r="O75" s="159"/>
      <c r="P75" s="159"/>
      <c r="Q75" s="159"/>
      <c r="R75" s="160"/>
      <c r="S75" s="77"/>
      <c r="T75" s="149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spans="1:36" s="142" customFormat="1" ht="19.5" customHeight="1" x14ac:dyDescent="0.3">
      <c r="A76" s="132"/>
      <c r="B76" s="133"/>
      <c r="C76" s="133"/>
      <c r="D76" s="137"/>
      <c r="E76" s="152"/>
      <c r="F76" s="152"/>
      <c r="G76" s="152"/>
      <c r="H76" s="152"/>
      <c r="I76" s="136"/>
      <c r="J76" s="137"/>
      <c r="K76" s="134"/>
      <c r="L76" s="134"/>
      <c r="M76" s="134"/>
      <c r="N76" s="153"/>
      <c r="O76" s="139"/>
      <c r="P76" s="139"/>
      <c r="Q76" s="139"/>
      <c r="R76" s="140"/>
      <c r="S76" s="141"/>
      <c r="T76" s="149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</row>
    <row r="77" spans="1:36" ht="19.5" customHeight="1" x14ac:dyDescent="0.3">
      <c r="A77" s="70"/>
      <c r="B77" s="143"/>
      <c r="C77" s="144"/>
      <c r="D77" s="144"/>
      <c r="E77" s="144"/>
      <c r="F77" s="110"/>
      <c r="G77" s="110"/>
      <c r="H77" s="157"/>
      <c r="I77" s="145"/>
      <c r="J77" s="121"/>
      <c r="K77" s="156"/>
      <c r="L77" s="156"/>
      <c r="M77" s="156"/>
      <c r="N77" s="158"/>
      <c r="O77" s="159"/>
      <c r="P77" s="159"/>
      <c r="Q77" s="159"/>
      <c r="R77" s="160"/>
      <c r="S77" s="77"/>
      <c r="T77" s="149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spans="1:36" ht="19.5" customHeight="1" x14ac:dyDescent="0.3">
      <c r="A78" s="70"/>
      <c r="B78" s="143"/>
      <c r="C78" s="144"/>
      <c r="D78" s="144"/>
      <c r="E78" s="144"/>
      <c r="F78" s="110"/>
      <c r="G78" s="110"/>
      <c r="H78" s="157"/>
      <c r="I78" s="145"/>
      <c r="J78" s="121"/>
      <c r="K78" s="156"/>
      <c r="L78" s="156"/>
      <c r="M78" s="156"/>
      <c r="N78" s="158"/>
      <c r="O78" s="159"/>
      <c r="P78" s="159"/>
      <c r="Q78" s="159"/>
      <c r="R78" s="160"/>
      <c r="S78" s="77"/>
      <c r="T78" s="149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36" ht="19.5" customHeight="1" x14ac:dyDescent="0.3">
      <c r="A79" s="70"/>
      <c r="B79" s="143"/>
      <c r="C79" s="144"/>
      <c r="D79" s="144"/>
      <c r="E79" s="144"/>
      <c r="F79" s="110"/>
      <c r="G79" s="110"/>
      <c r="H79" s="157"/>
      <c r="I79" s="145"/>
      <c r="J79" s="121"/>
      <c r="K79" s="156"/>
      <c r="L79" s="156"/>
      <c r="M79" s="156"/>
      <c r="N79" s="158"/>
      <c r="O79" s="159"/>
      <c r="P79" s="159"/>
      <c r="Q79" s="159"/>
      <c r="R79" s="160"/>
      <c r="S79" s="77"/>
      <c r="T79" s="149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36" ht="19.5" customHeight="1" x14ac:dyDescent="0.3">
      <c r="A80" s="70"/>
      <c r="B80" s="156"/>
      <c r="C80" s="156"/>
      <c r="D80" s="156"/>
      <c r="E80" s="157"/>
      <c r="F80" s="157"/>
      <c r="G80" s="157"/>
      <c r="H80" s="157"/>
      <c r="I80" s="145"/>
      <c r="J80" s="121"/>
      <c r="K80" s="156"/>
      <c r="L80" s="156"/>
      <c r="M80" s="156"/>
      <c r="N80" s="158"/>
      <c r="O80" s="159"/>
      <c r="P80" s="159"/>
      <c r="Q80" s="159"/>
      <c r="R80" s="160"/>
      <c r="S80" s="77"/>
      <c r="T80" s="149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spans="1:36" ht="19.5" customHeight="1" x14ac:dyDescent="0.3">
      <c r="A81" s="70"/>
      <c r="B81" s="156"/>
      <c r="C81" s="156"/>
      <c r="D81" s="156"/>
      <c r="E81" s="157"/>
      <c r="F81" s="157"/>
      <c r="G81" s="157"/>
      <c r="H81" s="157"/>
      <c r="I81" s="145"/>
      <c r="J81" s="121"/>
      <c r="K81" s="156"/>
      <c r="L81" s="156"/>
      <c r="M81" s="156"/>
      <c r="N81" s="158"/>
      <c r="O81" s="159"/>
      <c r="P81" s="159"/>
      <c r="Q81" s="159"/>
      <c r="R81" s="160"/>
      <c r="S81" s="77"/>
      <c r="T81" s="149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spans="1:36" s="142" customFormat="1" ht="19.5" customHeight="1" x14ac:dyDescent="0.3">
      <c r="A82" s="132"/>
      <c r="B82" s="133"/>
      <c r="C82" s="133"/>
      <c r="D82" s="137"/>
      <c r="E82" s="152"/>
      <c r="F82" s="152"/>
      <c r="G82" s="152"/>
      <c r="H82" s="152"/>
      <c r="I82" s="136"/>
      <c r="J82" s="137"/>
      <c r="K82" s="134"/>
      <c r="L82" s="134"/>
      <c r="M82" s="134"/>
      <c r="N82" s="153"/>
      <c r="O82" s="139"/>
      <c r="P82" s="139"/>
      <c r="Q82" s="139"/>
      <c r="R82" s="140"/>
      <c r="S82" s="141"/>
      <c r="T82" s="149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</row>
    <row r="83" spans="1:36" ht="19.5" customHeight="1" x14ac:dyDescent="0.3">
      <c r="A83" s="70"/>
      <c r="B83" s="143"/>
      <c r="C83" s="144"/>
      <c r="D83" s="156"/>
      <c r="E83" s="144"/>
      <c r="F83" s="110"/>
      <c r="G83" s="110"/>
      <c r="H83" s="157"/>
      <c r="I83" s="145"/>
      <c r="J83" s="121"/>
      <c r="K83" s="156"/>
      <c r="L83" s="156"/>
      <c r="M83" s="156"/>
      <c r="N83" s="158"/>
      <c r="O83" s="159"/>
      <c r="P83" s="159"/>
      <c r="Q83" s="159"/>
      <c r="R83" s="160"/>
      <c r="S83" s="77"/>
      <c r="T83" s="149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" ht="19.5" customHeight="1" x14ac:dyDescent="0.3">
      <c r="A84" s="70"/>
      <c r="B84" s="143"/>
      <c r="C84" s="144"/>
      <c r="D84" s="156"/>
      <c r="E84" s="144"/>
      <c r="F84" s="110"/>
      <c r="G84" s="110"/>
      <c r="H84" s="157"/>
      <c r="I84" s="145"/>
      <c r="J84" s="121"/>
      <c r="K84" s="156"/>
      <c r="L84" s="156"/>
      <c r="M84" s="156"/>
      <c r="N84" s="158"/>
      <c r="O84" s="159"/>
      <c r="P84" s="159"/>
      <c r="Q84" s="159"/>
      <c r="R84" s="160"/>
      <c r="S84" s="77"/>
      <c r="T84" s="149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spans="1:36" ht="19.5" customHeight="1" x14ac:dyDescent="0.3">
      <c r="A85" s="70"/>
      <c r="B85" s="143"/>
      <c r="C85" s="144"/>
      <c r="D85" s="156"/>
      <c r="E85" s="144"/>
      <c r="F85" s="110"/>
      <c r="G85" s="110"/>
      <c r="H85" s="157"/>
      <c r="I85" s="145"/>
      <c r="J85" s="121"/>
      <c r="K85" s="156"/>
      <c r="L85" s="156"/>
      <c r="M85" s="156"/>
      <c r="N85" s="158"/>
      <c r="O85" s="159"/>
      <c r="P85" s="159"/>
      <c r="Q85" s="159"/>
      <c r="R85" s="160"/>
      <c r="S85" s="77"/>
      <c r="T85" s="149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9.5" customHeight="1" x14ac:dyDescent="0.3">
      <c r="A86" s="70"/>
      <c r="B86" s="143"/>
      <c r="C86" s="144"/>
      <c r="D86" s="156"/>
      <c r="E86" s="144"/>
      <c r="F86" s="110"/>
      <c r="G86" s="110"/>
      <c r="H86" s="157"/>
      <c r="I86" s="145"/>
      <c r="J86" s="121"/>
      <c r="K86" s="156"/>
      <c r="L86" s="156"/>
      <c r="M86" s="156"/>
      <c r="N86" s="158"/>
      <c r="O86" s="159"/>
      <c r="P86" s="159"/>
      <c r="Q86" s="159"/>
      <c r="R86" s="160"/>
      <c r="S86" s="77"/>
      <c r="T86" s="149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ht="19.5" customHeight="1" x14ac:dyDescent="0.3">
      <c r="A87" s="70"/>
      <c r="B87" s="156"/>
      <c r="C87" s="156"/>
      <c r="D87" s="156"/>
      <c r="E87" s="157"/>
      <c r="F87" s="157"/>
      <c r="G87" s="157"/>
      <c r="H87" s="157"/>
      <c r="I87" s="145"/>
      <c r="J87" s="121"/>
      <c r="K87" s="156"/>
      <c r="L87" s="156"/>
      <c r="M87" s="156"/>
      <c r="N87" s="158"/>
      <c r="O87" s="159"/>
      <c r="P87" s="159"/>
      <c r="Q87" s="159"/>
      <c r="R87" s="160"/>
      <c r="S87" s="77"/>
      <c r="T87" s="149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s="142" customFormat="1" ht="19.5" customHeight="1" x14ac:dyDescent="0.3">
      <c r="A88" s="132"/>
      <c r="B88" s="133"/>
      <c r="C88" s="133"/>
      <c r="D88" s="137"/>
      <c r="E88" s="152"/>
      <c r="F88" s="152"/>
      <c r="G88" s="152"/>
      <c r="H88" s="152"/>
      <c r="I88" s="136"/>
      <c r="J88" s="137"/>
      <c r="K88" s="134"/>
      <c r="L88" s="134"/>
      <c r="M88" s="134"/>
      <c r="N88" s="153"/>
      <c r="O88" s="139"/>
      <c r="P88" s="139"/>
      <c r="Q88" s="139"/>
      <c r="R88" s="140"/>
      <c r="S88" s="141"/>
      <c r="T88" s="149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</row>
    <row r="89" spans="1:36" ht="19.5" customHeight="1" x14ac:dyDescent="0.3">
      <c r="A89" s="70"/>
      <c r="B89" s="164"/>
      <c r="C89" s="164"/>
      <c r="D89" s="162"/>
      <c r="E89" s="165"/>
      <c r="F89" s="110"/>
      <c r="G89" s="110"/>
      <c r="H89" s="157"/>
      <c r="I89" s="145"/>
      <c r="J89" s="121"/>
      <c r="K89" s="156"/>
      <c r="L89" s="156"/>
      <c r="M89" s="156"/>
      <c r="N89" s="158"/>
      <c r="O89" s="159"/>
      <c r="P89" s="159"/>
      <c r="Q89" s="159"/>
      <c r="R89" s="160"/>
      <c r="S89" s="77"/>
      <c r="T89" s="149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spans="1:36" ht="19.5" customHeight="1" x14ac:dyDescent="0.3">
      <c r="A90" s="70"/>
      <c r="B90" s="164"/>
      <c r="C90" s="164"/>
      <c r="D90" s="156"/>
      <c r="E90" s="165"/>
      <c r="F90" s="110"/>
      <c r="G90" s="110"/>
      <c r="H90" s="157"/>
      <c r="I90" s="145"/>
      <c r="J90" s="121"/>
      <c r="K90" s="156"/>
      <c r="L90" s="156"/>
      <c r="M90" s="156"/>
      <c r="N90" s="158"/>
      <c r="O90" s="159"/>
      <c r="P90" s="159"/>
      <c r="Q90" s="159"/>
      <c r="R90" s="160"/>
      <c r="S90" s="77"/>
      <c r="T90" s="149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spans="1:36" ht="19.5" customHeight="1" x14ac:dyDescent="0.3">
      <c r="A91" s="70"/>
      <c r="B91" s="164"/>
      <c r="C91" s="164"/>
      <c r="D91" s="156"/>
      <c r="E91" s="165"/>
      <c r="F91" s="110"/>
      <c r="G91" s="110"/>
      <c r="H91" s="157"/>
      <c r="I91" s="145"/>
      <c r="J91" s="121"/>
      <c r="K91" s="156"/>
      <c r="L91" s="156"/>
      <c r="M91" s="156"/>
      <c r="N91" s="158"/>
      <c r="O91" s="159"/>
      <c r="P91" s="159"/>
      <c r="Q91" s="159"/>
      <c r="R91" s="160"/>
      <c r="S91" s="77"/>
      <c r="T91" s="149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spans="1:36" ht="19.5" customHeight="1" x14ac:dyDescent="0.3">
      <c r="A92" s="70"/>
      <c r="B92" s="164"/>
      <c r="C92" s="164"/>
      <c r="D92" s="156"/>
      <c r="E92" s="165"/>
      <c r="F92" s="110"/>
      <c r="G92" s="110"/>
      <c r="H92" s="157"/>
      <c r="I92" s="145"/>
      <c r="J92" s="121"/>
      <c r="K92" s="156"/>
      <c r="L92" s="156"/>
      <c r="M92" s="156"/>
      <c r="N92" s="158"/>
      <c r="O92" s="159"/>
      <c r="P92" s="159"/>
      <c r="Q92" s="159"/>
      <c r="R92" s="160"/>
      <c r="S92" s="77"/>
      <c r="T92" s="149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spans="1:36" ht="19.5" customHeight="1" x14ac:dyDescent="0.3">
      <c r="A93" s="70"/>
      <c r="B93" s="164"/>
      <c r="C93" s="166"/>
      <c r="D93" s="156"/>
      <c r="E93" s="165"/>
      <c r="F93" s="110"/>
      <c r="G93" s="110"/>
      <c r="H93" s="157"/>
      <c r="I93" s="145"/>
      <c r="J93" s="121"/>
      <c r="K93" s="156"/>
      <c r="L93" s="156"/>
      <c r="M93" s="156"/>
      <c r="N93" s="158"/>
      <c r="O93" s="159"/>
      <c r="P93" s="159"/>
      <c r="Q93" s="159"/>
      <c r="R93" s="160"/>
      <c r="S93" s="77"/>
      <c r="T93" s="149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spans="1:36" ht="19.5" customHeight="1" x14ac:dyDescent="0.3">
      <c r="A94" s="70"/>
      <c r="B94" s="156"/>
      <c r="C94" s="156"/>
      <c r="D94" s="156"/>
      <c r="E94" s="157"/>
      <c r="F94" s="110"/>
      <c r="G94" s="157"/>
      <c r="H94" s="157"/>
      <c r="I94" s="145"/>
      <c r="J94" s="121"/>
      <c r="K94" s="156"/>
      <c r="L94" s="156"/>
      <c r="M94" s="156"/>
      <c r="N94" s="158"/>
      <c r="O94" s="159"/>
      <c r="P94" s="159"/>
      <c r="Q94" s="159"/>
      <c r="R94" s="160"/>
      <c r="S94" s="77"/>
      <c r="T94" s="149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spans="1:36" s="142" customFormat="1" ht="19.5" customHeight="1" x14ac:dyDescent="0.3">
      <c r="A95" s="132"/>
      <c r="B95" s="133"/>
      <c r="C95" s="133"/>
      <c r="D95" s="137"/>
      <c r="E95" s="152"/>
      <c r="F95" s="152"/>
      <c r="G95" s="152"/>
      <c r="H95" s="152"/>
      <c r="I95" s="136"/>
      <c r="J95" s="137"/>
      <c r="K95" s="134"/>
      <c r="L95" s="134"/>
      <c r="M95" s="134"/>
      <c r="N95" s="153"/>
      <c r="O95" s="139"/>
      <c r="P95" s="139"/>
      <c r="Q95" s="139"/>
      <c r="R95" s="140"/>
      <c r="S95" s="141"/>
      <c r="T95" s="149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</row>
    <row r="96" spans="1:36" ht="19.5" customHeight="1" x14ac:dyDescent="0.3">
      <c r="A96" s="70"/>
      <c r="B96" s="143"/>
      <c r="C96" s="144"/>
      <c r="D96" s="156"/>
      <c r="E96" s="144"/>
      <c r="F96" s="110"/>
      <c r="G96" s="110"/>
      <c r="H96" s="157"/>
      <c r="I96" s="145"/>
      <c r="J96" s="121"/>
      <c r="K96" s="156"/>
      <c r="L96" s="156"/>
      <c r="M96" s="156"/>
      <c r="N96" s="158"/>
      <c r="O96" s="159"/>
      <c r="P96" s="159"/>
      <c r="Q96" s="159"/>
      <c r="R96" s="160"/>
      <c r="S96" s="77"/>
      <c r="T96" s="149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spans="1:36" ht="19.5" customHeight="1" x14ac:dyDescent="0.3">
      <c r="A97" s="70"/>
      <c r="B97" s="143"/>
      <c r="C97" s="144"/>
      <c r="D97" s="156"/>
      <c r="E97" s="144"/>
      <c r="F97" s="110"/>
      <c r="G97" s="110"/>
      <c r="H97" s="157"/>
      <c r="I97" s="145"/>
      <c r="J97" s="121"/>
      <c r="K97" s="156"/>
      <c r="L97" s="156"/>
      <c r="M97" s="156"/>
      <c r="N97" s="158"/>
      <c r="O97" s="159"/>
      <c r="P97" s="159"/>
      <c r="Q97" s="159"/>
      <c r="R97" s="160"/>
      <c r="S97" s="77"/>
      <c r="T97" s="149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spans="1:36" ht="19.5" customHeight="1" x14ac:dyDescent="0.3">
      <c r="A98" s="70"/>
      <c r="B98" s="143"/>
      <c r="C98" s="144"/>
      <c r="D98" s="156"/>
      <c r="E98" s="144"/>
      <c r="F98" s="110"/>
      <c r="G98" s="110"/>
      <c r="H98" s="157"/>
      <c r="I98" s="145"/>
      <c r="J98" s="121"/>
      <c r="K98" s="156"/>
      <c r="L98" s="156"/>
      <c r="M98" s="156"/>
      <c r="N98" s="158"/>
      <c r="O98" s="159"/>
      <c r="P98" s="159"/>
      <c r="Q98" s="159"/>
      <c r="R98" s="160"/>
      <c r="S98" s="77"/>
      <c r="T98" s="149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spans="1:36" ht="19.5" customHeight="1" x14ac:dyDescent="0.3">
      <c r="A99" s="70"/>
      <c r="B99" s="143"/>
      <c r="C99" s="144"/>
      <c r="D99" s="156"/>
      <c r="E99" s="144"/>
      <c r="F99" s="110"/>
      <c r="G99" s="110"/>
      <c r="H99" s="157"/>
      <c r="I99" s="145"/>
      <c r="J99" s="121"/>
      <c r="K99" s="156"/>
      <c r="L99" s="156"/>
      <c r="M99" s="156"/>
      <c r="N99" s="158"/>
      <c r="O99" s="159"/>
      <c r="P99" s="159"/>
      <c r="Q99" s="159"/>
      <c r="R99" s="160"/>
      <c r="S99" s="77"/>
      <c r="T99" s="149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spans="1:36" ht="19.5" customHeight="1" x14ac:dyDescent="0.3">
      <c r="A100" s="70"/>
      <c r="B100" s="143"/>
      <c r="C100" s="144"/>
      <c r="D100" s="156"/>
      <c r="E100" s="144"/>
      <c r="F100" s="110"/>
      <c r="G100" s="110"/>
      <c r="H100" s="157"/>
      <c r="I100" s="145"/>
      <c r="J100" s="121"/>
      <c r="K100" s="156"/>
      <c r="L100" s="156"/>
      <c r="M100" s="156"/>
      <c r="N100" s="158"/>
      <c r="O100" s="159"/>
      <c r="P100" s="159"/>
      <c r="Q100" s="159"/>
      <c r="R100" s="160"/>
      <c r="S100" s="77"/>
      <c r="T100" s="149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spans="1:36" ht="19.5" customHeight="1" x14ac:dyDescent="0.3">
      <c r="A101" s="70"/>
      <c r="B101" s="150"/>
      <c r="C101" s="151"/>
      <c r="D101" s="156"/>
      <c r="E101" s="156"/>
      <c r="F101" s="110"/>
      <c r="G101" s="110"/>
      <c r="H101" s="157"/>
      <c r="I101" s="145"/>
      <c r="J101" s="121"/>
      <c r="K101" s="156"/>
      <c r="L101" s="156"/>
      <c r="M101" s="156"/>
      <c r="N101" s="158"/>
      <c r="O101" s="159"/>
      <c r="P101" s="159"/>
      <c r="Q101" s="159"/>
      <c r="R101" s="160"/>
      <c r="S101" s="77"/>
      <c r="T101" s="149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spans="1:36" ht="19.5" customHeight="1" x14ac:dyDescent="0.3">
      <c r="A102" s="70"/>
      <c r="B102" s="150"/>
      <c r="C102" s="151"/>
      <c r="D102" s="156"/>
      <c r="E102" s="156"/>
      <c r="F102" s="110"/>
      <c r="G102" s="110"/>
      <c r="H102" s="157"/>
      <c r="I102" s="145"/>
      <c r="J102" s="121"/>
      <c r="K102" s="156"/>
      <c r="L102" s="156"/>
      <c r="M102" s="156"/>
      <c r="N102" s="158"/>
      <c r="O102" s="159"/>
      <c r="P102" s="159"/>
      <c r="Q102" s="159"/>
      <c r="R102" s="160"/>
      <c r="S102" s="77"/>
      <c r="T102" s="149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spans="1:36" ht="19.5" customHeight="1" x14ac:dyDescent="0.3">
      <c r="A103" s="70"/>
      <c r="B103" s="156"/>
      <c r="C103" s="156"/>
      <c r="D103" s="156"/>
      <c r="E103" s="157"/>
      <c r="F103" s="110"/>
      <c r="G103" s="157"/>
      <c r="H103" s="157"/>
      <c r="I103" s="145"/>
      <c r="J103" s="121"/>
      <c r="K103" s="156"/>
      <c r="L103" s="156"/>
      <c r="M103" s="156"/>
      <c r="N103" s="158"/>
      <c r="O103" s="159"/>
      <c r="P103" s="159"/>
      <c r="Q103" s="159"/>
      <c r="R103" s="160"/>
      <c r="S103" s="77"/>
      <c r="T103" s="149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spans="1:36" s="142" customFormat="1" ht="19.5" customHeight="1" x14ac:dyDescent="0.3">
      <c r="A104" s="132"/>
      <c r="B104" s="133"/>
      <c r="C104" s="133"/>
      <c r="D104" s="137"/>
      <c r="E104" s="152"/>
      <c r="F104" s="152"/>
      <c r="G104" s="152"/>
      <c r="H104" s="152"/>
      <c r="I104" s="136"/>
      <c r="J104" s="137"/>
      <c r="K104" s="134"/>
      <c r="L104" s="134"/>
      <c r="M104" s="134"/>
      <c r="N104" s="153"/>
      <c r="O104" s="139"/>
      <c r="P104" s="139"/>
      <c r="Q104" s="139"/>
      <c r="R104" s="140"/>
      <c r="S104" s="141"/>
      <c r="T104" s="149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</row>
    <row r="105" spans="1:36" ht="19.5" customHeight="1" x14ac:dyDescent="0.3">
      <c r="A105" s="70"/>
      <c r="B105" s="167"/>
      <c r="C105" s="168"/>
      <c r="D105" s="156"/>
      <c r="E105" s="169"/>
      <c r="F105" s="110"/>
      <c r="G105" s="110"/>
      <c r="H105" s="157"/>
      <c r="I105" s="145"/>
      <c r="J105" s="121"/>
      <c r="K105" s="156"/>
      <c r="L105" s="156"/>
      <c r="M105" s="156"/>
      <c r="N105" s="158"/>
      <c r="O105" s="159"/>
      <c r="P105" s="159"/>
      <c r="Q105" s="159"/>
      <c r="R105" s="160"/>
      <c r="S105" s="77"/>
      <c r="T105" s="149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spans="1:36" ht="19.5" customHeight="1" x14ac:dyDescent="0.3">
      <c r="A106" s="70"/>
      <c r="B106" s="167"/>
      <c r="C106" s="168"/>
      <c r="D106" s="156"/>
      <c r="E106" s="169"/>
      <c r="F106" s="110"/>
      <c r="G106" s="110"/>
      <c r="H106" s="157"/>
      <c r="I106" s="145"/>
      <c r="J106" s="121"/>
      <c r="K106" s="156"/>
      <c r="L106" s="156"/>
      <c r="M106" s="156"/>
      <c r="N106" s="158"/>
      <c r="O106" s="159"/>
      <c r="P106" s="159"/>
      <c r="Q106" s="159"/>
      <c r="R106" s="160"/>
      <c r="S106" s="77"/>
      <c r="T106" s="149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spans="1:36" ht="19.5" customHeight="1" x14ac:dyDescent="0.3">
      <c r="A107" s="70"/>
      <c r="B107" s="167"/>
      <c r="C107" s="170"/>
      <c r="D107" s="156"/>
      <c r="E107" s="169"/>
      <c r="F107" s="110"/>
      <c r="G107" s="110"/>
      <c r="H107" s="157"/>
      <c r="I107" s="145"/>
      <c r="J107" s="121"/>
      <c r="K107" s="156"/>
      <c r="L107" s="156"/>
      <c r="M107" s="156"/>
      <c r="N107" s="158"/>
      <c r="O107" s="159"/>
      <c r="P107" s="159"/>
      <c r="Q107" s="159"/>
      <c r="R107" s="160"/>
      <c r="S107" s="77"/>
      <c r="T107" s="149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spans="1:36" ht="19.5" customHeight="1" x14ac:dyDescent="0.3">
      <c r="A108" s="70"/>
      <c r="B108" s="167"/>
      <c r="C108" s="170"/>
      <c r="D108" s="156"/>
      <c r="E108" s="169"/>
      <c r="F108" s="110"/>
      <c r="G108" s="110"/>
      <c r="H108" s="157"/>
      <c r="I108" s="145"/>
      <c r="J108" s="121"/>
      <c r="K108" s="156"/>
      <c r="L108" s="156"/>
      <c r="M108" s="156"/>
      <c r="N108" s="158"/>
      <c r="O108" s="159"/>
      <c r="P108" s="159"/>
      <c r="Q108" s="159"/>
      <c r="R108" s="160"/>
      <c r="S108" s="77"/>
      <c r="T108" s="149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spans="1:36" ht="19.5" customHeight="1" x14ac:dyDescent="0.3">
      <c r="A109" s="70"/>
      <c r="B109" s="167"/>
      <c r="C109" s="170"/>
      <c r="D109" s="156"/>
      <c r="E109" s="169"/>
      <c r="F109" s="110"/>
      <c r="G109" s="110"/>
      <c r="H109" s="157"/>
      <c r="I109" s="145"/>
      <c r="J109" s="121"/>
      <c r="K109" s="156"/>
      <c r="L109" s="156"/>
      <c r="M109" s="156"/>
      <c r="N109" s="158"/>
      <c r="O109" s="159"/>
      <c r="P109" s="159"/>
      <c r="Q109" s="159"/>
      <c r="R109" s="160"/>
      <c r="S109" s="77"/>
      <c r="T109" s="149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spans="1:36" ht="19.5" customHeight="1" x14ac:dyDescent="0.3">
      <c r="A110" s="70"/>
      <c r="B110" s="167"/>
      <c r="C110" s="168"/>
      <c r="D110" s="156"/>
      <c r="E110" s="169"/>
      <c r="F110" s="110"/>
      <c r="G110" s="110"/>
      <c r="H110" s="157"/>
      <c r="I110" s="145"/>
      <c r="J110" s="121"/>
      <c r="K110" s="156"/>
      <c r="L110" s="156"/>
      <c r="M110" s="156"/>
      <c r="N110" s="158"/>
      <c r="O110" s="159"/>
      <c r="P110" s="159"/>
      <c r="Q110" s="159"/>
      <c r="R110" s="160"/>
      <c r="S110" s="77"/>
      <c r="T110" s="149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spans="1:36" ht="19.5" customHeight="1" x14ac:dyDescent="0.3">
      <c r="A111" s="70"/>
      <c r="B111" s="167"/>
      <c r="C111" s="168"/>
      <c r="D111" s="156"/>
      <c r="E111" s="169"/>
      <c r="F111" s="110"/>
      <c r="G111" s="110"/>
      <c r="H111" s="157"/>
      <c r="I111" s="145"/>
      <c r="J111" s="121"/>
      <c r="K111" s="156"/>
      <c r="L111" s="156"/>
      <c r="M111" s="156"/>
      <c r="N111" s="158"/>
      <c r="O111" s="159"/>
      <c r="P111" s="159"/>
      <c r="Q111" s="159"/>
      <c r="R111" s="160"/>
      <c r="S111" s="77"/>
      <c r="T111" s="149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spans="1:36" ht="19.5" customHeight="1" x14ac:dyDescent="0.3">
      <c r="A112" s="70"/>
      <c r="B112" s="167"/>
      <c r="C112" s="168"/>
      <c r="D112" s="156"/>
      <c r="E112" s="169"/>
      <c r="F112" s="110"/>
      <c r="G112" s="110"/>
      <c r="H112" s="157"/>
      <c r="I112" s="145"/>
      <c r="J112" s="121"/>
      <c r="K112" s="156"/>
      <c r="L112" s="156"/>
      <c r="M112" s="156"/>
      <c r="N112" s="158"/>
      <c r="O112" s="159"/>
      <c r="P112" s="159"/>
      <c r="Q112" s="159"/>
      <c r="R112" s="160"/>
      <c r="S112" s="77"/>
      <c r="T112" s="149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spans="1:36" ht="19.5" customHeight="1" x14ac:dyDescent="0.3">
      <c r="A113" s="70"/>
      <c r="B113" s="167"/>
      <c r="C113" s="168"/>
      <c r="D113" s="156"/>
      <c r="E113" s="169"/>
      <c r="F113" s="110"/>
      <c r="G113" s="110"/>
      <c r="H113" s="157"/>
      <c r="I113" s="145"/>
      <c r="J113" s="121"/>
      <c r="K113" s="156"/>
      <c r="L113" s="156"/>
      <c r="M113" s="156"/>
      <c r="N113" s="158"/>
      <c r="O113" s="159"/>
      <c r="P113" s="159"/>
      <c r="Q113" s="159"/>
      <c r="R113" s="160"/>
      <c r="S113" s="77"/>
      <c r="T113" s="149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</row>
    <row r="114" spans="1:36" ht="19.5" customHeight="1" x14ac:dyDescent="0.3">
      <c r="A114" s="70"/>
      <c r="B114" s="167"/>
      <c r="C114" s="168"/>
      <c r="D114" s="156"/>
      <c r="E114" s="169"/>
      <c r="F114" s="110"/>
      <c r="G114" s="110"/>
      <c r="H114" s="157"/>
      <c r="I114" s="145"/>
      <c r="J114" s="121"/>
      <c r="K114" s="156"/>
      <c r="L114" s="156"/>
      <c r="M114" s="156"/>
      <c r="N114" s="158"/>
      <c r="O114" s="159"/>
      <c r="P114" s="159"/>
      <c r="Q114" s="159"/>
      <c r="R114" s="160"/>
      <c r="S114" s="77"/>
      <c r="T114" s="149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spans="1:36" ht="19.5" customHeight="1" x14ac:dyDescent="0.3">
      <c r="A115" s="70"/>
      <c r="B115" s="167"/>
      <c r="C115" s="170"/>
      <c r="D115" s="156"/>
      <c r="E115" s="169"/>
      <c r="F115" s="110"/>
      <c r="G115" s="110"/>
      <c r="H115" s="157"/>
      <c r="I115" s="145"/>
      <c r="J115" s="121"/>
      <c r="K115" s="156"/>
      <c r="L115" s="156"/>
      <c r="M115" s="156"/>
      <c r="N115" s="158"/>
      <c r="O115" s="159"/>
      <c r="P115" s="159"/>
      <c r="Q115" s="159"/>
      <c r="R115" s="160"/>
      <c r="S115" s="77"/>
      <c r="T115" s="149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spans="1:36" ht="19.5" customHeight="1" x14ac:dyDescent="0.3">
      <c r="A116" s="70"/>
      <c r="B116" s="167"/>
      <c r="C116" s="168"/>
      <c r="D116" s="156"/>
      <c r="E116" s="169"/>
      <c r="F116" s="110"/>
      <c r="G116" s="110"/>
      <c r="H116" s="157"/>
      <c r="I116" s="145"/>
      <c r="J116" s="121"/>
      <c r="K116" s="156"/>
      <c r="L116" s="156"/>
      <c r="M116" s="156"/>
      <c r="N116" s="158"/>
      <c r="O116" s="159"/>
      <c r="P116" s="159"/>
      <c r="Q116" s="159"/>
      <c r="R116" s="160"/>
      <c r="S116" s="77"/>
      <c r="T116" s="149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spans="1:36" ht="19.5" customHeight="1" x14ac:dyDescent="0.3">
      <c r="A117" s="70"/>
      <c r="B117" s="167"/>
      <c r="C117" s="168"/>
      <c r="D117" s="156"/>
      <c r="E117" s="169"/>
      <c r="F117" s="110"/>
      <c r="G117" s="110"/>
      <c r="H117" s="157"/>
      <c r="I117" s="145"/>
      <c r="J117" s="121"/>
      <c r="K117" s="156"/>
      <c r="L117" s="156"/>
      <c r="M117" s="156"/>
      <c r="N117" s="158"/>
      <c r="O117" s="159"/>
      <c r="P117" s="159"/>
      <c r="Q117" s="159"/>
      <c r="R117" s="160"/>
      <c r="S117" s="77"/>
      <c r="T117" s="149"/>
      <c r="U117" s="94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</row>
    <row r="118" spans="1:36" ht="19.5" customHeight="1" x14ac:dyDescent="0.3">
      <c r="A118" s="70"/>
      <c r="B118" s="167"/>
      <c r="C118" s="168"/>
      <c r="D118" s="156"/>
      <c r="E118" s="169"/>
      <c r="F118" s="110"/>
      <c r="G118" s="110"/>
      <c r="H118" s="157"/>
      <c r="I118" s="145"/>
      <c r="J118" s="121"/>
      <c r="K118" s="156"/>
      <c r="L118" s="156"/>
      <c r="M118" s="156"/>
      <c r="N118" s="158"/>
      <c r="O118" s="159"/>
      <c r="P118" s="159"/>
      <c r="Q118" s="159"/>
      <c r="R118" s="160"/>
      <c r="S118" s="77"/>
      <c r="T118" s="149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spans="1:36" ht="19.5" customHeight="1" x14ac:dyDescent="0.3">
      <c r="A119" s="70"/>
      <c r="B119" s="167"/>
      <c r="C119" s="168"/>
      <c r="D119" s="156"/>
      <c r="E119" s="169"/>
      <c r="F119" s="110"/>
      <c r="G119" s="110"/>
      <c r="H119" s="157"/>
      <c r="I119" s="145"/>
      <c r="J119" s="121"/>
      <c r="K119" s="156"/>
      <c r="L119" s="156"/>
      <c r="M119" s="156"/>
      <c r="N119" s="158"/>
      <c r="O119" s="159"/>
      <c r="P119" s="159"/>
      <c r="Q119" s="159"/>
      <c r="R119" s="160"/>
      <c r="S119" s="77"/>
      <c r="T119" s="149"/>
      <c r="U119" s="94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spans="1:36" ht="19.5" customHeight="1" x14ac:dyDescent="0.3">
      <c r="A120" s="70"/>
      <c r="B120" s="167"/>
      <c r="C120" s="168"/>
      <c r="D120" s="156"/>
      <c r="E120" s="169"/>
      <c r="F120" s="110"/>
      <c r="G120" s="110"/>
      <c r="H120" s="157"/>
      <c r="I120" s="145"/>
      <c r="J120" s="121"/>
      <c r="K120" s="156"/>
      <c r="L120" s="156"/>
      <c r="M120" s="156"/>
      <c r="N120" s="158"/>
      <c r="O120" s="159"/>
      <c r="P120" s="159"/>
      <c r="Q120" s="159"/>
      <c r="R120" s="160"/>
      <c r="S120" s="77"/>
      <c r="T120" s="149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spans="1:36" ht="19.5" customHeight="1" x14ac:dyDescent="0.3">
      <c r="A121" s="70"/>
      <c r="B121" s="167"/>
      <c r="C121" s="168"/>
      <c r="D121" s="156"/>
      <c r="E121" s="169"/>
      <c r="F121" s="110"/>
      <c r="G121" s="110"/>
      <c r="H121" s="157"/>
      <c r="I121" s="145"/>
      <c r="J121" s="121"/>
      <c r="K121" s="156"/>
      <c r="L121" s="156"/>
      <c r="M121" s="156"/>
      <c r="N121" s="158"/>
      <c r="O121" s="159"/>
      <c r="P121" s="159"/>
      <c r="Q121" s="159"/>
      <c r="R121" s="160"/>
      <c r="S121" s="77"/>
      <c r="T121" s="149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spans="1:36" ht="19.5" customHeight="1" x14ac:dyDescent="0.3">
      <c r="A122" s="70"/>
      <c r="B122" s="167"/>
      <c r="C122" s="168"/>
      <c r="D122" s="156"/>
      <c r="E122" s="169"/>
      <c r="F122" s="110"/>
      <c r="G122" s="110"/>
      <c r="H122" s="157"/>
      <c r="I122" s="145"/>
      <c r="J122" s="121"/>
      <c r="K122" s="156"/>
      <c r="L122" s="156"/>
      <c r="M122" s="156"/>
      <c r="N122" s="158"/>
      <c r="O122" s="159"/>
      <c r="P122" s="159"/>
      <c r="Q122" s="159"/>
      <c r="R122" s="160"/>
      <c r="S122" s="77"/>
      <c r="T122" s="149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spans="1:36" ht="19.5" customHeight="1" x14ac:dyDescent="0.3">
      <c r="A123" s="70"/>
      <c r="B123" s="167"/>
      <c r="C123" s="168"/>
      <c r="D123" s="156"/>
      <c r="E123" s="169"/>
      <c r="F123" s="110"/>
      <c r="G123" s="110"/>
      <c r="H123" s="157"/>
      <c r="I123" s="145"/>
      <c r="J123" s="121"/>
      <c r="K123" s="156"/>
      <c r="L123" s="156"/>
      <c r="M123" s="156"/>
      <c r="N123" s="158"/>
      <c r="O123" s="159"/>
      <c r="P123" s="159"/>
      <c r="Q123" s="159"/>
      <c r="R123" s="160"/>
      <c r="S123" s="77"/>
      <c r="T123" s="149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spans="1:36" ht="19.5" customHeight="1" x14ac:dyDescent="0.3">
      <c r="A124" s="70"/>
      <c r="B124" s="167"/>
      <c r="C124" s="168"/>
      <c r="D124" s="156"/>
      <c r="E124" s="169"/>
      <c r="F124" s="110"/>
      <c r="G124" s="110"/>
      <c r="H124" s="157"/>
      <c r="I124" s="145"/>
      <c r="J124" s="121"/>
      <c r="K124" s="156"/>
      <c r="L124" s="156"/>
      <c r="M124" s="156"/>
      <c r="N124" s="158"/>
      <c r="O124" s="159"/>
      <c r="P124" s="159"/>
      <c r="Q124" s="159"/>
      <c r="R124" s="160"/>
      <c r="S124" s="77"/>
      <c r="T124" s="149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spans="1:36" ht="19.5" customHeight="1" x14ac:dyDescent="0.3">
      <c r="A125" s="70"/>
      <c r="B125" s="167"/>
      <c r="C125" s="170"/>
      <c r="D125" s="156"/>
      <c r="E125" s="169"/>
      <c r="F125" s="110"/>
      <c r="G125" s="110"/>
      <c r="H125" s="157"/>
      <c r="I125" s="145"/>
      <c r="J125" s="121"/>
      <c r="K125" s="156"/>
      <c r="L125" s="156"/>
      <c r="M125" s="156"/>
      <c r="N125" s="158"/>
      <c r="O125" s="159"/>
      <c r="P125" s="159"/>
      <c r="Q125" s="159"/>
      <c r="R125" s="160"/>
      <c r="S125" s="77"/>
      <c r="T125" s="149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spans="1:36" ht="19.5" customHeight="1" x14ac:dyDescent="0.3">
      <c r="A126" s="70"/>
      <c r="B126" s="167"/>
      <c r="C126" s="168"/>
      <c r="D126" s="156"/>
      <c r="E126" s="169"/>
      <c r="F126" s="110"/>
      <c r="G126" s="110"/>
      <c r="H126" s="157"/>
      <c r="I126" s="145"/>
      <c r="J126" s="121"/>
      <c r="K126" s="156"/>
      <c r="L126" s="156"/>
      <c r="M126" s="156"/>
      <c r="N126" s="158"/>
      <c r="O126" s="159"/>
      <c r="P126" s="159"/>
      <c r="Q126" s="159"/>
      <c r="R126" s="160"/>
      <c r="S126" s="77"/>
      <c r="T126" s="149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spans="1:36" ht="19.5" customHeight="1" x14ac:dyDescent="0.3">
      <c r="A127" s="70"/>
      <c r="B127" s="171"/>
      <c r="C127" s="172"/>
      <c r="D127" s="173"/>
      <c r="E127" s="172"/>
      <c r="F127" s="174"/>
      <c r="G127" s="110"/>
      <c r="H127" s="157"/>
      <c r="I127" s="145"/>
      <c r="J127" s="121"/>
      <c r="K127" s="156"/>
      <c r="L127" s="156"/>
      <c r="M127" s="156"/>
      <c r="N127" s="158"/>
      <c r="O127" s="159"/>
      <c r="P127" s="159"/>
      <c r="Q127" s="159"/>
      <c r="R127" s="160"/>
      <c r="S127" s="77"/>
      <c r="T127" s="149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spans="1:36" ht="19.5" customHeight="1" x14ac:dyDescent="0.3">
      <c r="A128" s="70"/>
      <c r="B128" s="171"/>
      <c r="C128" s="172"/>
      <c r="D128" s="173"/>
      <c r="E128" s="172"/>
      <c r="F128" s="174"/>
      <c r="G128" s="110"/>
      <c r="H128" s="157"/>
      <c r="I128" s="145"/>
      <c r="J128" s="121"/>
      <c r="K128" s="156"/>
      <c r="L128" s="156"/>
      <c r="M128" s="156"/>
      <c r="N128" s="158"/>
      <c r="O128" s="159"/>
      <c r="P128" s="159"/>
      <c r="Q128" s="159"/>
      <c r="R128" s="160"/>
      <c r="S128" s="77"/>
      <c r="T128" s="149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spans="1:36" ht="19.5" customHeight="1" x14ac:dyDescent="0.3">
      <c r="A129" s="70"/>
      <c r="B129" s="167"/>
      <c r="C129" s="175"/>
      <c r="D129" s="156"/>
      <c r="E129" s="169"/>
      <c r="F129" s="110"/>
      <c r="G129" s="110"/>
      <c r="H129" s="157"/>
      <c r="I129" s="145"/>
      <c r="J129" s="121"/>
      <c r="K129" s="156"/>
      <c r="L129" s="156"/>
      <c r="M129" s="156"/>
      <c r="N129" s="158"/>
      <c r="O129" s="159"/>
      <c r="P129" s="159"/>
      <c r="Q129" s="159"/>
      <c r="R129" s="160"/>
      <c r="S129" s="77"/>
      <c r="T129" s="149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spans="1:36" ht="19.5" customHeight="1" x14ac:dyDescent="0.3">
      <c r="A130" s="70"/>
      <c r="B130" s="176"/>
      <c r="C130" s="176"/>
      <c r="D130" s="156"/>
      <c r="E130" s="176"/>
      <c r="F130" s="110"/>
      <c r="G130" s="110"/>
      <c r="H130" s="157"/>
      <c r="I130" s="145"/>
      <c r="J130" s="121"/>
      <c r="K130" s="156"/>
      <c r="L130" s="156"/>
      <c r="M130" s="156"/>
      <c r="N130" s="158"/>
      <c r="O130" s="159"/>
      <c r="P130" s="159"/>
      <c r="Q130" s="159"/>
      <c r="R130" s="160"/>
      <c r="S130" s="77"/>
      <c r="T130" s="149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spans="1:36" ht="19.5" customHeight="1" x14ac:dyDescent="0.3">
      <c r="A131" s="70"/>
      <c r="B131" s="176"/>
      <c r="C131" s="176"/>
      <c r="D131" s="156"/>
      <c r="E131" s="176"/>
      <c r="F131" s="110"/>
      <c r="G131" s="110"/>
      <c r="H131" s="157"/>
      <c r="I131" s="145"/>
      <c r="J131" s="121"/>
      <c r="K131" s="156"/>
      <c r="L131" s="156"/>
      <c r="M131" s="156"/>
      <c r="N131" s="158"/>
      <c r="O131" s="159"/>
      <c r="P131" s="159"/>
      <c r="Q131" s="159"/>
      <c r="R131" s="160"/>
      <c r="S131" s="77"/>
      <c r="T131" s="149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spans="1:36" ht="19.5" customHeight="1" x14ac:dyDescent="0.3">
      <c r="A132" s="70"/>
      <c r="B132" s="177"/>
      <c r="C132" s="176"/>
      <c r="D132" s="156"/>
      <c r="E132" s="176"/>
      <c r="F132" s="110"/>
      <c r="G132" s="110"/>
      <c r="H132" s="157"/>
      <c r="I132" s="145"/>
      <c r="J132" s="121"/>
      <c r="K132" s="156"/>
      <c r="L132" s="156"/>
      <c r="M132" s="156"/>
      <c r="N132" s="158"/>
      <c r="O132" s="159"/>
      <c r="P132" s="159"/>
      <c r="Q132" s="159"/>
      <c r="R132" s="160"/>
      <c r="S132" s="77"/>
      <c r="T132" s="149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spans="1:36" ht="19.5" customHeight="1" x14ac:dyDescent="0.3">
      <c r="A133" s="70"/>
      <c r="B133" s="156"/>
      <c r="C133" s="156"/>
      <c r="D133" s="156"/>
      <c r="E133" s="157"/>
      <c r="F133" s="110"/>
      <c r="G133" s="157"/>
      <c r="H133" s="157"/>
      <c r="I133" s="145"/>
      <c r="J133" s="121"/>
      <c r="K133" s="156"/>
      <c r="L133" s="156"/>
      <c r="M133" s="156"/>
      <c r="N133" s="158"/>
      <c r="O133" s="159"/>
      <c r="P133" s="159"/>
      <c r="Q133" s="159"/>
      <c r="R133" s="160"/>
      <c r="S133" s="77"/>
      <c r="T133" s="149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spans="1:36" s="142" customFormat="1" ht="19.5" customHeight="1" x14ac:dyDescent="0.3">
      <c r="A134" s="132"/>
      <c r="B134" s="133"/>
      <c r="C134" s="133"/>
      <c r="D134" s="137"/>
      <c r="E134" s="152"/>
      <c r="F134" s="152"/>
      <c r="G134" s="152"/>
      <c r="H134" s="152"/>
      <c r="I134" s="136"/>
      <c r="J134" s="137"/>
      <c r="K134" s="137"/>
      <c r="L134" s="137"/>
      <c r="M134" s="137"/>
      <c r="N134" s="153"/>
      <c r="O134" s="139"/>
      <c r="P134" s="139"/>
      <c r="Q134" s="139"/>
      <c r="R134" s="140"/>
      <c r="S134" s="141"/>
      <c r="T134" s="149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</row>
    <row r="135" spans="1:36" ht="19.5" customHeight="1" x14ac:dyDescent="0.3">
      <c r="A135" s="94"/>
      <c r="B135" s="178"/>
      <c r="C135" s="179"/>
      <c r="D135" s="180"/>
      <c r="E135" s="179"/>
      <c r="F135" s="110"/>
      <c r="G135" s="110"/>
      <c r="H135" s="157"/>
      <c r="I135" s="145"/>
      <c r="J135" s="112"/>
      <c r="K135" s="156"/>
      <c r="L135" s="156"/>
      <c r="M135" s="156"/>
      <c r="N135" s="158"/>
      <c r="O135" s="159"/>
      <c r="P135" s="159"/>
      <c r="Q135" s="159"/>
      <c r="R135" s="160"/>
      <c r="S135" s="115"/>
      <c r="T135" s="149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9.5" customHeight="1" x14ac:dyDescent="0.3">
      <c r="A136" s="94"/>
      <c r="B136" s="178"/>
      <c r="C136" s="179"/>
      <c r="D136" s="180"/>
      <c r="E136" s="179"/>
      <c r="F136" s="110"/>
      <c r="G136" s="110"/>
      <c r="H136" s="157"/>
      <c r="I136" s="145"/>
      <c r="J136" s="112"/>
      <c r="K136" s="156"/>
      <c r="L136" s="156"/>
      <c r="M136" s="156"/>
      <c r="N136" s="158"/>
      <c r="O136" s="159"/>
      <c r="P136" s="159"/>
      <c r="Q136" s="159"/>
      <c r="R136" s="160"/>
      <c r="S136" s="115"/>
      <c r="T136" s="149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</row>
    <row r="137" spans="1:36" ht="19.5" customHeight="1" x14ac:dyDescent="0.3">
      <c r="A137" s="70"/>
      <c r="B137" s="175"/>
      <c r="C137" s="175"/>
      <c r="D137" s="156"/>
      <c r="E137" s="179"/>
      <c r="F137" s="110"/>
      <c r="G137" s="110"/>
      <c r="H137" s="157"/>
      <c r="I137" s="145"/>
      <c r="J137" s="121"/>
      <c r="K137" s="156"/>
      <c r="L137" s="156"/>
      <c r="M137" s="156"/>
      <c r="N137" s="158"/>
      <c r="O137" s="159"/>
      <c r="P137" s="159"/>
      <c r="Q137" s="159"/>
      <c r="R137" s="160"/>
      <c r="S137" s="77"/>
      <c r="T137" s="149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spans="1:36" ht="19.5" customHeight="1" x14ac:dyDescent="0.3">
      <c r="A138" s="70"/>
      <c r="B138" s="175"/>
      <c r="C138" s="175"/>
      <c r="D138" s="156"/>
      <c r="E138" s="181"/>
      <c r="F138" s="110"/>
      <c r="G138" s="110"/>
      <c r="H138" s="157"/>
      <c r="I138" s="145"/>
      <c r="J138" s="121"/>
      <c r="K138" s="156"/>
      <c r="L138" s="156"/>
      <c r="M138" s="156"/>
      <c r="N138" s="158"/>
      <c r="O138" s="159"/>
      <c r="P138" s="159"/>
      <c r="Q138" s="159"/>
      <c r="R138" s="160"/>
      <c r="S138" s="77"/>
      <c r="T138" s="149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spans="1:36" ht="19.5" customHeight="1" x14ac:dyDescent="0.3">
      <c r="A139" s="70"/>
      <c r="B139" s="175"/>
      <c r="C139" s="175"/>
      <c r="D139" s="156"/>
      <c r="E139" s="181"/>
      <c r="F139" s="110"/>
      <c r="G139" s="110"/>
      <c r="H139" s="157"/>
      <c r="I139" s="145"/>
      <c r="J139" s="121"/>
      <c r="K139" s="156"/>
      <c r="L139" s="156"/>
      <c r="M139" s="156"/>
      <c r="N139" s="158"/>
      <c r="O139" s="159"/>
      <c r="P139" s="159"/>
      <c r="Q139" s="159"/>
      <c r="R139" s="160"/>
      <c r="S139" s="77"/>
      <c r="T139" s="149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spans="1:36" ht="19.5" customHeight="1" x14ac:dyDescent="0.3">
      <c r="A140" s="70"/>
      <c r="B140" s="175"/>
      <c r="C140" s="175"/>
      <c r="D140" s="156"/>
      <c r="E140" s="181"/>
      <c r="F140" s="110"/>
      <c r="G140" s="110"/>
      <c r="H140" s="157"/>
      <c r="I140" s="145"/>
      <c r="J140" s="121"/>
      <c r="K140" s="156"/>
      <c r="L140" s="156"/>
      <c r="M140" s="156"/>
      <c r="N140" s="158"/>
      <c r="O140" s="159"/>
      <c r="P140" s="159"/>
      <c r="Q140" s="159"/>
      <c r="R140" s="160"/>
      <c r="S140" s="77"/>
      <c r="T140" s="149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spans="1:36" ht="19.5" customHeight="1" x14ac:dyDescent="0.3">
      <c r="A141" s="70"/>
      <c r="B141" s="175"/>
      <c r="C141" s="175"/>
      <c r="D141" s="156"/>
      <c r="E141" s="179"/>
      <c r="F141" s="110"/>
      <c r="G141" s="110"/>
      <c r="H141" s="157"/>
      <c r="I141" s="145"/>
      <c r="J141" s="121"/>
      <c r="K141" s="156"/>
      <c r="L141" s="156"/>
      <c r="M141" s="156"/>
      <c r="N141" s="158"/>
      <c r="O141" s="159"/>
      <c r="P141" s="159"/>
      <c r="Q141" s="159"/>
      <c r="R141" s="160"/>
      <c r="S141" s="77"/>
      <c r="T141" s="149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spans="1:36" ht="19.5" customHeight="1" x14ac:dyDescent="0.3">
      <c r="A142" s="70"/>
      <c r="B142" s="175"/>
      <c r="C142" s="175"/>
      <c r="D142" s="156"/>
      <c r="E142" s="179"/>
      <c r="F142" s="110"/>
      <c r="G142" s="110"/>
      <c r="H142" s="157"/>
      <c r="I142" s="145"/>
      <c r="J142" s="121"/>
      <c r="K142" s="156"/>
      <c r="L142" s="156"/>
      <c r="M142" s="156"/>
      <c r="N142" s="158"/>
      <c r="O142" s="159"/>
      <c r="P142" s="159"/>
      <c r="Q142" s="159"/>
      <c r="R142" s="160"/>
      <c r="S142" s="77"/>
      <c r="T142" s="149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spans="1:36" ht="19.5" customHeight="1" x14ac:dyDescent="0.3">
      <c r="A143" s="70"/>
      <c r="B143" s="156"/>
      <c r="C143" s="156"/>
      <c r="D143" s="156"/>
      <c r="E143" s="157"/>
      <c r="F143" s="110"/>
      <c r="G143" s="157"/>
      <c r="H143" s="157"/>
      <c r="I143" s="145"/>
      <c r="J143" s="121"/>
      <c r="K143" s="156"/>
      <c r="L143" s="156"/>
      <c r="M143" s="156"/>
      <c r="N143" s="158"/>
      <c r="O143" s="159"/>
      <c r="P143" s="159"/>
      <c r="Q143" s="159"/>
      <c r="R143" s="160"/>
      <c r="S143" s="77"/>
      <c r="T143" s="149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spans="1:36" s="142" customFormat="1" ht="19.5" customHeight="1" x14ac:dyDescent="0.3">
      <c r="A144" s="132"/>
      <c r="B144" s="133"/>
      <c r="C144" s="133"/>
      <c r="D144" s="137"/>
      <c r="E144" s="152"/>
      <c r="F144" s="152"/>
      <c r="G144" s="152"/>
      <c r="H144" s="152"/>
      <c r="I144" s="136"/>
      <c r="J144" s="137"/>
      <c r="K144" s="137"/>
      <c r="L144" s="137"/>
      <c r="M144" s="137"/>
      <c r="N144" s="153"/>
      <c r="O144" s="139"/>
      <c r="P144" s="139"/>
      <c r="Q144" s="139"/>
      <c r="R144" s="140"/>
      <c r="S144" s="141"/>
      <c r="T144" s="149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</row>
    <row r="145" spans="1:36" s="183" customFormat="1" ht="19.5" customHeight="1" x14ac:dyDescent="0.3">
      <c r="A145" s="94"/>
      <c r="B145" s="167"/>
      <c r="C145" s="168"/>
      <c r="D145" s="182"/>
      <c r="E145" s="169"/>
      <c r="F145" s="110"/>
      <c r="G145" s="110"/>
      <c r="H145" s="157"/>
      <c r="I145" s="145"/>
      <c r="J145" s="112"/>
      <c r="K145" s="156"/>
      <c r="L145" s="156"/>
      <c r="M145" s="156"/>
      <c r="N145" s="158"/>
      <c r="O145" s="159"/>
      <c r="P145" s="159"/>
      <c r="Q145" s="159"/>
      <c r="R145" s="160"/>
      <c r="S145" s="115"/>
      <c r="T145" s="149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</row>
    <row r="146" spans="1:36" s="183" customFormat="1" ht="19.5" customHeight="1" x14ac:dyDescent="0.3">
      <c r="A146" s="94"/>
      <c r="B146" s="167"/>
      <c r="C146" s="168"/>
      <c r="D146" s="182"/>
      <c r="E146" s="169"/>
      <c r="F146" s="110"/>
      <c r="G146" s="110"/>
      <c r="H146" s="157"/>
      <c r="I146" s="145"/>
      <c r="J146" s="112"/>
      <c r="K146" s="156"/>
      <c r="L146" s="156"/>
      <c r="M146" s="156"/>
      <c r="N146" s="158"/>
      <c r="O146" s="159"/>
      <c r="P146" s="159"/>
      <c r="Q146" s="159"/>
      <c r="R146" s="160"/>
      <c r="S146" s="115"/>
      <c r="T146" s="149"/>
      <c r="U146" s="70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</row>
    <row r="147" spans="1:36" s="183" customFormat="1" ht="19.5" customHeight="1" x14ac:dyDescent="0.3">
      <c r="A147" s="94"/>
      <c r="B147" s="167"/>
      <c r="C147" s="168"/>
      <c r="D147" s="182"/>
      <c r="E147" s="169"/>
      <c r="F147" s="110"/>
      <c r="G147" s="110"/>
      <c r="H147" s="157"/>
      <c r="I147" s="145"/>
      <c r="J147" s="112"/>
      <c r="K147" s="156"/>
      <c r="L147" s="156"/>
      <c r="M147" s="156"/>
      <c r="N147" s="158"/>
      <c r="O147" s="159"/>
      <c r="P147" s="159"/>
      <c r="Q147" s="159"/>
      <c r="R147" s="160"/>
      <c r="S147" s="115"/>
      <c r="T147" s="149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</row>
    <row r="148" spans="1:36" s="183" customFormat="1" ht="19.5" customHeight="1" x14ac:dyDescent="0.3">
      <c r="A148" s="94"/>
      <c r="B148" s="167"/>
      <c r="C148" s="168"/>
      <c r="D148" s="182"/>
      <c r="E148" s="169"/>
      <c r="F148" s="110"/>
      <c r="G148" s="110"/>
      <c r="H148" s="157"/>
      <c r="I148" s="145"/>
      <c r="J148" s="112"/>
      <c r="K148" s="156"/>
      <c r="L148" s="156"/>
      <c r="M148" s="156"/>
      <c r="N148" s="158"/>
      <c r="O148" s="159"/>
      <c r="P148" s="159"/>
      <c r="Q148" s="159"/>
      <c r="R148" s="160"/>
      <c r="S148" s="115"/>
      <c r="T148" s="149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</row>
    <row r="149" spans="1:36" s="183" customFormat="1" ht="19.5" customHeight="1" x14ac:dyDescent="0.3">
      <c r="A149" s="94"/>
      <c r="B149" s="167"/>
      <c r="C149" s="168"/>
      <c r="D149" s="182"/>
      <c r="E149" s="169"/>
      <c r="F149" s="110"/>
      <c r="G149" s="110"/>
      <c r="H149" s="157"/>
      <c r="I149" s="145"/>
      <c r="J149" s="112"/>
      <c r="K149" s="156"/>
      <c r="L149" s="156"/>
      <c r="M149" s="156"/>
      <c r="N149" s="158"/>
      <c r="O149" s="159"/>
      <c r="P149" s="159"/>
      <c r="Q149" s="159"/>
      <c r="R149" s="160"/>
      <c r="S149" s="115"/>
      <c r="T149" s="149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</row>
    <row r="150" spans="1:36" s="183" customFormat="1" ht="19.5" customHeight="1" x14ac:dyDescent="0.3">
      <c r="A150" s="94"/>
      <c r="B150" s="167"/>
      <c r="C150" s="168"/>
      <c r="D150" s="182"/>
      <c r="E150" s="169"/>
      <c r="F150" s="110"/>
      <c r="G150" s="110"/>
      <c r="H150" s="157"/>
      <c r="I150" s="145"/>
      <c r="J150" s="112"/>
      <c r="K150" s="156"/>
      <c r="L150" s="156"/>
      <c r="M150" s="156"/>
      <c r="N150" s="158"/>
      <c r="O150" s="159"/>
      <c r="P150" s="159"/>
      <c r="Q150" s="159"/>
      <c r="R150" s="160"/>
      <c r="S150" s="115"/>
      <c r="T150" s="149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</row>
    <row r="151" spans="1:36" s="183" customFormat="1" ht="19.5" customHeight="1" x14ac:dyDescent="0.3">
      <c r="A151" s="94"/>
      <c r="B151" s="167"/>
      <c r="C151" s="168"/>
      <c r="D151" s="182"/>
      <c r="E151" s="169"/>
      <c r="F151" s="110"/>
      <c r="G151" s="110"/>
      <c r="H151" s="157"/>
      <c r="I151" s="145"/>
      <c r="J151" s="112"/>
      <c r="K151" s="156"/>
      <c r="L151" s="156"/>
      <c r="M151" s="156"/>
      <c r="N151" s="158"/>
      <c r="O151" s="159"/>
      <c r="P151" s="159"/>
      <c r="Q151" s="159"/>
      <c r="R151" s="160"/>
      <c r="S151" s="115"/>
      <c r="T151" s="149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</row>
    <row r="152" spans="1:36" s="183" customFormat="1" ht="19.5" customHeight="1" x14ac:dyDescent="0.3">
      <c r="A152" s="94"/>
      <c r="B152" s="167"/>
      <c r="C152" s="168"/>
      <c r="D152" s="182"/>
      <c r="E152" s="169"/>
      <c r="F152" s="110"/>
      <c r="G152" s="110"/>
      <c r="H152" s="157"/>
      <c r="I152" s="145"/>
      <c r="J152" s="112"/>
      <c r="K152" s="156"/>
      <c r="L152" s="156"/>
      <c r="M152" s="156"/>
      <c r="N152" s="158"/>
      <c r="O152" s="159"/>
      <c r="P152" s="159"/>
      <c r="Q152" s="159"/>
      <c r="R152" s="160"/>
      <c r="S152" s="115"/>
      <c r="T152" s="149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</row>
    <row r="153" spans="1:36" s="183" customFormat="1" ht="19.5" customHeight="1" x14ac:dyDescent="0.3">
      <c r="A153" s="94"/>
      <c r="B153" s="167"/>
      <c r="C153" s="168"/>
      <c r="D153" s="182"/>
      <c r="E153" s="169"/>
      <c r="F153" s="110"/>
      <c r="G153" s="110"/>
      <c r="H153" s="157"/>
      <c r="I153" s="145"/>
      <c r="J153" s="112"/>
      <c r="K153" s="156"/>
      <c r="L153" s="156"/>
      <c r="M153" s="156"/>
      <c r="N153" s="158"/>
      <c r="O153" s="159"/>
      <c r="P153" s="159"/>
      <c r="Q153" s="159"/>
      <c r="R153" s="160"/>
      <c r="S153" s="115"/>
      <c r="T153" s="149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</row>
    <row r="154" spans="1:36" s="183" customFormat="1" ht="19.5" customHeight="1" x14ac:dyDescent="0.3">
      <c r="A154" s="94"/>
      <c r="B154" s="167"/>
      <c r="C154" s="168"/>
      <c r="D154" s="182"/>
      <c r="E154" s="169"/>
      <c r="F154" s="110"/>
      <c r="G154" s="110"/>
      <c r="H154" s="157"/>
      <c r="I154" s="145"/>
      <c r="J154" s="112"/>
      <c r="K154" s="156"/>
      <c r="L154" s="156"/>
      <c r="M154" s="156"/>
      <c r="N154" s="158"/>
      <c r="O154" s="159"/>
      <c r="P154" s="159"/>
      <c r="Q154" s="159"/>
      <c r="R154" s="160"/>
      <c r="S154" s="115"/>
      <c r="T154" s="149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</row>
    <row r="155" spans="1:36" s="183" customFormat="1" ht="19.5" customHeight="1" x14ac:dyDescent="0.3">
      <c r="A155" s="94"/>
      <c r="B155" s="167"/>
      <c r="C155" s="168"/>
      <c r="D155" s="182"/>
      <c r="E155" s="169"/>
      <c r="F155" s="110"/>
      <c r="G155" s="110"/>
      <c r="H155" s="157"/>
      <c r="I155" s="145"/>
      <c r="J155" s="112"/>
      <c r="K155" s="156"/>
      <c r="L155" s="156"/>
      <c r="M155" s="156"/>
      <c r="N155" s="158"/>
      <c r="O155" s="159"/>
      <c r="P155" s="159"/>
      <c r="Q155" s="159"/>
      <c r="R155" s="160"/>
      <c r="S155" s="115"/>
      <c r="T155" s="149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</row>
    <row r="156" spans="1:36" s="183" customFormat="1" ht="19.5" customHeight="1" x14ac:dyDescent="0.3">
      <c r="A156" s="94"/>
      <c r="B156" s="167"/>
      <c r="C156" s="168"/>
      <c r="D156" s="182"/>
      <c r="E156" s="169"/>
      <c r="F156" s="110"/>
      <c r="G156" s="110"/>
      <c r="H156" s="157"/>
      <c r="I156" s="145"/>
      <c r="J156" s="112"/>
      <c r="K156" s="156"/>
      <c r="L156" s="156"/>
      <c r="M156" s="156"/>
      <c r="N156" s="158"/>
      <c r="O156" s="159"/>
      <c r="P156" s="159"/>
      <c r="Q156" s="159"/>
      <c r="R156" s="160"/>
      <c r="S156" s="115"/>
      <c r="T156" s="149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</row>
    <row r="157" spans="1:36" s="183" customFormat="1" ht="19.5" customHeight="1" x14ac:dyDescent="0.3">
      <c r="A157" s="94"/>
      <c r="B157" s="167"/>
      <c r="C157" s="168"/>
      <c r="D157" s="182"/>
      <c r="E157" s="169"/>
      <c r="F157" s="110"/>
      <c r="G157" s="110"/>
      <c r="H157" s="157"/>
      <c r="I157" s="145"/>
      <c r="J157" s="112"/>
      <c r="K157" s="156"/>
      <c r="L157" s="156"/>
      <c r="M157" s="156"/>
      <c r="N157" s="158"/>
      <c r="O157" s="159"/>
      <c r="P157" s="159"/>
      <c r="Q157" s="159"/>
      <c r="R157" s="160"/>
      <c r="S157" s="115"/>
      <c r="T157" s="149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</row>
    <row r="158" spans="1:36" s="183" customFormat="1" ht="19.5" customHeight="1" x14ac:dyDescent="0.3">
      <c r="A158" s="94"/>
      <c r="B158" s="167"/>
      <c r="C158" s="168"/>
      <c r="D158" s="182"/>
      <c r="E158" s="169"/>
      <c r="F158" s="110"/>
      <c r="G158" s="110"/>
      <c r="H158" s="157"/>
      <c r="I158" s="145"/>
      <c r="J158" s="112"/>
      <c r="K158" s="156"/>
      <c r="L158" s="156"/>
      <c r="M158" s="156"/>
      <c r="N158" s="158"/>
      <c r="O158" s="159"/>
      <c r="P158" s="159"/>
      <c r="Q158" s="159"/>
      <c r="R158" s="160"/>
      <c r="S158" s="115"/>
      <c r="T158" s="149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</row>
    <row r="159" spans="1:36" s="183" customFormat="1" ht="19.5" customHeight="1" x14ac:dyDescent="0.3">
      <c r="A159" s="94"/>
      <c r="B159" s="167"/>
      <c r="C159" s="168"/>
      <c r="D159" s="182"/>
      <c r="E159" s="169"/>
      <c r="F159" s="110"/>
      <c r="G159" s="110"/>
      <c r="H159" s="157"/>
      <c r="I159" s="145"/>
      <c r="J159" s="112"/>
      <c r="K159" s="156"/>
      <c r="L159" s="156"/>
      <c r="M159" s="156"/>
      <c r="N159" s="158"/>
      <c r="O159" s="159"/>
      <c r="P159" s="159"/>
      <c r="Q159" s="159"/>
      <c r="R159" s="160"/>
      <c r="S159" s="115"/>
      <c r="T159" s="149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</row>
    <row r="160" spans="1:36" s="183" customFormat="1" ht="19.5" customHeight="1" x14ac:dyDescent="0.3">
      <c r="A160" s="94"/>
      <c r="B160" s="167"/>
      <c r="C160" s="168"/>
      <c r="D160" s="182"/>
      <c r="E160" s="169"/>
      <c r="F160" s="110"/>
      <c r="G160" s="110"/>
      <c r="H160" s="157"/>
      <c r="I160" s="145"/>
      <c r="J160" s="112"/>
      <c r="K160" s="156"/>
      <c r="L160" s="156"/>
      <c r="M160" s="156"/>
      <c r="N160" s="158"/>
      <c r="O160" s="159"/>
      <c r="P160" s="159"/>
      <c r="Q160" s="159"/>
      <c r="R160" s="160"/>
      <c r="S160" s="115"/>
      <c r="T160" s="149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</row>
    <row r="161" spans="1:36" s="183" customFormat="1" ht="19.5" customHeight="1" x14ac:dyDescent="0.3">
      <c r="A161" s="94"/>
      <c r="B161" s="167"/>
      <c r="C161" s="168"/>
      <c r="D161" s="182"/>
      <c r="E161" s="169"/>
      <c r="F161" s="110"/>
      <c r="G161" s="110"/>
      <c r="H161" s="157"/>
      <c r="I161" s="145"/>
      <c r="J161" s="112"/>
      <c r="K161" s="156"/>
      <c r="L161" s="156"/>
      <c r="M161" s="156"/>
      <c r="N161" s="158"/>
      <c r="O161" s="159"/>
      <c r="P161" s="159"/>
      <c r="Q161" s="159"/>
      <c r="R161" s="160"/>
      <c r="S161" s="115"/>
      <c r="T161" s="149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</row>
    <row r="162" spans="1:36" s="183" customFormat="1" ht="19.5" customHeight="1" x14ac:dyDescent="0.3">
      <c r="A162" s="94"/>
      <c r="B162" s="167"/>
      <c r="C162" s="168"/>
      <c r="D162" s="182"/>
      <c r="E162" s="169"/>
      <c r="F162" s="110"/>
      <c r="G162" s="110"/>
      <c r="H162" s="157"/>
      <c r="I162" s="145"/>
      <c r="J162" s="112"/>
      <c r="K162" s="156"/>
      <c r="L162" s="156"/>
      <c r="M162" s="156"/>
      <c r="N162" s="158"/>
      <c r="O162" s="159"/>
      <c r="P162" s="159"/>
      <c r="Q162" s="159"/>
      <c r="R162" s="160"/>
      <c r="S162" s="115"/>
      <c r="T162" s="149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</row>
    <row r="163" spans="1:36" s="183" customFormat="1" ht="19.5" customHeight="1" x14ac:dyDescent="0.3">
      <c r="A163" s="94"/>
      <c r="B163" s="170"/>
      <c r="C163" s="168"/>
      <c r="D163" s="182"/>
      <c r="E163" s="168"/>
      <c r="F163" s="110"/>
      <c r="G163" s="157"/>
      <c r="H163" s="157"/>
      <c r="I163" s="145"/>
      <c r="J163" s="112"/>
      <c r="K163" s="156"/>
      <c r="L163" s="156"/>
      <c r="M163" s="156"/>
      <c r="N163" s="158"/>
      <c r="O163" s="159"/>
      <c r="P163" s="159"/>
      <c r="Q163" s="159"/>
      <c r="R163" s="160"/>
      <c r="S163" s="115"/>
      <c r="T163" s="149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</row>
    <row r="164" spans="1:36" s="183" customFormat="1" ht="19.5" customHeight="1" x14ac:dyDescent="0.3">
      <c r="A164" s="94"/>
      <c r="B164" s="170"/>
      <c r="C164" s="168"/>
      <c r="D164" s="182"/>
      <c r="E164" s="168"/>
      <c r="F164" s="110"/>
      <c r="G164" s="157"/>
      <c r="H164" s="157"/>
      <c r="I164" s="145"/>
      <c r="J164" s="112"/>
      <c r="K164" s="156"/>
      <c r="L164" s="156"/>
      <c r="M164" s="156"/>
      <c r="N164" s="158"/>
      <c r="O164" s="159"/>
      <c r="P164" s="159"/>
      <c r="Q164" s="159"/>
      <c r="R164" s="160"/>
      <c r="S164" s="115"/>
      <c r="T164" s="149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</row>
    <row r="165" spans="1:36" s="183" customFormat="1" ht="19.5" customHeight="1" x14ac:dyDescent="0.3">
      <c r="A165" s="94"/>
      <c r="B165" s="170"/>
      <c r="C165" s="168"/>
      <c r="D165" s="182"/>
      <c r="E165" s="168"/>
      <c r="F165" s="110"/>
      <c r="G165" s="157"/>
      <c r="H165" s="157"/>
      <c r="I165" s="145"/>
      <c r="J165" s="112"/>
      <c r="K165" s="156"/>
      <c r="L165" s="156"/>
      <c r="M165" s="156"/>
      <c r="N165" s="158"/>
      <c r="O165" s="159"/>
      <c r="P165" s="159"/>
      <c r="Q165" s="159"/>
      <c r="R165" s="160"/>
      <c r="S165" s="115"/>
      <c r="T165" s="149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</row>
    <row r="166" spans="1:36" s="183" customFormat="1" ht="19.5" customHeight="1" x14ac:dyDescent="0.3">
      <c r="A166" s="94"/>
      <c r="B166" s="170"/>
      <c r="C166" s="168"/>
      <c r="D166" s="182"/>
      <c r="E166" s="168"/>
      <c r="F166" s="110"/>
      <c r="G166" s="157"/>
      <c r="H166" s="157"/>
      <c r="I166" s="145"/>
      <c r="J166" s="112"/>
      <c r="K166" s="156"/>
      <c r="L166" s="156"/>
      <c r="M166" s="156"/>
      <c r="N166" s="158"/>
      <c r="O166" s="159"/>
      <c r="P166" s="159"/>
      <c r="Q166" s="159"/>
      <c r="R166" s="160"/>
      <c r="S166" s="115"/>
      <c r="T166" s="149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</row>
    <row r="167" spans="1:36" s="183" customFormat="1" ht="19.5" customHeight="1" x14ac:dyDescent="0.3">
      <c r="A167" s="94"/>
      <c r="B167" s="170"/>
      <c r="C167" s="184"/>
      <c r="D167" s="182"/>
      <c r="E167" s="168"/>
      <c r="F167" s="110"/>
      <c r="G167" s="157"/>
      <c r="H167" s="157"/>
      <c r="I167" s="145"/>
      <c r="J167" s="112"/>
      <c r="K167" s="156"/>
      <c r="L167" s="156"/>
      <c r="M167" s="156"/>
      <c r="N167" s="158"/>
      <c r="O167" s="159"/>
      <c r="P167" s="159"/>
      <c r="Q167" s="159"/>
      <c r="R167" s="160"/>
      <c r="S167" s="115"/>
      <c r="T167" s="149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</row>
    <row r="168" spans="1:36" s="183" customFormat="1" ht="19.5" customHeight="1" x14ac:dyDescent="0.3">
      <c r="A168" s="94"/>
      <c r="B168" s="170"/>
      <c r="C168" s="184"/>
      <c r="D168" s="182"/>
      <c r="E168" s="168"/>
      <c r="F168" s="110"/>
      <c r="G168" s="157"/>
      <c r="H168" s="157"/>
      <c r="I168" s="145"/>
      <c r="J168" s="112"/>
      <c r="K168" s="156"/>
      <c r="L168" s="156"/>
      <c r="M168" s="156"/>
      <c r="N168" s="158"/>
      <c r="O168" s="159"/>
      <c r="P168" s="159"/>
      <c r="Q168" s="159"/>
      <c r="R168" s="160"/>
      <c r="S168" s="115"/>
      <c r="T168" s="149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</row>
    <row r="169" spans="1:36" s="183" customFormat="1" ht="19.5" customHeight="1" x14ac:dyDescent="0.3">
      <c r="A169" s="94"/>
      <c r="B169" s="170"/>
      <c r="C169" s="185"/>
      <c r="D169" s="182"/>
      <c r="E169" s="168"/>
      <c r="F169" s="110"/>
      <c r="G169" s="157"/>
      <c r="H169" s="157"/>
      <c r="I169" s="145"/>
      <c r="J169" s="112"/>
      <c r="K169" s="156"/>
      <c r="L169" s="156"/>
      <c r="M169" s="156"/>
      <c r="N169" s="158"/>
      <c r="O169" s="159"/>
      <c r="P169" s="159"/>
      <c r="Q169" s="159"/>
      <c r="R169" s="160"/>
      <c r="S169" s="115"/>
      <c r="T169" s="149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</row>
    <row r="170" spans="1:36" s="183" customFormat="1" ht="19.5" customHeight="1" x14ac:dyDescent="0.3">
      <c r="A170" s="94"/>
      <c r="B170" s="170"/>
      <c r="C170" s="168"/>
      <c r="D170" s="182"/>
      <c r="E170" s="168"/>
      <c r="F170" s="110"/>
      <c r="G170" s="157"/>
      <c r="H170" s="157"/>
      <c r="I170" s="145"/>
      <c r="J170" s="112"/>
      <c r="K170" s="156"/>
      <c r="L170" s="156"/>
      <c r="M170" s="156"/>
      <c r="N170" s="158"/>
      <c r="O170" s="159"/>
      <c r="P170" s="159"/>
      <c r="Q170" s="159"/>
      <c r="R170" s="160"/>
      <c r="S170" s="115"/>
      <c r="T170" s="149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</row>
    <row r="171" spans="1:36" s="183" customFormat="1" ht="19.5" customHeight="1" x14ac:dyDescent="0.3">
      <c r="A171" s="94"/>
      <c r="B171" s="186"/>
      <c r="C171" s="186"/>
      <c r="D171" s="182"/>
      <c r="E171" s="186"/>
      <c r="F171" s="110"/>
      <c r="G171" s="157"/>
      <c r="H171" s="157"/>
      <c r="I171" s="145"/>
      <c r="J171" s="112"/>
      <c r="K171" s="156"/>
      <c r="L171" s="156"/>
      <c r="M171" s="156"/>
      <c r="N171" s="158"/>
      <c r="O171" s="159"/>
      <c r="P171" s="159"/>
      <c r="Q171" s="159"/>
      <c r="R171" s="160"/>
      <c r="S171" s="115"/>
      <c r="T171" s="149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</row>
    <row r="172" spans="1:36" s="183" customFormat="1" ht="19.5" customHeight="1" x14ac:dyDescent="0.3">
      <c r="A172" s="94"/>
      <c r="B172" s="186"/>
      <c r="C172" s="186"/>
      <c r="D172" s="182"/>
      <c r="E172" s="186"/>
      <c r="F172" s="110"/>
      <c r="G172" s="157"/>
      <c r="H172" s="157"/>
      <c r="I172" s="145"/>
      <c r="J172" s="112"/>
      <c r="K172" s="156"/>
      <c r="L172" s="156"/>
      <c r="M172" s="156"/>
      <c r="N172" s="158"/>
      <c r="O172" s="159"/>
      <c r="P172" s="159"/>
      <c r="Q172" s="159"/>
      <c r="R172" s="160"/>
      <c r="S172" s="115"/>
      <c r="T172" s="149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</row>
    <row r="173" spans="1:36" s="183" customFormat="1" ht="19.5" customHeight="1" x14ac:dyDescent="0.3">
      <c r="A173" s="94"/>
      <c r="B173" s="186"/>
      <c r="C173" s="186"/>
      <c r="D173" s="182"/>
      <c r="E173" s="186"/>
      <c r="F173" s="110"/>
      <c r="G173" s="157"/>
      <c r="H173" s="157"/>
      <c r="I173" s="145"/>
      <c r="J173" s="112"/>
      <c r="K173" s="156"/>
      <c r="L173" s="156"/>
      <c r="M173" s="156"/>
      <c r="N173" s="158"/>
      <c r="O173" s="159"/>
      <c r="P173" s="159"/>
      <c r="Q173" s="159"/>
      <c r="R173" s="160"/>
      <c r="S173" s="115"/>
      <c r="T173" s="149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</row>
    <row r="174" spans="1:36" s="183" customFormat="1" ht="19.5" customHeight="1" x14ac:dyDescent="0.3">
      <c r="A174" s="94"/>
      <c r="B174" s="186"/>
      <c r="C174" s="186"/>
      <c r="D174" s="182"/>
      <c r="E174" s="186"/>
      <c r="F174" s="110"/>
      <c r="G174" s="157"/>
      <c r="H174" s="157"/>
      <c r="I174" s="145"/>
      <c r="J174" s="112"/>
      <c r="K174" s="156"/>
      <c r="L174" s="156"/>
      <c r="M174" s="156"/>
      <c r="N174" s="158"/>
      <c r="O174" s="159"/>
      <c r="P174" s="159"/>
      <c r="Q174" s="159"/>
      <c r="R174" s="160"/>
      <c r="S174" s="115"/>
      <c r="T174" s="149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</row>
    <row r="175" spans="1:36" s="183" customFormat="1" ht="19.5" customHeight="1" x14ac:dyDescent="0.3">
      <c r="A175" s="94"/>
      <c r="B175" s="186"/>
      <c r="C175" s="186"/>
      <c r="D175" s="182"/>
      <c r="E175" s="187"/>
      <c r="F175" s="110"/>
      <c r="G175" s="157"/>
      <c r="H175" s="157"/>
      <c r="I175" s="145"/>
      <c r="J175" s="112"/>
      <c r="K175" s="156"/>
      <c r="L175" s="156"/>
      <c r="M175" s="156"/>
      <c r="N175" s="158"/>
      <c r="O175" s="159"/>
      <c r="P175" s="159"/>
      <c r="Q175" s="159"/>
      <c r="R175" s="160"/>
      <c r="S175" s="115"/>
      <c r="T175" s="149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</row>
    <row r="176" spans="1:36" s="183" customFormat="1" ht="19.5" customHeight="1" x14ac:dyDescent="0.3">
      <c r="A176" s="94"/>
      <c r="B176" s="186"/>
      <c r="C176" s="186"/>
      <c r="D176" s="182"/>
      <c r="E176" s="187"/>
      <c r="F176" s="110"/>
      <c r="G176" s="157"/>
      <c r="H176" s="157"/>
      <c r="I176" s="145"/>
      <c r="J176" s="112"/>
      <c r="K176" s="156"/>
      <c r="L176" s="156"/>
      <c r="M176" s="156"/>
      <c r="N176" s="158"/>
      <c r="O176" s="159"/>
      <c r="P176" s="159"/>
      <c r="Q176" s="159"/>
      <c r="R176" s="160"/>
      <c r="S176" s="115"/>
      <c r="T176" s="149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</row>
    <row r="177" spans="1:36" s="183" customFormat="1" ht="19.5" customHeight="1" x14ac:dyDescent="0.3">
      <c r="A177" s="94"/>
      <c r="B177" s="186"/>
      <c r="C177" s="186"/>
      <c r="D177" s="182"/>
      <c r="E177" s="187"/>
      <c r="F177" s="110"/>
      <c r="G177" s="157"/>
      <c r="H177" s="157"/>
      <c r="I177" s="145"/>
      <c r="J177" s="112"/>
      <c r="K177" s="156"/>
      <c r="L177" s="156"/>
      <c r="M177" s="156"/>
      <c r="N177" s="158"/>
      <c r="O177" s="159"/>
      <c r="P177" s="159"/>
      <c r="Q177" s="159"/>
      <c r="R177" s="160"/>
      <c r="S177" s="115"/>
      <c r="T177" s="149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</row>
    <row r="178" spans="1:36" s="183" customFormat="1" ht="19.5" customHeight="1" x14ac:dyDescent="0.3">
      <c r="A178" s="94"/>
      <c r="B178" s="186"/>
      <c r="C178" s="186"/>
      <c r="D178" s="182"/>
      <c r="E178" s="187"/>
      <c r="F178" s="110"/>
      <c r="G178" s="157"/>
      <c r="H178" s="157"/>
      <c r="I178" s="145"/>
      <c r="J178" s="112"/>
      <c r="K178" s="156"/>
      <c r="L178" s="156"/>
      <c r="M178" s="156"/>
      <c r="N178" s="158"/>
      <c r="O178" s="159"/>
      <c r="P178" s="159"/>
      <c r="Q178" s="159"/>
      <c r="R178" s="160"/>
      <c r="S178" s="115"/>
      <c r="T178" s="149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</row>
    <row r="179" spans="1:36" s="183" customFormat="1" ht="19.5" customHeight="1" x14ac:dyDescent="0.3">
      <c r="A179" s="94"/>
      <c r="B179" s="186"/>
      <c r="C179" s="186"/>
      <c r="D179" s="182"/>
      <c r="E179" s="187"/>
      <c r="F179" s="110"/>
      <c r="G179" s="157"/>
      <c r="H179" s="157"/>
      <c r="I179" s="145"/>
      <c r="J179" s="112"/>
      <c r="K179" s="156"/>
      <c r="L179" s="156"/>
      <c r="M179" s="156"/>
      <c r="N179" s="158"/>
      <c r="O179" s="159"/>
      <c r="P179" s="159"/>
      <c r="Q179" s="159"/>
      <c r="R179" s="160"/>
      <c r="S179" s="115"/>
      <c r="T179" s="149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</row>
    <row r="180" spans="1:36" s="183" customFormat="1" ht="19.5" customHeight="1" x14ac:dyDescent="0.3">
      <c r="A180" s="94"/>
      <c r="B180" s="186"/>
      <c r="C180" s="186"/>
      <c r="D180" s="182"/>
      <c r="E180" s="187"/>
      <c r="F180" s="110"/>
      <c r="G180" s="157"/>
      <c r="H180" s="157"/>
      <c r="I180" s="145"/>
      <c r="J180" s="112"/>
      <c r="K180" s="156"/>
      <c r="L180" s="156"/>
      <c r="M180" s="156"/>
      <c r="N180" s="158"/>
      <c r="O180" s="159"/>
      <c r="P180" s="159"/>
      <c r="Q180" s="159"/>
      <c r="R180" s="160"/>
      <c r="S180" s="115"/>
      <c r="T180" s="149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</row>
    <row r="181" spans="1:36" s="183" customFormat="1" ht="19.5" customHeight="1" x14ac:dyDescent="0.3">
      <c r="A181" s="94"/>
      <c r="B181" s="186"/>
      <c r="C181" s="186"/>
      <c r="D181" s="182"/>
      <c r="E181" s="187"/>
      <c r="F181" s="110"/>
      <c r="G181" s="157"/>
      <c r="H181" s="157"/>
      <c r="I181" s="145"/>
      <c r="J181" s="112"/>
      <c r="K181" s="156"/>
      <c r="L181" s="156"/>
      <c r="M181" s="156"/>
      <c r="N181" s="158"/>
      <c r="O181" s="159"/>
      <c r="P181" s="159"/>
      <c r="Q181" s="159"/>
      <c r="R181" s="160"/>
      <c r="S181" s="115"/>
      <c r="T181" s="149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</row>
    <row r="182" spans="1:36" s="183" customFormat="1" ht="19.5" customHeight="1" x14ac:dyDescent="0.3">
      <c r="A182" s="94"/>
      <c r="B182" s="186"/>
      <c r="C182" s="186"/>
      <c r="D182" s="182"/>
      <c r="E182" s="187"/>
      <c r="F182" s="110"/>
      <c r="G182" s="157"/>
      <c r="H182" s="157"/>
      <c r="I182" s="145"/>
      <c r="J182" s="112"/>
      <c r="K182" s="156"/>
      <c r="L182" s="156"/>
      <c r="M182" s="156"/>
      <c r="N182" s="158"/>
      <c r="O182" s="159"/>
      <c r="P182" s="159"/>
      <c r="Q182" s="159"/>
      <c r="R182" s="160"/>
      <c r="S182" s="115"/>
      <c r="T182" s="149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</row>
    <row r="183" spans="1:36" s="183" customFormat="1" ht="19.5" customHeight="1" x14ac:dyDescent="0.3">
      <c r="A183" s="94"/>
      <c r="B183" s="186"/>
      <c r="C183" s="186"/>
      <c r="D183" s="182"/>
      <c r="E183" s="187"/>
      <c r="F183" s="110"/>
      <c r="G183" s="157"/>
      <c r="H183" s="157"/>
      <c r="I183" s="145"/>
      <c r="J183" s="112"/>
      <c r="K183" s="156"/>
      <c r="L183" s="156"/>
      <c r="M183" s="156"/>
      <c r="N183" s="158"/>
      <c r="O183" s="159"/>
      <c r="P183" s="159"/>
      <c r="Q183" s="159"/>
      <c r="R183" s="160"/>
      <c r="S183" s="115"/>
      <c r="T183" s="149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</row>
    <row r="184" spans="1:36" s="183" customFormat="1" ht="19.5" customHeight="1" x14ac:dyDescent="0.3">
      <c r="A184" s="94"/>
      <c r="B184" s="186"/>
      <c r="C184" s="186"/>
      <c r="D184" s="182"/>
      <c r="E184" s="187"/>
      <c r="F184" s="110"/>
      <c r="G184" s="157"/>
      <c r="H184" s="157"/>
      <c r="I184" s="145"/>
      <c r="J184" s="112"/>
      <c r="K184" s="156"/>
      <c r="L184" s="156"/>
      <c r="M184" s="156"/>
      <c r="N184" s="158"/>
      <c r="O184" s="159"/>
      <c r="P184" s="159"/>
      <c r="Q184" s="159"/>
      <c r="R184" s="160"/>
      <c r="S184" s="115"/>
      <c r="T184" s="149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</row>
    <row r="185" spans="1:36" s="183" customFormat="1" ht="19.5" customHeight="1" x14ac:dyDescent="0.3">
      <c r="A185" s="94"/>
      <c r="B185" s="186"/>
      <c r="C185" s="186"/>
      <c r="D185" s="182"/>
      <c r="E185" s="187"/>
      <c r="F185" s="110"/>
      <c r="G185" s="157"/>
      <c r="H185" s="157"/>
      <c r="I185" s="145"/>
      <c r="J185" s="112"/>
      <c r="K185" s="156"/>
      <c r="L185" s="156"/>
      <c r="M185" s="156"/>
      <c r="N185" s="158"/>
      <c r="O185" s="159"/>
      <c r="P185" s="159"/>
      <c r="Q185" s="159"/>
      <c r="R185" s="160"/>
      <c r="S185" s="115"/>
      <c r="T185" s="149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</row>
    <row r="186" spans="1:36" s="183" customFormat="1" ht="19.5" customHeight="1" x14ac:dyDescent="0.3">
      <c r="A186" s="94"/>
      <c r="B186" s="186"/>
      <c r="C186" s="186"/>
      <c r="D186" s="182"/>
      <c r="E186" s="187"/>
      <c r="F186" s="110"/>
      <c r="G186" s="157"/>
      <c r="H186" s="157"/>
      <c r="I186" s="145"/>
      <c r="J186" s="112"/>
      <c r="K186" s="156"/>
      <c r="L186" s="156"/>
      <c r="M186" s="156"/>
      <c r="N186" s="158"/>
      <c r="O186" s="159"/>
      <c r="P186" s="159"/>
      <c r="Q186" s="159"/>
      <c r="R186" s="160"/>
      <c r="S186" s="115"/>
      <c r="T186" s="149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</row>
    <row r="187" spans="1:36" s="183" customFormat="1" ht="19.5" customHeight="1" x14ac:dyDescent="0.3">
      <c r="A187" s="94"/>
      <c r="B187" s="188"/>
      <c r="C187" s="78"/>
      <c r="D187" s="182"/>
      <c r="E187" s="78"/>
      <c r="F187" s="110"/>
      <c r="G187" s="157"/>
      <c r="H187" s="157"/>
      <c r="I187" s="145"/>
      <c r="J187" s="112"/>
      <c r="K187" s="156"/>
      <c r="L187" s="156"/>
      <c r="M187" s="156"/>
      <c r="N187" s="158"/>
      <c r="O187" s="159"/>
      <c r="P187" s="159"/>
      <c r="Q187" s="159"/>
      <c r="R187" s="160"/>
      <c r="S187" s="115"/>
      <c r="T187" s="149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</row>
    <row r="188" spans="1:36" s="183" customFormat="1" ht="19.5" customHeight="1" x14ac:dyDescent="0.3">
      <c r="A188" s="94"/>
      <c r="B188" s="188"/>
      <c r="C188" s="78"/>
      <c r="D188" s="182"/>
      <c r="E188" s="78"/>
      <c r="F188" s="110"/>
      <c r="G188" s="157"/>
      <c r="H188" s="157"/>
      <c r="I188" s="145"/>
      <c r="J188" s="112"/>
      <c r="K188" s="156"/>
      <c r="L188" s="156"/>
      <c r="M188" s="156"/>
      <c r="N188" s="158"/>
      <c r="O188" s="159"/>
      <c r="P188" s="159"/>
      <c r="Q188" s="159"/>
      <c r="R188" s="160"/>
      <c r="S188" s="115"/>
      <c r="T188" s="149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</row>
    <row r="189" spans="1:36" s="183" customFormat="1" ht="19.5" customHeight="1" x14ac:dyDescent="0.3">
      <c r="A189" s="94"/>
      <c r="B189" s="186"/>
      <c r="C189" s="186"/>
      <c r="D189" s="182"/>
      <c r="E189" s="78"/>
      <c r="F189" s="110"/>
      <c r="G189" s="157"/>
      <c r="H189" s="157"/>
      <c r="I189" s="145"/>
      <c r="J189" s="112"/>
      <c r="K189" s="156"/>
      <c r="L189" s="156"/>
      <c r="M189" s="156"/>
      <c r="N189" s="158"/>
      <c r="O189" s="159"/>
      <c r="P189" s="159"/>
      <c r="Q189" s="159"/>
      <c r="R189" s="160"/>
      <c r="S189" s="115"/>
      <c r="T189" s="149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</row>
    <row r="190" spans="1:36" s="183" customFormat="1" ht="19.5" customHeight="1" x14ac:dyDescent="0.3">
      <c r="A190" s="94"/>
      <c r="B190" s="186"/>
      <c r="C190" s="186"/>
      <c r="D190" s="182"/>
      <c r="E190" s="186"/>
      <c r="F190" s="110"/>
      <c r="G190" s="157"/>
      <c r="H190" s="157"/>
      <c r="I190" s="145"/>
      <c r="J190" s="112"/>
      <c r="K190" s="156"/>
      <c r="L190" s="156"/>
      <c r="M190" s="156"/>
      <c r="N190" s="158"/>
      <c r="O190" s="159"/>
      <c r="P190" s="159"/>
      <c r="Q190" s="159"/>
      <c r="R190" s="160"/>
      <c r="S190" s="115"/>
      <c r="T190" s="149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</row>
    <row r="191" spans="1:36" s="142" customFormat="1" ht="19.5" customHeight="1" x14ac:dyDescent="0.3">
      <c r="A191" s="132"/>
      <c r="B191" s="133"/>
      <c r="C191" s="133"/>
      <c r="D191" s="137"/>
      <c r="E191" s="152"/>
      <c r="F191" s="152"/>
      <c r="G191" s="152"/>
      <c r="H191" s="152"/>
      <c r="I191" s="136"/>
      <c r="J191" s="137"/>
      <c r="K191" s="137"/>
      <c r="L191" s="137"/>
      <c r="M191" s="137"/>
      <c r="N191" s="153"/>
      <c r="O191" s="139"/>
      <c r="P191" s="139"/>
      <c r="Q191" s="139"/>
      <c r="R191" s="140"/>
      <c r="S191" s="141"/>
      <c r="T191" s="149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</row>
    <row r="192" spans="1:36" ht="19.5" customHeight="1" x14ac:dyDescent="0.3">
      <c r="A192" s="70"/>
      <c r="B192" s="189"/>
      <c r="C192" s="190"/>
      <c r="D192" s="156"/>
      <c r="E192" s="190"/>
      <c r="F192" s="110"/>
      <c r="G192" s="110"/>
      <c r="H192" s="157"/>
      <c r="I192" s="145"/>
      <c r="J192" s="121"/>
      <c r="K192" s="156"/>
      <c r="L192" s="156"/>
      <c r="M192" s="156"/>
      <c r="N192" s="158"/>
      <c r="O192" s="159"/>
      <c r="P192" s="159"/>
      <c r="Q192" s="159"/>
      <c r="R192" s="160"/>
      <c r="S192" s="77"/>
      <c r="T192" s="149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spans="1:36" ht="19.5" customHeight="1" x14ac:dyDescent="0.3">
      <c r="A193" s="70"/>
      <c r="B193" s="143"/>
      <c r="C193" s="144"/>
      <c r="D193" s="156"/>
      <c r="E193" s="144"/>
      <c r="F193" s="110"/>
      <c r="G193" s="110"/>
      <c r="H193" s="157"/>
      <c r="I193" s="145"/>
      <c r="J193" s="121"/>
      <c r="K193" s="156"/>
      <c r="L193" s="156"/>
      <c r="M193" s="156"/>
      <c r="N193" s="158"/>
      <c r="O193" s="159"/>
      <c r="P193" s="159"/>
      <c r="Q193" s="159"/>
      <c r="R193" s="160"/>
      <c r="S193" s="77"/>
      <c r="T193" s="149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spans="1:36" ht="19.5" customHeight="1" x14ac:dyDescent="0.3">
      <c r="A194" s="70"/>
      <c r="B194" s="143"/>
      <c r="C194" s="144"/>
      <c r="D194" s="156"/>
      <c r="E194" s="144"/>
      <c r="F194" s="110"/>
      <c r="G194" s="110"/>
      <c r="H194" s="157"/>
      <c r="I194" s="145"/>
      <c r="J194" s="121"/>
      <c r="K194" s="156"/>
      <c r="L194" s="156"/>
      <c r="M194" s="156"/>
      <c r="N194" s="158"/>
      <c r="O194" s="159"/>
      <c r="P194" s="159"/>
      <c r="Q194" s="159"/>
      <c r="R194" s="160"/>
      <c r="S194" s="77"/>
      <c r="T194" s="149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spans="1:36" ht="19.5" customHeight="1" x14ac:dyDescent="0.3">
      <c r="A195" s="70"/>
      <c r="B195" s="143"/>
      <c r="C195" s="144"/>
      <c r="D195" s="156"/>
      <c r="E195" s="144"/>
      <c r="F195" s="110"/>
      <c r="G195" s="110"/>
      <c r="H195" s="157"/>
      <c r="I195" s="145"/>
      <c r="J195" s="121"/>
      <c r="K195" s="156"/>
      <c r="L195" s="156"/>
      <c r="M195" s="156"/>
      <c r="N195" s="158"/>
      <c r="O195" s="159"/>
      <c r="P195" s="159"/>
      <c r="Q195" s="159"/>
      <c r="R195" s="160"/>
      <c r="S195" s="77"/>
      <c r="T195" s="149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spans="1:36" ht="19.5" customHeight="1" x14ac:dyDescent="0.3">
      <c r="A196" s="70"/>
      <c r="B196" s="143"/>
      <c r="C196" s="144"/>
      <c r="D196" s="156"/>
      <c r="E196" s="144"/>
      <c r="F196" s="110"/>
      <c r="G196" s="110"/>
      <c r="H196" s="157"/>
      <c r="I196" s="145"/>
      <c r="J196" s="121"/>
      <c r="K196" s="156"/>
      <c r="L196" s="156"/>
      <c r="M196" s="156"/>
      <c r="N196" s="158"/>
      <c r="O196" s="159"/>
      <c r="P196" s="159"/>
      <c r="Q196" s="159"/>
      <c r="R196" s="160"/>
      <c r="S196" s="77"/>
      <c r="T196" s="149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spans="1:36" ht="19.5" customHeight="1" x14ac:dyDescent="0.3">
      <c r="A197" s="70"/>
      <c r="B197" s="143"/>
      <c r="C197" s="144"/>
      <c r="D197" s="156"/>
      <c r="E197" s="144"/>
      <c r="F197" s="110"/>
      <c r="G197" s="110"/>
      <c r="H197" s="157"/>
      <c r="I197" s="145"/>
      <c r="J197" s="121"/>
      <c r="K197" s="156"/>
      <c r="L197" s="156"/>
      <c r="M197" s="156"/>
      <c r="N197" s="158"/>
      <c r="O197" s="159"/>
      <c r="P197" s="159"/>
      <c r="Q197" s="159"/>
      <c r="R197" s="160"/>
      <c r="S197" s="77"/>
      <c r="T197" s="149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spans="1:36" ht="19.5" customHeight="1" x14ac:dyDescent="0.3">
      <c r="A198" s="70"/>
      <c r="B198" s="156"/>
      <c r="C198" s="156"/>
      <c r="D198" s="156"/>
      <c r="E198" s="157"/>
      <c r="F198" s="110"/>
      <c r="G198" s="157"/>
      <c r="H198" s="157"/>
      <c r="I198" s="145"/>
      <c r="J198" s="121"/>
      <c r="K198" s="156"/>
      <c r="L198" s="156"/>
      <c r="M198" s="156"/>
      <c r="N198" s="158"/>
      <c r="O198" s="159"/>
      <c r="P198" s="159"/>
      <c r="Q198" s="159"/>
      <c r="R198" s="160"/>
      <c r="S198" s="77"/>
      <c r="T198" s="149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spans="1:36" s="142" customFormat="1" ht="19.5" customHeight="1" x14ac:dyDescent="0.3">
      <c r="A199" s="132"/>
      <c r="B199" s="133"/>
      <c r="C199" s="133"/>
      <c r="D199" s="137"/>
      <c r="E199" s="152"/>
      <c r="F199" s="152"/>
      <c r="G199" s="152"/>
      <c r="H199" s="152"/>
      <c r="I199" s="136"/>
      <c r="J199" s="137"/>
      <c r="K199" s="137"/>
      <c r="L199" s="137"/>
      <c r="M199" s="137"/>
      <c r="N199" s="153"/>
      <c r="O199" s="139"/>
      <c r="P199" s="139"/>
      <c r="Q199" s="139"/>
      <c r="R199" s="140"/>
      <c r="S199" s="141"/>
      <c r="T199" s="149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</row>
    <row r="200" spans="1:36" ht="19.5" customHeight="1" x14ac:dyDescent="0.3">
      <c r="A200" s="94"/>
      <c r="B200" s="167"/>
      <c r="C200" s="168"/>
      <c r="D200" s="180"/>
      <c r="E200" s="169"/>
      <c r="F200" s="110"/>
      <c r="G200" s="110"/>
      <c r="H200" s="157"/>
      <c r="I200" s="145"/>
      <c r="J200" s="112"/>
      <c r="K200" s="156"/>
      <c r="L200" s="156"/>
      <c r="M200" s="156"/>
      <c r="N200" s="158"/>
      <c r="O200" s="159"/>
      <c r="P200" s="159"/>
      <c r="Q200" s="159"/>
      <c r="R200" s="160"/>
      <c r="S200" s="115"/>
      <c r="T200" s="149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</row>
    <row r="201" spans="1:36" ht="19.5" customHeight="1" x14ac:dyDescent="0.3">
      <c r="A201" s="94"/>
      <c r="B201" s="167"/>
      <c r="C201" s="168"/>
      <c r="D201" s="180"/>
      <c r="E201" s="169"/>
      <c r="F201" s="110"/>
      <c r="G201" s="110"/>
      <c r="H201" s="157"/>
      <c r="I201" s="145"/>
      <c r="J201" s="112"/>
      <c r="K201" s="156"/>
      <c r="L201" s="156"/>
      <c r="M201" s="156"/>
      <c r="N201" s="158"/>
      <c r="O201" s="159"/>
      <c r="P201" s="159"/>
      <c r="Q201" s="159"/>
      <c r="R201" s="160"/>
      <c r="S201" s="115"/>
      <c r="T201" s="149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</row>
    <row r="202" spans="1:36" ht="19.5" customHeight="1" x14ac:dyDescent="0.3">
      <c r="A202" s="94"/>
      <c r="B202" s="167"/>
      <c r="C202" s="168"/>
      <c r="D202" s="180"/>
      <c r="E202" s="169"/>
      <c r="F202" s="110"/>
      <c r="G202" s="110"/>
      <c r="H202" s="157"/>
      <c r="I202" s="145"/>
      <c r="J202" s="112"/>
      <c r="K202" s="156"/>
      <c r="L202" s="156"/>
      <c r="M202" s="156"/>
      <c r="N202" s="158"/>
      <c r="O202" s="159"/>
      <c r="P202" s="159"/>
      <c r="Q202" s="159"/>
      <c r="R202" s="160"/>
      <c r="S202" s="115"/>
      <c r="T202" s="149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</row>
    <row r="203" spans="1:36" ht="19.5" customHeight="1" x14ac:dyDescent="0.3">
      <c r="A203" s="94"/>
      <c r="B203" s="167"/>
      <c r="C203" s="168"/>
      <c r="D203" s="180"/>
      <c r="E203" s="169"/>
      <c r="F203" s="110"/>
      <c r="G203" s="110"/>
      <c r="H203" s="157"/>
      <c r="I203" s="145"/>
      <c r="J203" s="112"/>
      <c r="K203" s="156"/>
      <c r="L203" s="156"/>
      <c r="M203" s="156"/>
      <c r="N203" s="158"/>
      <c r="O203" s="159"/>
      <c r="P203" s="159"/>
      <c r="Q203" s="159"/>
      <c r="R203" s="160"/>
      <c r="S203" s="115"/>
      <c r="T203" s="149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</row>
    <row r="204" spans="1:36" ht="19.5" customHeight="1" x14ac:dyDescent="0.3">
      <c r="A204" s="94"/>
      <c r="B204" s="167"/>
      <c r="C204" s="168"/>
      <c r="D204" s="180"/>
      <c r="E204" s="169"/>
      <c r="F204" s="110"/>
      <c r="G204" s="110"/>
      <c r="H204" s="157"/>
      <c r="I204" s="145"/>
      <c r="J204" s="112"/>
      <c r="K204" s="156"/>
      <c r="L204" s="156"/>
      <c r="M204" s="156"/>
      <c r="N204" s="158"/>
      <c r="O204" s="159"/>
      <c r="P204" s="159"/>
      <c r="Q204" s="159"/>
      <c r="R204" s="160"/>
      <c r="S204" s="115"/>
      <c r="T204" s="149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</row>
    <row r="205" spans="1:36" ht="19.5" customHeight="1" x14ac:dyDescent="0.3">
      <c r="A205" s="94"/>
      <c r="B205" s="167"/>
      <c r="C205" s="168"/>
      <c r="D205" s="180"/>
      <c r="E205" s="169"/>
      <c r="F205" s="110"/>
      <c r="G205" s="110"/>
      <c r="H205" s="157"/>
      <c r="I205" s="145"/>
      <c r="J205" s="112"/>
      <c r="K205" s="156"/>
      <c r="L205" s="156"/>
      <c r="M205" s="156"/>
      <c r="N205" s="158"/>
      <c r="O205" s="159"/>
      <c r="P205" s="159"/>
      <c r="Q205" s="159"/>
      <c r="R205" s="160"/>
      <c r="S205" s="115"/>
      <c r="T205" s="149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</row>
    <row r="206" spans="1:36" ht="19.5" customHeight="1" x14ac:dyDescent="0.3">
      <c r="A206" s="94"/>
      <c r="B206" s="167"/>
      <c r="C206" s="168"/>
      <c r="D206" s="180"/>
      <c r="E206" s="169"/>
      <c r="F206" s="110"/>
      <c r="G206" s="110"/>
      <c r="H206" s="157"/>
      <c r="I206" s="145"/>
      <c r="J206" s="112"/>
      <c r="K206" s="156"/>
      <c r="L206" s="156"/>
      <c r="M206" s="156"/>
      <c r="N206" s="158"/>
      <c r="O206" s="159"/>
      <c r="P206" s="159"/>
      <c r="Q206" s="159"/>
      <c r="R206" s="160"/>
      <c r="S206" s="115"/>
      <c r="T206" s="149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</row>
    <row r="207" spans="1:36" ht="19.5" customHeight="1" x14ac:dyDescent="0.3">
      <c r="A207" s="94"/>
      <c r="B207" s="167"/>
      <c r="C207" s="168"/>
      <c r="D207" s="180"/>
      <c r="E207" s="169"/>
      <c r="F207" s="110"/>
      <c r="G207" s="110"/>
      <c r="H207" s="157"/>
      <c r="I207" s="145"/>
      <c r="J207" s="112"/>
      <c r="K207" s="156"/>
      <c r="L207" s="156"/>
      <c r="M207" s="156"/>
      <c r="N207" s="158"/>
      <c r="O207" s="159"/>
      <c r="P207" s="159"/>
      <c r="Q207" s="159"/>
      <c r="R207" s="160"/>
      <c r="S207" s="115"/>
      <c r="T207" s="149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</row>
    <row r="208" spans="1:36" ht="19.5" customHeight="1" x14ac:dyDescent="0.3">
      <c r="A208" s="94"/>
      <c r="B208" s="167"/>
      <c r="C208" s="168"/>
      <c r="D208" s="180"/>
      <c r="E208" s="169"/>
      <c r="F208" s="110"/>
      <c r="G208" s="110"/>
      <c r="H208" s="157"/>
      <c r="I208" s="145"/>
      <c r="J208" s="112"/>
      <c r="K208" s="156"/>
      <c r="L208" s="156"/>
      <c r="M208" s="156"/>
      <c r="N208" s="158"/>
      <c r="O208" s="159"/>
      <c r="P208" s="159"/>
      <c r="Q208" s="159"/>
      <c r="R208" s="160"/>
      <c r="S208" s="115"/>
      <c r="T208" s="149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</row>
    <row r="209" spans="1:36" ht="19.5" customHeight="1" x14ac:dyDescent="0.3">
      <c r="A209" s="94"/>
      <c r="B209" s="167"/>
      <c r="C209" s="168"/>
      <c r="D209" s="180"/>
      <c r="E209" s="169"/>
      <c r="F209" s="110"/>
      <c r="G209" s="110"/>
      <c r="H209" s="157"/>
      <c r="I209" s="145"/>
      <c r="J209" s="112"/>
      <c r="K209" s="156"/>
      <c r="L209" s="156"/>
      <c r="M209" s="156"/>
      <c r="N209" s="158"/>
      <c r="O209" s="159"/>
      <c r="P209" s="159"/>
      <c r="Q209" s="159"/>
      <c r="R209" s="160"/>
      <c r="S209" s="115"/>
      <c r="T209" s="149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</row>
    <row r="210" spans="1:36" ht="19.5" customHeight="1" x14ac:dyDescent="0.3">
      <c r="A210" s="94"/>
      <c r="B210" s="167"/>
      <c r="C210" s="168"/>
      <c r="D210" s="180"/>
      <c r="E210" s="169"/>
      <c r="F210" s="110"/>
      <c r="G210" s="110"/>
      <c r="H210" s="157"/>
      <c r="I210" s="145"/>
      <c r="J210" s="112"/>
      <c r="K210" s="156"/>
      <c r="L210" s="156"/>
      <c r="M210" s="156"/>
      <c r="N210" s="158"/>
      <c r="O210" s="159"/>
      <c r="P210" s="159"/>
      <c r="Q210" s="159"/>
      <c r="R210" s="160"/>
      <c r="S210" s="115"/>
      <c r="T210" s="149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</row>
    <row r="211" spans="1:36" ht="19.5" customHeight="1" x14ac:dyDescent="0.3">
      <c r="A211" s="94"/>
      <c r="B211" s="167"/>
      <c r="C211" s="168"/>
      <c r="D211" s="180"/>
      <c r="E211" s="169"/>
      <c r="F211" s="110"/>
      <c r="G211" s="110"/>
      <c r="H211" s="157"/>
      <c r="I211" s="145"/>
      <c r="J211" s="112"/>
      <c r="K211" s="156"/>
      <c r="L211" s="156"/>
      <c r="M211" s="156"/>
      <c r="N211" s="158"/>
      <c r="O211" s="159"/>
      <c r="P211" s="159"/>
      <c r="Q211" s="159"/>
      <c r="R211" s="160"/>
      <c r="S211" s="115"/>
      <c r="T211" s="149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</row>
    <row r="212" spans="1:36" ht="19.5" customHeight="1" x14ac:dyDescent="0.3">
      <c r="A212" s="94"/>
      <c r="B212" s="167"/>
      <c r="C212" s="168"/>
      <c r="D212" s="180"/>
      <c r="E212" s="169"/>
      <c r="F212" s="110"/>
      <c r="G212" s="110"/>
      <c r="H212" s="157"/>
      <c r="I212" s="145"/>
      <c r="J212" s="112"/>
      <c r="K212" s="156"/>
      <c r="L212" s="156"/>
      <c r="M212" s="156"/>
      <c r="N212" s="158"/>
      <c r="O212" s="159"/>
      <c r="P212" s="159"/>
      <c r="Q212" s="159"/>
      <c r="R212" s="160"/>
      <c r="S212" s="115"/>
      <c r="T212" s="149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</row>
    <row r="213" spans="1:36" ht="19.5" customHeight="1" x14ac:dyDescent="0.3">
      <c r="A213" s="94"/>
      <c r="B213" s="167"/>
      <c r="C213" s="168"/>
      <c r="D213" s="180"/>
      <c r="E213" s="169"/>
      <c r="F213" s="110"/>
      <c r="G213" s="110"/>
      <c r="H213" s="157"/>
      <c r="I213" s="145"/>
      <c r="J213" s="112"/>
      <c r="K213" s="156"/>
      <c r="L213" s="156"/>
      <c r="M213" s="156"/>
      <c r="N213" s="158"/>
      <c r="O213" s="159"/>
      <c r="P213" s="159"/>
      <c r="Q213" s="159"/>
      <c r="R213" s="160"/>
      <c r="S213" s="115"/>
      <c r="T213" s="149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</row>
    <row r="214" spans="1:36" ht="19.5" customHeight="1" x14ac:dyDescent="0.3">
      <c r="A214" s="94"/>
      <c r="B214" s="167"/>
      <c r="C214" s="168"/>
      <c r="D214" s="180"/>
      <c r="E214" s="169"/>
      <c r="F214" s="110"/>
      <c r="G214" s="110"/>
      <c r="H214" s="157"/>
      <c r="I214" s="145"/>
      <c r="J214" s="112"/>
      <c r="K214" s="156"/>
      <c r="L214" s="156"/>
      <c r="M214" s="156"/>
      <c r="N214" s="158"/>
      <c r="O214" s="159"/>
      <c r="P214" s="159"/>
      <c r="Q214" s="159"/>
      <c r="R214" s="160"/>
      <c r="S214" s="115"/>
      <c r="T214" s="149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</row>
    <row r="215" spans="1:36" ht="19.5" customHeight="1" x14ac:dyDescent="0.3">
      <c r="A215" s="94"/>
      <c r="B215" s="167"/>
      <c r="C215" s="168"/>
      <c r="D215" s="180"/>
      <c r="E215" s="169"/>
      <c r="F215" s="110"/>
      <c r="G215" s="110"/>
      <c r="H215" s="157"/>
      <c r="I215" s="145"/>
      <c r="J215" s="112"/>
      <c r="K215" s="156"/>
      <c r="L215" s="156"/>
      <c r="M215" s="156"/>
      <c r="N215" s="158"/>
      <c r="O215" s="159"/>
      <c r="P215" s="159"/>
      <c r="Q215" s="159"/>
      <c r="R215" s="160"/>
      <c r="S215" s="115"/>
      <c r="T215" s="149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</row>
    <row r="216" spans="1:36" ht="19.5" customHeight="1" x14ac:dyDescent="0.3">
      <c r="A216" s="94"/>
      <c r="B216" s="167"/>
      <c r="C216" s="168"/>
      <c r="D216" s="180"/>
      <c r="E216" s="169"/>
      <c r="F216" s="110"/>
      <c r="G216" s="110"/>
      <c r="H216" s="157"/>
      <c r="I216" s="145"/>
      <c r="J216" s="112"/>
      <c r="K216" s="156"/>
      <c r="L216" s="156"/>
      <c r="M216" s="156"/>
      <c r="N216" s="158"/>
      <c r="O216" s="159"/>
      <c r="P216" s="159"/>
      <c r="Q216" s="159"/>
      <c r="R216" s="160"/>
      <c r="S216" s="115"/>
      <c r="T216" s="149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</row>
    <row r="217" spans="1:36" ht="19.5" customHeight="1" x14ac:dyDescent="0.3">
      <c r="A217" s="94"/>
      <c r="B217" s="167"/>
      <c r="C217" s="168"/>
      <c r="D217" s="180"/>
      <c r="E217" s="169"/>
      <c r="F217" s="110"/>
      <c r="G217" s="110"/>
      <c r="H217" s="157"/>
      <c r="I217" s="145"/>
      <c r="J217" s="112"/>
      <c r="K217" s="156"/>
      <c r="L217" s="156"/>
      <c r="M217" s="156"/>
      <c r="N217" s="158"/>
      <c r="O217" s="159"/>
      <c r="P217" s="159"/>
      <c r="Q217" s="159"/>
      <c r="R217" s="160"/>
      <c r="S217" s="115"/>
      <c r="T217" s="149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</row>
    <row r="218" spans="1:36" ht="19.5" customHeight="1" x14ac:dyDescent="0.3">
      <c r="A218" s="94"/>
      <c r="B218" s="167"/>
      <c r="C218" s="168"/>
      <c r="D218" s="180"/>
      <c r="E218" s="169"/>
      <c r="F218" s="110"/>
      <c r="G218" s="157"/>
      <c r="H218" s="157"/>
      <c r="I218" s="145"/>
      <c r="J218" s="112"/>
      <c r="K218" s="156"/>
      <c r="L218" s="156"/>
      <c r="M218" s="156"/>
      <c r="N218" s="158"/>
      <c r="O218" s="159"/>
      <c r="P218" s="159"/>
      <c r="Q218" s="159"/>
      <c r="R218" s="160"/>
      <c r="S218" s="115"/>
      <c r="T218" s="149"/>
      <c r="U218" s="70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</row>
    <row r="219" spans="1:36" ht="19.5" customHeight="1" x14ac:dyDescent="0.3">
      <c r="A219" s="94"/>
      <c r="B219" s="171"/>
      <c r="C219" s="172"/>
      <c r="D219" s="191"/>
      <c r="E219" s="172"/>
      <c r="F219" s="174"/>
      <c r="G219" s="157"/>
      <c r="H219" s="157"/>
      <c r="I219" s="145"/>
      <c r="J219" s="112"/>
      <c r="K219" s="156"/>
      <c r="L219" s="156"/>
      <c r="M219" s="156"/>
      <c r="N219" s="158"/>
      <c r="O219" s="159"/>
      <c r="P219" s="159"/>
      <c r="Q219" s="159"/>
      <c r="R219" s="160"/>
      <c r="S219" s="115"/>
      <c r="T219" s="149"/>
      <c r="U219" s="70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</row>
    <row r="220" spans="1:36" ht="19.5" customHeight="1" x14ac:dyDescent="0.3">
      <c r="A220" s="94"/>
      <c r="B220" s="171"/>
      <c r="C220" s="172"/>
      <c r="D220" s="191"/>
      <c r="E220" s="172"/>
      <c r="F220" s="174"/>
      <c r="G220" s="157"/>
      <c r="H220" s="157"/>
      <c r="I220" s="145"/>
      <c r="J220" s="112"/>
      <c r="K220" s="156"/>
      <c r="L220" s="156"/>
      <c r="M220" s="156"/>
      <c r="N220" s="158"/>
      <c r="O220" s="159"/>
      <c r="P220" s="159"/>
      <c r="Q220" s="159"/>
      <c r="R220" s="160"/>
      <c r="S220" s="115"/>
      <c r="T220" s="149"/>
      <c r="U220" s="70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</row>
    <row r="221" spans="1:36" ht="19.5" customHeight="1" x14ac:dyDescent="0.3">
      <c r="A221" s="94"/>
      <c r="B221" s="167"/>
      <c r="C221" s="167"/>
      <c r="D221" s="180"/>
      <c r="E221" s="169"/>
      <c r="F221" s="110"/>
      <c r="G221" s="157"/>
      <c r="H221" s="157"/>
      <c r="I221" s="145"/>
      <c r="J221" s="112"/>
      <c r="K221" s="156"/>
      <c r="L221" s="156"/>
      <c r="M221" s="156"/>
      <c r="N221" s="158"/>
      <c r="O221" s="159"/>
      <c r="P221" s="159"/>
      <c r="Q221" s="159"/>
      <c r="R221" s="160"/>
      <c r="S221" s="115"/>
      <c r="T221" s="149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</row>
    <row r="222" spans="1:36" ht="19.5" customHeight="1" x14ac:dyDescent="0.3">
      <c r="A222" s="94"/>
      <c r="B222" s="167"/>
      <c r="C222" s="168"/>
      <c r="D222" s="180"/>
      <c r="E222" s="169"/>
      <c r="F222" s="110"/>
      <c r="G222" s="157"/>
      <c r="H222" s="157"/>
      <c r="I222" s="145"/>
      <c r="J222" s="112"/>
      <c r="K222" s="156"/>
      <c r="L222" s="156"/>
      <c r="M222" s="156"/>
      <c r="N222" s="158"/>
      <c r="O222" s="159"/>
      <c r="P222" s="159"/>
      <c r="Q222" s="159"/>
      <c r="R222" s="160"/>
      <c r="S222" s="115"/>
      <c r="T222" s="149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</row>
    <row r="223" spans="1:36" ht="19.5" customHeight="1" x14ac:dyDescent="0.3">
      <c r="A223" s="94"/>
      <c r="B223" s="167"/>
      <c r="C223" s="168"/>
      <c r="D223" s="180"/>
      <c r="E223" s="169"/>
      <c r="F223" s="110"/>
      <c r="G223" s="157"/>
      <c r="H223" s="157"/>
      <c r="I223" s="145"/>
      <c r="J223" s="112"/>
      <c r="K223" s="156"/>
      <c r="L223" s="156"/>
      <c r="M223" s="156"/>
      <c r="N223" s="158"/>
      <c r="O223" s="159"/>
      <c r="P223" s="159"/>
      <c r="Q223" s="159"/>
      <c r="R223" s="160"/>
      <c r="S223" s="115"/>
      <c r="T223" s="149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</row>
    <row r="224" spans="1:36" s="142" customFormat="1" ht="19.5" customHeight="1" x14ac:dyDescent="0.3">
      <c r="A224" s="132"/>
      <c r="B224" s="133"/>
      <c r="C224" s="133"/>
      <c r="D224" s="137"/>
      <c r="E224" s="152"/>
      <c r="F224" s="152"/>
      <c r="G224" s="152"/>
      <c r="H224" s="152"/>
      <c r="I224" s="136"/>
      <c r="J224" s="137"/>
      <c r="K224" s="137"/>
      <c r="L224" s="137"/>
      <c r="M224" s="137"/>
      <c r="N224" s="153"/>
      <c r="O224" s="139"/>
      <c r="P224" s="139"/>
      <c r="Q224" s="139"/>
      <c r="R224" s="140"/>
      <c r="S224" s="141"/>
      <c r="T224" s="149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</row>
    <row r="225" spans="1:36" ht="19.5" customHeight="1" x14ac:dyDescent="0.3">
      <c r="A225" s="94"/>
      <c r="B225" s="167"/>
      <c r="C225" s="168"/>
      <c r="D225" s="180"/>
      <c r="E225" s="169"/>
      <c r="F225" s="110"/>
      <c r="G225" s="157"/>
      <c r="H225" s="157"/>
      <c r="I225" s="145"/>
      <c r="J225" s="112"/>
      <c r="K225" s="156"/>
      <c r="L225" s="156"/>
      <c r="M225" s="156"/>
      <c r="N225" s="158"/>
      <c r="O225" s="159"/>
      <c r="P225" s="159"/>
      <c r="Q225" s="159"/>
      <c r="R225" s="160"/>
      <c r="S225" s="115"/>
      <c r="T225" s="149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</row>
    <row r="226" spans="1:36" ht="19.5" customHeight="1" x14ac:dyDescent="0.3">
      <c r="A226" s="94"/>
      <c r="B226" s="167"/>
      <c r="C226" s="168"/>
      <c r="D226" s="180"/>
      <c r="E226" s="169"/>
      <c r="F226" s="110"/>
      <c r="G226" s="157"/>
      <c r="H226" s="157"/>
      <c r="I226" s="145"/>
      <c r="J226" s="112"/>
      <c r="K226" s="156"/>
      <c r="L226" s="156"/>
      <c r="M226" s="156"/>
      <c r="N226" s="158"/>
      <c r="O226" s="159"/>
      <c r="P226" s="159"/>
      <c r="Q226" s="159"/>
      <c r="R226" s="160"/>
      <c r="S226" s="115"/>
      <c r="T226" s="149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</row>
    <row r="227" spans="1:36" ht="19.5" customHeight="1" x14ac:dyDescent="0.3">
      <c r="A227" s="94"/>
      <c r="B227" s="167"/>
      <c r="C227" s="168"/>
      <c r="D227" s="180"/>
      <c r="E227" s="169"/>
      <c r="F227" s="110"/>
      <c r="G227" s="157"/>
      <c r="H227" s="157"/>
      <c r="I227" s="145"/>
      <c r="J227" s="112"/>
      <c r="K227" s="156"/>
      <c r="L227" s="156"/>
      <c r="M227" s="156"/>
      <c r="N227" s="158"/>
      <c r="O227" s="159"/>
      <c r="P227" s="159"/>
      <c r="Q227" s="159"/>
      <c r="R227" s="160"/>
      <c r="S227" s="115"/>
      <c r="T227" s="149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</row>
    <row r="228" spans="1:36" ht="19.5" customHeight="1" x14ac:dyDescent="0.3">
      <c r="A228" s="94"/>
      <c r="B228" s="167"/>
      <c r="C228" s="168"/>
      <c r="D228" s="180"/>
      <c r="E228" s="169"/>
      <c r="F228" s="110"/>
      <c r="G228" s="157"/>
      <c r="H228" s="157"/>
      <c r="I228" s="145"/>
      <c r="J228" s="112"/>
      <c r="K228" s="156"/>
      <c r="L228" s="156"/>
      <c r="M228" s="156"/>
      <c r="N228" s="158"/>
      <c r="O228" s="159"/>
      <c r="P228" s="159"/>
      <c r="Q228" s="159"/>
      <c r="R228" s="160"/>
      <c r="S228" s="115"/>
      <c r="T228" s="149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</row>
    <row r="229" spans="1:36" ht="19.5" customHeight="1" x14ac:dyDescent="0.3">
      <c r="A229" s="94"/>
      <c r="B229" s="167"/>
      <c r="C229" s="168"/>
      <c r="D229" s="180"/>
      <c r="E229" s="169"/>
      <c r="F229" s="110"/>
      <c r="G229" s="157"/>
      <c r="H229" s="157"/>
      <c r="I229" s="145"/>
      <c r="J229" s="112"/>
      <c r="K229" s="156"/>
      <c r="L229" s="156"/>
      <c r="M229" s="156"/>
      <c r="N229" s="158"/>
      <c r="O229" s="159"/>
      <c r="P229" s="159"/>
      <c r="Q229" s="159"/>
      <c r="R229" s="160"/>
      <c r="S229" s="115"/>
      <c r="T229" s="149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</row>
    <row r="230" spans="1:36" ht="19.5" customHeight="1" x14ac:dyDescent="0.3">
      <c r="A230" s="94"/>
      <c r="B230" s="167"/>
      <c r="C230" s="168"/>
      <c r="D230" s="180"/>
      <c r="E230" s="169"/>
      <c r="F230" s="110"/>
      <c r="G230" s="192"/>
      <c r="H230" s="157"/>
      <c r="I230" s="145"/>
      <c r="J230" s="112"/>
      <c r="K230" s="156"/>
      <c r="L230" s="156"/>
      <c r="M230" s="156"/>
      <c r="N230" s="158"/>
      <c r="O230" s="159"/>
      <c r="P230" s="159"/>
      <c r="Q230" s="159"/>
      <c r="R230" s="160"/>
      <c r="S230" s="115"/>
      <c r="T230" s="149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</row>
    <row r="231" spans="1:36" ht="19.5" customHeight="1" x14ac:dyDescent="0.3">
      <c r="A231" s="94"/>
      <c r="B231" s="167"/>
      <c r="C231" s="168"/>
      <c r="D231" s="180"/>
      <c r="E231" s="169"/>
      <c r="F231" s="110"/>
      <c r="G231" s="157"/>
      <c r="H231" s="157"/>
      <c r="I231" s="145"/>
      <c r="J231" s="112"/>
      <c r="K231" s="156"/>
      <c r="L231" s="156"/>
      <c r="M231" s="156"/>
      <c r="N231" s="158"/>
      <c r="O231" s="159"/>
      <c r="P231" s="159"/>
      <c r="Q231" s="159"/>
      <c r="R231" s="160"/>
      <c r="S231" s="115"/>
      <c r="T231" s="149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</row>
    <row r="232" spans="1:36" ht="19.5" customHeight="1" x14ac:dyDescent="0.3">
      <c r="A232" s="94"/>
      <c r="B232" s="167"/>
      <c r="C232" s="168"/>
      <c r="D232" s="180"/>
      <c r="E232" s="169"/>
      <c r="F232" s="110"/>
      <c r="G232" s="192"/>
      <c r="H232" s="157"/>
      <c r="I232" s="145"/>
      <c r="J232" s="112"/>
      <c r="K232" s="156"/>
      <c r="L232" s="156"/>
      <c r="M232" s="156"/>
      <c r="N232" s="158"/>
      <c r="O232" s="159"/>
      <c r="P232" s="159"/>
      <c r="Q232" s="159"/>
      <c r="R232" s="160"/>
      <c r="S232" s="115"/>
      <c r="T232" s="149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</row>
    <row r="233" spans="1:36" ht="19.5" customHeight="1" x14ac:dyDescent="0.3">
      <c r="A233" s="94"/>
      <c r="B233" s="167"/>
      <c r="C233" s="168"/>
      <c r="D233" s="180"/>
      <c r="E233" s="169"/>
      <c r="F233" s="110"/>
      <c r="G233" s="157"/>
      <c r="H233" s="157"/>
      <c r="I233" s="145"/>
      <c r="J233" s="112"/>
      <c r="K233" s="156"/>
      <c r="L233" s="156"/>
      <c r="M233" s="156"/>
      <c r="N233" s="158"/>
      <c r="O233" s="159"/>
      <c r="P233" s="159"/>
      <c r="Q233" s="159"/>
      <c r="R233" s="160"/>
      <c r="S233" s="115"/>
      <c r="T233" s="149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</row>
    <row r="234" spans="1:36" ht="19.5" customHeight="1" x14ac:dyDescent="0.3">
      <c r="A234" s="94"/>
      <c r="B234" s="167"/>
      <c r="C234" s="168"/>
      <c r="D234" s="180"/>
      <c r="E234" s="169"/>
      <c r="F234" s="110"/>
      <c r="G234" s="192"/>
      <c r="H234" s="157"/>
      <c r="I234" s="145"/>
      <c r="J234" s="112"/>
      <c r="K234" s="156"/>
      <c r="L234" s="156"/>
      <c r="M234" s="156"/>
      <c r="N234" s="158"/>
      <c r="O234" s="159"/>
      <c r="P234" s="159"/>
      <c r="Q234" s="159"/>
      <c r="R234" s="160"/>
      <c r="S234" s="115"/>
      <c r="T234" s="149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</row>
    <row r="235" spans="1:36" ht="19.5" customHeight="1" x14ac:dyDescent="0.3">
      <c r="A235" s="94"/>
      <c r="B235" s="167"/>
      <c r="C235" s="168"/>
      <c r="D235" s="180"/>
      <c r="E235" s="169"/>
      <c r="F235" s="110"/>
      <c r="G235" s="157"/>
      <c r="H235" s="157"/>
      <c r="I235" s="145"/>
      <c r="J235" s="112"/>
      <c r="K235" s="156"/>
      <c r="L235" s="156"/>
      <c r="M235" s="156"/>
      <c r="N235" s="158"/>
      <c r="O235" s="159"/>
      <c r="P235" s="159"/>
      <c r="Q235" s="159"/>
      <c r="R235" s="160"/>
      <c r="S235" s="115"/>
      <c r="T235" s="149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</row>
    <row r="236" spans="1:36" ht="19.5" customHeight="1" x14ac:dyDescent="0.3">
      <c r="A236" s="94"/>
      <c r="B236" s="167"/>
      <c r="C236" s="168"/>
      <c r="D236" s="180"/>
      <c r="E236" s="169"/>
      <c r="F236" s="110"/>
      <c r="G236" s="157"/>
      <c r="H236" s="157"/>
      <c r="I236" s="145"/>
      <c r="J236" s="112"/>
      <c r="K236" s="156"/>
      <c r="L236" s="156"/>
      <c r="M236" s="156"/>
      <c r="N236" s="158"/>
      <c r="O236" s="159"/>
      <c r="P236" s="159"/>
      <c r="Q236" s="159"/>
      <c r="R236" s="160"/>
      <c r="S236" s="115"/>
      <c r="T236" s="149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</row>
    <row r="237" spans="1:36" ht="19.5" customHeight="1" x14ac:dyDescent="0.3">
      <c r="A237" s="94"/>
      <c r="B237" s="167"/>
      <c r="C237" s="168"/>
      <c r="D237" s="180"/>
      <c r="E237" s="169"/>
      <c r="F237" s="110"/>
      <c r="G237" s="157"/>
      <c r="H237" s="157"/>
      <c r="I237" s="145"/>
      <c r="J237" s="112"/>
      <c r="K237" s="156"/>
      <c r="L237" s="156"/>
      <c r="M237" s="156"/>
      <c r="N237" s="158"/>
      <c r="O237" s="159"/>
      <c r="P237" s="159"/>
      <c r="Q237" s="159"/>
      <c r="R237" s="160"/>
      <c r="S237" s="115"/>
      <c r="T237" s="149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</row>
    <row r="238" spans="1:36" ht="19.5" customHeight="1" x14ac:dyDescent="0.3">
      <c r="A238" s="94"/>
      <c r="B238" s="167"/>
      <c r="C238" s="168"/>
      <c r="D238" s="180"/>
      <c r="E238" s="169"/>
      <c r="F238" s="110"/>
      <c r="G238" s="157"/>
      <c r="H238" s="157"/>
      <c r="I238" s="145"/>
      <c r="J238" s="112"/>
      <c r="K238" s="156"/>
      <c r="L238" s="156"/>
      <c r="M238" s="156"/>
      <c r="N238" s="158"/>
      <c r="O238" s="159"/>
      <c r="P238" s="159"/>
      <c r="Q238" s="159"/>
      <c r="R238" s="160"/>
      <c r="S238" s="115"/>
      <c r="T238" s="149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</row>
    <row r="239" spans="1:36" ht="19.5" customHeight="1" x14ac:dyDescent="0.3">
      <c r="A239" s="94"/>
      <c r="B239" s="167"/>
      <c r="C239" s="168"/>
      <c r="D239" s="180"/>
      <c r="E239" s="169"/>
      <c r="F239" s="110"/>
      <c r="G239" s="157"/>
      <c r="H239" s="157"/>
      <c r="I239" s="145"/>
      <c r="J239" s="112"/>
      <c r="K239" s="156"/>
      <c r="L239" s="156"/>
      <c r="M239" s="156"/>
      <c r="N239" s="158"/>
      <c r="O239" s="159"/>
      <c r="P239" s="159"/>
      <c r="Q239" s="159"/>
      <c r="R239" s="160"/>
      <c r="S239" s="115"/>
      <c r="T239" s="149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</row>
    <row r="240" spans="1:36" ht="19.5" customHeight="1" x14ac:dyDescent="0.3">
      <c r="A240" s="94"/>
      <c r="B240" s="167"/>
      <c r="C240" s="168"/>
      <c r="D240" s="180"/>
      <c r="E240" s="169"/>
      <c r="F240" s="110"/>
      <c r="G240" s="157"/>
      <c r="H240" s="157"/>
      <c r="I240" s="145"/>
      <c r="J240" s="112"/>
      <c r="K240" s="156"/>
      <c r="L240" s="156"/>
      <c r="M240" s="156"/>
      <c r="N240" s="158"/>
      <c r="O240" s="159"/>
      <c r="P240" s="159"/>
      <c r="Q240" s="159"/>
      <c r="R240" s="160"/>
      <c r="S240" s="115"/>
      <c r="T240" s="149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</row>
    <row r="241" spans="1:36" s="183" customFormat="1" ht="19.5" customHeight="1" x14ac:dyDescent="0.3">
      <c r="A241" s="94"/>
      <c r="B241" s="193"/>
      <c r="C241" s="193"/>
      <c r="D241" s="193"/>
      <c r="E241" s="194"/>
      <c r="F241" s="194"/>
      <c r="G241" s="194"/>
      <c r="H241" s="194"/>
      <c r="I241" s="195"/>
      <c r="J241" s="196"/>
      <c r="K241" s="196"/>
      <c r="L241" s="196"/>
      <c r="M241" s="196"/>
      <c r="N241" s="197"/>
      <c r="O241" s="198"/>
      <c r="P241" s="198"/>
      <c r="Q241" s="198"/>
      <c r="R241" s="199"/>
      <c r="S241" s="200"/>
      <c r="T241" s="201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</row>
    <row r="242" spans="1:36" s="142" customFormat="1" ht="19.5" customHeight="1" x14ac:dyDescent="0.3">
      <c r="A242" s="132"/>
      <c r="B242" s="133"/>
      <c r="C242" s="134"/>
      <c r="D242" s="134"/>
      <c r="E242" s="135"/>
      <c r="F242" s="135"/>
      <c r="G242" s="135"/>
      <c r="H242" s="135"/>
      <c r="I242" s="136"/>
      <c r="J242" s="137"/>
      <c r="K242" s="134"/>
      <c r="L242" s="134"/>
      <c r="M242" s="134"/>
      <c r="N242" s="153"/>
      <c r="O242" s="154"/>
      <c r="P242" s="154"/>
      <c r="Q242" s="154"/>
      <c r="R242" s="155"/>
      <c r="S242" s="141"/>
      <c r="T242" s="149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</row>
    <row r="243" spans="1:36" ht="19.5" customHeight="1" x14ac:dyDescent="0.3">
      <c r="A243" s="70"/>
      <c r="B243" s="164"/>
      <c r="C243" s="165"/>
      <c r="D243" s="156"/>
      <c r="E243" s="165"/>
      <c r="F243" s="110"/>
      <c r="G243" s="110"/>
      <c r="H243" s="157"/>
      <c r="I243" s="145"/>
      <c r="J243" s="121"/>
      <c r="K243" s="156"/>
      <c r="L243" s="156"/>
      <c r="M243" s="156"/>
      <c r="N243" s="158"/>
      <c r="O243" s="159"/>
      <c r="P243" s="159"/>
      <c r="Q243" s="159"/>
      <c r="R243" s="160"/>
      <c r="S243" s="77"/>
      <c r="T243" s="149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spans="1:36" ht="19.5" customHeight="1" x14ac:dyDescent="0.3">
      <c r="A244" s="70"/>
      <c r="B244" s="164"/>
      <c r="C244" s="165"/>
      <c r="D244" s="156"/>
      <c r="E244" s="165"/>
      <c r="F244" s="110"/>
      <c r="G244" s="110"/>
      <c r="H244" s="157"/>
      <c r="I244" s="145"/>
      <c r="J244" s="121"/>
      <c r="K244" s="156"/>
      <c r="L244" s="156"/>
      <c r="M244" s="156"/>
      <c r="N244" s="158"/>
      <c r="O244" s="159"/>
      <c r="P244" s="159"/>
      <c r="Q244" s="159"/>
      <c r="R244" s="160"/>
      <c r="S244" s="77"/>
      <c r="T244" s="149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spans="1:36" ht="32.25" customHeight="1" x14ac:dyDescent="0.3">
      <c r="A245" s="70"/>
      <c r="B245" s="164"/>
      <c r="C245" s="165"/>
      <c r="D245" s="156"/>
      <c r="E245" s="165"/>
      <c r="F245" s="110"/>
      <c r="G245" s="110"/>
      <c r="H245" s="157"/>
      <c r="I245" s="145"/>
      <c r="J245" s="121"/>
      <c r="K245" s="156"/>
      <c r="L245" s="156"/>
      <c r="M245" s="156"/>
      <c r="N245" s="158"/>
      <c r="O245" s="159"/>
      <c r="P245" s="159"/>
      <c r="Q245" s="159"/>
      <c r="R245" s="160"/>
      <c r="S245" s="77"/>
      <c r="T245" s="149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spans="1:36" ht="19.5" customHeight="1" x14ac:dyDescent="0.3">
      <c r="A246" s="70"/>
      <c r="B246" s="164"/>
      <c r="C246" s="165"/>
      <c r="D246" s="156"/>
      <c r="E246" s="165"/>
      <c r="F246" s="110"/>
      <c r="G246" s="110"/>
      <c r="H246" s="157"/>
      <c r="I246" s="145"/>
      <c r="J246" s="121"/>
      <c r="K246" s="156"/>
      <c r="L246" s="156"/>
      <c r="M246" s="156"/>
      <c r="N246" s="158"/>
      <c r="O246" s="159"/>
      <c r="P246" s="159"/>
      <c r="Q246" s="159"/>
      <c r="R246" s="160"/>
      <c r="S246" s="77"/>
      <c r="T246" s="149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spans="1:36" ht="19.5" customHeight="1" x14ac:dyDescent="0.3">
      <c r="A247" s="70"/>
      <c r="B247" s="164"/>
      <c r="C247" s="165"/>
      <c r="D247" s="156"/>
      <c r="E247" s="165"/>
      <c r="F247" s="110"/>
      <c r="G247" s="110"/>
      <c r="H247" s="157"/>
      <c r="I247" s="145"/>
      <c r="J247" s="121"/>
      <c r="K247" s="156"/>
      <c r="L247" s="156"/>
      <c r="M247" s="156"/>
      <c r="N247" s="158"/>
      <c r="O247" s="159"/>
      <c r="P247" s="159"/>
      <c r="Q247" s="159"/>
      <c r="R247" s="160"/>
      <c r="S247" s="77"/>
      <c r="T247" s="149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spans="1:36" ht="19.5" customHeight="1" x14ac:dyDescent="0.3">
      <c r="A248" s="70"/>
      <c r="B248" s="164"/>
      <c r="C248" s="165"/>
      <c r="D248" s="156"/>
      <c r="E248" s="165"/>
      <c r="F248" s="110"/>
      <c r="G248" s="110"/>
      <c r="H248" s="157"/>
      <c r="I248" s="145"/>
      <c r="J248" s="121"/>
      <c r="K248" s="156"/>
      <c r="L248" s="156"/>
      <c r="M248" s="156"/>
      <c r="N248" s="158"/>
      <c r="O248" s="159"/>
      <c r="P248" s="159"/>
      <c r="Q248" s="159"/>
      <c r="R248" s="160"/>
      <c r="S248" s="77"/>
      <c r="T248" s="149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spans="1:36" ht="19.5" customHeight="1" x14ac:dyDescent="0.3">
      <c r="A249" s="70"/>
      <c r="B249" s="164"/>
      <c r="C249" s="165"/>
      <c r="D249" s="156"/>
      <c r="E249" s="165"/>
      <c r="F249" s="110"/>
      <c r="G249" s="110"/>
      <c r="H249" s="157"/>
      <c r="I249" s="145"/>
      <c r="J249" s="121"/>
      <c r="K249" s="156"/>
      <c r="L249" s="156"/>
      <c r="M249" s="156"/>
      <c r="N249" s="158"/>
      <c r="O249" s="159"/>
      <c r="P249" s="159"/>
      <c r="Q249" s="159"/>
      <c r="R249" s="160"/>
      <c r="S249" s="77"/>
      <c r="T249" s="149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spans="1:36" ht="19.5" customHeight="1" x14ac:dyDescent="0.3">
      <c r="A250" s="70"/>
      <c r="B250" s="156"/>
      <c r="C250" s="156"/>
      <c r="D250" s="156"/>
      <c r="E250" s="157"/>
      <c r="F250" s="110"/>
      <c r="G250" s="157"/>
      <c r="H250" s="157"/>
      <c r="I250" s="145"/>
      <c r="J250" s="121"/>
      <c r="K250" s="156"/>
      <c r="L250" s="156"/>
      <c r="M250" s="156"/>
      <c r="N250" s="158"/>
      <c r="O250" s="159"/>
      <c r="P250" s="159"/>
      <c r="Q250" s="159"/>
      <c r="R250" s="160"/>
      <c r="S250" s="77"/>
      <c r="T250" s="149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spans="1:36" s="142" customFormat="1" ht="19.5" customHeight="1" x14ac:dyDescent="0.3">
      <c r="A251" s="132"/>
      <c r="B251" s="133"/>
      <c r="C251" s="134"/>
      <c r="D251" s="134"/>
      <c r="E251" s="135"/>
      <c r="F251" s="135"/>
      <c r="G251" s="135"/>
      <c r="H251" s="135"/>
      <c r="I251" s="136"/>
      <c r="J251" s="137"/>
      <c r="K251" s="134"/>
      <c r="L251" s="134"/>
      <c r="M251" s="134"/>
      <c r="N251" s="153"/>
      <c r="O251" s="154"/>
      <c r="P251" s="154"/>
      <c r="Q251" s="154"/>
      <c r="R251" s="155"/>
      <c r="S251" s="141"/>
      <c r="T251" s="149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</row>
    <row r="252" spans="1:36" ht="19.5" customHeight="1" x14ac:dyDescent="0.3">
      <c r="A252" s="70"/>
      <c r="B252" s="164"/>
      <c r="C252" s="165"/>
      <c r="D252" s="156"/>
      <c r="E252" s="202"/>
      <c r="F252" s="110"/>
      <c r="G252" s="110"/>
      <c r="H252" s="157"/>
      <c r="I252" s="145"/>
      <c r="J252" s="121"/>
      <c r="K252" s="156"/>
      <c r="L252" s="156"/>
      <c r="M252" s="156"/>
      <c r="N252" s="158"/>
      <c r="O252" s="159"/>
      <c r="P252" s="159"/>
      <c r="Q252" s="159"/>
      <c r="R252" s="160"/>
      <c r="S252" s="77"/>
      <c r="T252" s="149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spans="1:36" ht="19.5" customHeight="1" x14ac:dyDescent="0.3">
      <c r="A253" s="70"/>
      <c r="B253" s="164"/>
      <c r="C253" s="165"/>
      <c r="D253" s="156"/>
      <c r="E253" s="202"/>
      <c r="F253" s="110"/>
      <c r="G253" s="110"/>
      <c r="H253" s="157"/>
      <c r="I253" s="145"/>
      <c r="J253" s="121"/>
      <c r="K253" s="156"/>
      <c r="L253" s="156"/>
      <c r="M253" s="156"/>
      <c r="N253" s="158"/>
      <c r="O253" s="159"/>
      <c r="P253" s="159"/>
      <c r="Q253" s="159"/>
      <c r="R253" s="160"/>
      <c r="S253" s="77"/>
      <c r="T253" s="149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spans="1:36" ht="19.5" customHeight="1" x14ac:dyDescent="0.3">
      <c r="A254" s="70"/>
      <c r="B254" s="164"/>
      <c r="C254" s="165"/>
      <c r="D254" s="156"/>
      <c r="E254" s="202"/>
      <c r="F254" s="110"/>
      <c r="G254" s="110"/>
      <c r="H254" s="157"/>
      <c r="I254" s="145"/>
      <c r="J254" s="121"/>
      <c r="K254" s="156"/>
      <c r="L254" s="156"/>
      <c r="M254" s="156"/>
      <c r="N254" s="158"/>
      <c r="O254" s="159"/>
      <c r="P254" s="159"/>
      <c r="Q254" s="159"/>
      <c r="R254" s="160"/>
      <c r="S254" s="77"/>
      <c r="T254" s="149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spans="1:36" ht="19.5" customHeight="1" x14ac:dyDescent="0.3">
      <c r="A255" s="70"/>
      <c r="B255" s="164"/>
      <c r="C255" s="165"/>
      <c r="D255" s="156"/>
      <c r="E255" s="202"/>
      <c r="F255" s="110"/>
      <c r="G255" s="110"/>
      <c r="H255" s="157"/>
      <c r="I255" s="145"/>
      <c r="J255" s="121"/>
      <c r="K255" s="156"/>
      <c r="L255" s="156"/>
      <c r="M255" s="156"/>
      <c r="N255" s="158"/>
      <c r="O255" s="159"/>
      <c r="P255" s="159"/>
      <c r="Q255" s="159"/>
      <c r="R255" s="160"/>
      <c r="S255" s="77"/>
      <c r="T255" s="149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spans="1:36" ht="19.5" customHeight="1" x14ac:dyDescent="0.3">
      <c r="A256" s="70"/>
      <c r="B256" s="164"/>
      <c r="C256" s="165"/>
      <c r="D256" s="156"/>
      <c r="E256" s="202"/>
      <c r="F256" s="110"/>
      <c r="G256" s="110"/>
      <c r="H256" s="157"/>
      <c r="I256" s="145"/>
      <c r="J256" s="121"/>
      <c r="K256" s="156"/>
      <c r="L256" s="156"/>
      <c r="M256" s="156"/>
      <c r="N256" s="158"/>
      <c r="O256" s="159"/>
      <c r="P256" s="159"/>
      <c r="Q256" s="159"/>
      <c r="R256" s="160"/>
      <c r="S256" s="77"/>
      <c r="T256" s="149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spans="1:36" ht="19.5" customHeight="1" x14ac:dyDescent="0.3">
      <c r="A257" s="70"/>
      <c r="B257" s="164"/>
      <c r="C257" s="165"/>
      <c r="D257" s="156"/>
      <c r="E257" s="202"/>
      <c r="F257" s="110"/>
      <c r="G257" s="110"/>
      <c r="H257" s="157"/>
      <c r="I257" s="145"/>
      <c r="J257" s="121"/>
      <c r="K257" s="156"/>
      <c r="L257" s="156"/>
      <c r="M257" s="156"/>
      <c r="N257" s="158"/>
      <c r="O257" s="159"/>
      <c r="P257" s="159"/>
      <c r="Q257" s="159"/>
      <c r="R257" s="160"/>
      <c r="S257" s="77"/>
      <c r="T257" s="149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spans="1:36" ht="19.5" customHeight="1" x14ac:dyDescent="0.3">
      <c r="A258" s="70"/>
      <c r="B258" s="164"/>
      <c r="C258" s="165"/>
      <c r="D258" s="156"/>
      <c r="E258" s="202"/>
      <c r="F258" s="110"/>
      <c r="G258" s="110"/>
      <c r="H258" s="157"/>
      <c r="I258" s="145"/>
      <c r="J258" s="121"/>
      <c r="K258" s="156"/>
      <c r="L258" s="156"/>
      <c r="M258" s="156"/>
      <c r="N258" s="158"/>
      <c r="O258" s="159"/>
      <c r="P258" s="159"/>
      <c r="Q258" s="159"/>
      <c r="R258" s="160"/>
      <c r="S258" s="77"/>
      <c r="T258" s="149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spans="1:36" ht="19.5" customHeight="1" x14ac:dyDescent="0.3">
      <c r="A259" s="70"/>
      <c r="B259" s="164"/>
      <c r="C259" s="165"/>
      <c r="D259" s="156"/>
      <c r="E259" s="202"/>
      <c r="F259" s="110"/>
      <c r="G259" s="110"/>
      <c r="H259" s="157"/>
      <c r="I259" s="145"/>
      <c r="J259" s="121"/>
      <c r="K259" s="156"/>
      <c r="L259" s="156"/>
      <c r="M259" s="156"/>
      <c r="N259" s="158"/>
      <c r="O259" s="159"/>
      <c r="P259" s="159"/>
      <c r="Q259" s="159"/>
      <c r="R259" s="160"/>
      <c r="S259" s="77"/>
      <c r="T259" s="149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spans="1:36" ht="19.5" customHeight="1" x14ac:dyDescent="0.3">
      <c r="A260" s="70"/>
      <c r="B260" s="164"/>
      <c r="C260" s="165"/>
      <c r="D260" s="156"/>
      <c r="E260" s="202"/>
      <c r="F260" s="110"/>
      <c r="G260" s="110"/>
      <c r="H260" s="157"/>
      <c r="I260" s="145"/>
      <c r="J260" s="121"/>
      <c r="K260" s="156"/>
      <c r="L260" s="156"/>
      <c r="M260" s="156"/>
      <c r="N260" s="158"/>
      <c r="O260" s="159"/>
      <c r="P260" s="159"/>
      <c r="Q260" s="159"/>
      <c r="R260" s="160"/>
      <c r="S260" s="77"/>
      <c r="T260" s="149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spans="1:36" ht="19.5" customHeight="1" x14ac:dyDescent="0.3">
      <c r="A261" s="70"/>
      <c r="B261" s="164"/>
      <c r="C261" s="165"/>
      <c r="D261" s="156"/>
      <c r="E261" s="202"/>
      <c r="F261" s="110"/>
      <c r="G261" s="110"/>
      <c r="H261" s="157"/>
      <c r="I261" s="145"/>
      <c r="J261" s="121"/>
      <c r="K261" s="156"/>
      <c r="L261" s="156"/>
      <c r="M261" s="156"/>
      <c r="N261" s="158"/>
      <c r="O261" s="159"/>
      <c r="P261" s="159"/>
      <c r="Q261" s="159"/>
      <c r="R261" s="160"/>
      <c r="S261" s="77"/>
      <c r="T261" s="149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spans="1:36" ht="19.5" customHeight="1" x14ac:dyDescent="0.3">
      <c r="A262" s="70"/>
      <c r="B262" s="164"/>
      <c r="C262" s="165"/>
      <c r="D262" s="156"/>
      <c r="E262" s="202"/>
      <c r="F262" s="110"/>
      <c r="G262" s="110"/>
      <c r="H262" s="157"/>
      <c r="I262" s="145"/>
      <c r="J262" s="121"/>
      <c r="K262" s="156"/>
      <c r="L262" s="156"/>
      <c r="M262" s="156"/>
      <c r="N262" s="158"/>
      <c r="O262" s="159"/>
      <c r="P262" s="159"/>
      <c r="Q262" s="159"/>
      <c r="R262" s="160"/>
      <c r="S262" s="77"/>
      <c r="T262" s="149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spans="1:36" ht="19.5" customHeight="1" x14ac:dyDescent="0.3">
      <c r="A263" s="70"/>
      <c r="B263" s="164"/>
      <c r="C263" s="165"/>
      <c r="D263" s="156"/>
      <c r="E263" s="202"/>
      <c r="F263" s="110"/>
      <c r="G263" s="110"/>
      <c r="H263" s="157"/>
      <c r="I263" s="145"/>
      <c r="J263" s="121"/>
      <c r="K263" s="156"/>
      <c r="L263" s="156"/>
      <c r="M263" s="156"/>
      <c r="N263" s="158"/>
      <c r="O263" s="159"/>
      <c r="P263" s="159"/>
      <c r="Q263" s="159"/>
      <c r="R263" s="160"/>
      <c r="S263" s="77"/>
      <c r="T263" s="149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spans="1:36" ht="19.5" customHeight="1" x14ac:dyDescent="0.3">
      <c r="A264" s="70"/>
      <c r="B264" s="164"/>
      <c r="C264" s="165"/>
      <c r="D264" s="156"/>
      <c r="E264" s="202"/>
      <c r="F264" s="110"/>
      <c r="G264" s="110"/>
      <c r="H264" s="157"/>
      <c r="I264" s="145"/>
      <c r="J264" s="121"/>
      <c r="K264" s="156"/>
      <c r="L264" s="156"/>
      <c r="M264" s="156"/>
      <c r="N264" s="158"/>
      <c r="O264" s="159"/>
      <c r="P264" s="159"/>
      <c r="Q264" s="159"/>
      <c r="R264" s="160"/>
      <c r="S264" s="77"/>
      <c r="T264" s="149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spans="1:36" ht="19.5" customHeight="1" x14ac:dyDescent="0.3">
      <c r="A265" s="70"/>
      <c r="B265" s="164"/>
      <c r="C265" s="165"/>
      <c r="D265" s="156"/>
      <c r="E265" s="202"/>
      <c r="F265" s="110"/>
      <c r="G265" s="110"/>
      <c r="H265" s="157"/>
      <c r="I265" s="145"/>
      <c r="J265" s="121"/>
      <c r="K265" s="156"/>
      <c r="L265" s="156"/>
      <c r="M265" s="156"/>
      <c r="N265" s="158"/>
      <c r="O265" s="159"/>
      <c r="P265" s="159"/>
      <c r="Q265" s="159"/>
      <c r="R265" s="160"/>
      <c r="S265" s="77"/>
      <c r="T265" s="149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spans="1:36" ht="19.5" customHeight="1" x14ac:dyDescent="0.3">
      <c r="A266" s="70"/>
      <c r="B266" s="164"/>
      <c r="C266" s="165"/>
      <c r="D266" s="156"/>
      <c r="E266" s="202"/>
      <c r="F266" s="110"/>
      <c r="G266" s="110"/>
      <c r="H266" s="157"/>
      <c r="I266" s="145"/>
      <c r="J266" s="121"/>
      <c r="K266" s="156"/>
      <c r="L266" s="156"/>
      <c r="M266" s="156"/>
      <c r="N266" s="158"/>
      <c r="O266" s="159"/>
      <c r="P266" s="159"/>
      <c r="Q266" s="159"/>
      <c r="R266" s="160"/>
      <c r="S266" s="77"/>
      <c r="T266" s="149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spans="1:36" ht="19.5" customHeight="1" x14ac:dyDescent="0.3">
      <c r="A267" s="70"/>
      <c r="B267" s="164"/>
      <c r="C267" s="165"/>
      <c r="D267" s="156"/>
      <c r="E267" s="202"/>
      <c r="F267" s="110"/>
      <c r="G267" s="110"/>
      <c r="H267" s="157"/>
      <c r="I267" s="145"/>
      <c r="J267" s="121"/>
      <c r="K267" s="156"/>
      <c r="L267" s="156"/>
      <c r="M267" s="156"/>
      <c r="N267" s="158"/>
      <c r="O267" s="159"/>
      <c r="P267" s="159"/>
      <c r="Q267" s="159"/>
      <c r="R267" s="160"/>
      <c r="S267" s="77"/>
      <c r="T267" s="149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spans="1:36" ht="19.5" customHeight="1" x14ac:dyDescent="0.3">
      <c r="A268" s="70"/>
      <c r="B268" s="164"/>
      <c r="C268" s="165"/>
      <c r="D268" s="156"/>
      <c r="E268" s="202"/>
      <c r="F268" s="164"/>
      <c r="G268" s="110"/>
      <c r="H268" s="157"/>
      <c r="I268" s="145"/>
      <c r="J268" s="121"/>
      <c r="K268" s="156"/>
      <c r="L268" s="156"/>
      <c r="M268" s="156"/>
      <c r="N268" s="158"/>
      <c r="O268" s="159"/>
      <c r="P268" s="159"/>
      <c r="Q268" s="159"/>
      <c r="R268" s="160"/>
      <c r="S268" s="77"/>
      <c r="T268" s="149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spans="1:36" s="142" customFormat="1" ht="19.5" customHeight="1" x14ac:dyDescent="0.3">
      <c r="A269" s="132"/>
      <c r="B269" s="133"/>
      <c r="C269" s="134"/>
      <c r="D269" s="134"/>
      <c r="E269" s="135"/>
      <c r="F269" s="135"/>
      <c r="G269" s="135"/>
      <c r="H269" s="135"/>
      <c r="I269" s="136"/>
      <c r="J269" s="137"/>
      <c r="K269" s="134"/>
      <c r="L269" s="134"/>
      <c r="M269" s="134"/>
      <c r="N269" s="138"/>
      <c r="O269" s="139"/>
      <c r="P269" s="139"/>
      <c r="Q269" s="139"/>
      <c r="R269" s="140"/>
      <c r="S269" s="141"/>
      <c r="T269" s="149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</row>
    <row r="270" spans="1:36" ht="19.5" customHeight="1" x14ac:dyDescent="0.3">
      <c r="A270" s="70"/>
      <c r="B270" s="164"/>
      <c r="C270" s="165"/>
      <c r="D270" s="156"/>
      <c r="E270" s="165"/>
      <c r="F270" s="110"/>
      <c r="G270" s="110"/>
      <c r="H270" s="157"/>
      <c r="I270" s="145"/>
      <c r="J270" s="121"/>
      <c r="K270" s="156"/>
      <c r="L270" s="156"/>
      <c r="M270" s="156"/>
      <c r="N270" s="158"/>
      <c r="O270" s="159"/>
      <c r="P270" s="159"/>
      <c r="Q270" s="159"/>
      <c r="R270" s="160"/>
      <c r="S270" s="77"/>
      <c r="T270" s="149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spans="1:36" ht="19.5" customHeight="1" x14ac:dyDescent="0.3">
      <c r="A271" s="70"/>
      <c r="B271" s="164"/>
      <c r="C271" s="165"/>
      <c r="D271" s="156"/>
      <c r="E271" s="165"/>
      <c r="F271" s="110"/>
      <c r="G271" s="110"/>
      <c r="H271" s="157"/>
      <c r="I271" s="145"/>
      <c r="J271" s="121"/>
      <c r="K271" s="156"/>
      <c r="L271" s="156"/>
      <c r="M271" s="156"/>
      <c r="N271" s="158"/>
      <c r="O271" s="159"/>
      <c r="P271" s="159"/>
      <c r="Q271" s="159"/>
      <c r="R271" s="160"/>
      <c r="S271" s="77"/>
      <c r="T271" s="149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spans="1:36" ht="19.5" customHeight="1" x14ac:dyDescent="0.3">
      <c r="A272" s="70"/>
      <c r="B272" s="164"/>
      <c r="C272" s="165"/>
      <c r="D272" s="156"/>
      <c r="E272" s="165"/>
      <c r="F272" s="110"/>
      <c r="G272" s="110"/>
      <c r="H272" s="157"/>
      <c r="I272" s="145"/>
      <c r="J272" s="121"/>
      <c r="K272" s="156"/>
      <c r="L272" s="156"/>
      <c r="M272" s="156"/>
      <c r="N272" s="158"/>
      <c r="O272" s="159"/>
      <c r="P272" s="159"/>
      <c r="Q272" s="159"/>
      <c r="R272" s="160"/>
      <c r="S272" s="77"/>
      <c r="T272" s="149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pans="1:36" ht="19.5" customHeight="1" x14ac:dyDescent="0.3">
      <c r="A273" s="70"/>
      <c r="B273" s="164"/>
      <c r="C273" s="165"/>
      <c r="D273" s="156"/>
      <c r="E273" s="165"/>
      <c r="F273" s="110"/>
      <c r="G273" s="110"/>
      <c r="H273" s="157"/>
      <c r="I273" s="145"/>
      <c r="J273" s="121"/>
      <c r="K273" s="156"/>
      <c r="L273" s="156"/>
      <c r="M273" s="156"/>
      <c r="N273" s="158"/>
      <c r="O273" s="159"/>
      <c r="P273" s="159"/>
      <c r="Q273" s="159"/>
      <c r="R273" s="160"/>
      <c r="S273" s="77"/>
      <c r="T273" s="149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pans="1:36" ht="19.5" customHeight="1" x14ac:dyDescent="0.3">
      <c r="A274" s="70"/>
      <c r="B274" s="164"/>
      <c r="C274" s="165"/>
      <c r="D274" s="156"/>
      <c r="E274" s="165"/>
      <c r="F274" s="110"/>
      <c r="G274" s="110"/>
      <c r="H274" s="157"/>
      <c r="I274" s="145"/>
      <c r="J274" s="121"/>
      <c r="K274" s="156"/>
      <c r="L274" s="156"/>
      <c r="M274" s="156"/>
      <c r="N274" s="158"/>
      <c r="O274" s="159"/>
      <c r="P274" s="159"/>
      <c r="Q274" s="159"/>
      <c r="R274" s="160"/>
      <c r="S274" s="77"/>
      <c r="T274" s="149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pans="1:36" ht="19.5" customHeight="1" x14ac:dyDescent="0.3">
      <c r="A275" s="70"/>
      <c r="B275" s="156"/>
      <c r="C275" s="156"/>
      <c r="D275" s="156"/>
      <c r="E275" s="157"/>
      <c r="F275" s="110"/>
      <c r="G275" s="157"/>
      <c r="H275" s="157"/>
      <c r="I275" s="145"/>
      <c r="J275" s="121"/>
      <c r="K275" s="156"/>
      <c r="L275" s="156"/>
      <c r="M275" s="156"/>
      <c r="N275" s="158"/>
      <c r="O275" s="159"/>
      <c r="P275" s="159"/>
      <c r="Q275" s="159"/>
      <c r="R275" s="160"/>
      <c r="S275" s="77"/>
      <c r="T275" s="149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pans="1:36" s="142" customFormat="1" ht="19.5" customHeight="1" x14ac:dyDescent="0.3">
      <c r="A276" s="132"/>
      <c r="B276" s="133"/>
      <c r="C276" s="134"/>
      <c r="D276" s="134"/>
      <c r="E276" s="135"/>
      <c r="F276" s="135"/>
      <c r="G276" s="135"/>
      <c r="H276" s="135"/>
      <c r="I276" s="136"/>
      <c r="J276" s="137"/>
      <c r="K276" s="134"/>
      <c r="L276" s="134"/>
      <c r="M276" s="134"/>
      <c r="N276" s="138"/>
      <c r="O276" s="139"/>
      <c r="P276" s="139"/>
      <c r="Q276" s="139"/>
      <c r="R276" s="140"/>
      <c r="S276" s="141"/>
      <c r="T276" s="149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</row>
    <row r="277" spans="1:36" ht="19.5" customHeight="1" x14ac:dyDescent="0.3">
      <c r="A277" s="70"/>
      <c r="B277" s="164"/>
      <c r="C277" s="165"/>
      <c r="D277" s="156"/>
      <c r="E277" s="165"/>
      <c r="F277" s="110"/>
      <c r="G277" s="110"/>
      <c r="H277" s="157"/>
      <c r="I277" s="145"/>
      <c r="J277" s="121"/>
      <c r="K277" s="156"/>
      <c r="L277" s="156"/>
      <c r="M277" s="156"/>
      <c r="N277" s="158"/>
      <c r="O277" s="159"/>
      <c r="P277" s="159"/>
      <c r="Q277" s="159"/>
      <c r="R277" s="160"/>
      <c r="S277" s="77"/>
      <c r="T277" s="149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pans="1:36" ht="19.5" customHeight="1" x14ac:dyDescent="0.3">
      <c r="A278" s="70"/>
      <c r="B278" s="164"/>
      <c r="C278" s="165"/>
      <c r="D278" s="156"/>
      <c r="E278" s="165"/>
      <c r="F278" s="110"/>
      <c r="G278" s="110"/>
      <c r="H278" s="157"/>
      <c r="I278" s="145"/>
      <c r="J278" s="121"/>
      <c r="K278" s="156"/>
      <c r="L278" s="156"/>
      <c r="M278" s="156"/>
      <c r="N278" s="158"/>
      <c r="O278" s="159"/>
      <c r="P278" s="159"/>
      <c r="Q278" s="159"/>
      <c r="R278" s="160"/>
      <c r="S278" s="77"/>
      <c r="T278" s="149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pans="1:36" ht="19.5" customHeight="1" x14ac:dyDescent="0.3">
      <c r="A279" s="70"/>
      <c r="B279" s="164"/>
      <c r="C279" s="165"/>
      <c r="D279" s="156"/>
      <c r="E279" s="165"/>
      <c r="F279" s="110"/>
      <c r="G279" s="110"/>
      <c r="H279" s="157"/>
      <c r="I279" s="145"/>
      <c r="J279" s="121"/>
      <c r="K279" s="156"/>
      <c r="L279" s="156"/>
      <c r="M279" s="156"/>
      <c r="N279" s="158"/>
      <c r="O279" s="159"/>
      <c r="P279" s="159"/>
      <c r="Q279" s="159"/>
      <c r="R279" s="160"/>
      <c r="S279" s="77"/>
      <c r="T279" s="149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spans="1:36" ht="19.5" customHeight="1" x14ac:dyDescent="0.3">
      <c r="A280" s="70"/>
      <c r="B280" s="164"/>
      <c r="C280" s="165"/>
      <c r="D280" s="156"/>
      <c r="E280" s="165"/>
      <c r="F280" s="110"/>
      <c r="G280" s="110"/>
      <c r="H280" s="157"/>
      <c r="I280" s="145"/>
      <c r="J280" s="121"/>
      <c r="K280" s="156"/>
      <c r="L280" s="156"/>
      <c r="M280" s="156"/>
      <c r="N280" s="158"/>
      <c r="O280" s="159"/>
      <c r="P280" s="159"/>
      <c r="Q280" s="159"/>
      <c r="R280" s="160"/>
      <c r="S280" s="77"/>
      <c r="T280" s="149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spans="1:36" ht="19.5" customHeight="1" x14ac:dyDescent="0.3">
      <c r="A281" s="70"/>
      <c r="B281" s="164"/>
      <c r="C281" s="165"/>
      <c r="D281" s="156"/>
      <c r="E281" s="165"/>
      <c r="F281" s="110"/>
      <c r="G281" s="110"/>
      <c r="H281" s="157"/>
      <c r="I281" s="145"/>
      <c r="J281" s="121"/>
      <c r="K281" s="156"/>
      <c r="L281" s="156"/>
      <c r="M281" s="156"/>
      <c r="N281" s="158"/>
      <c r="O281" s="159"/>
      <c r="P281" s="159"/>
      <c r="Q281" s="159"/>
      <c r="R281" s="160"/>
      <c r="S281" s="77"/>
      <c r="T281" s="149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spans="1:36" ht="19.5" customHeight="1" x14ac:dyDescent="0.3">
      <c r="A282" s="70"/>
      <c r="B282" s="164"/>
      <c r="C282" s="165"/>
      <c r="D282" s="156"/>
      <c r="E282" s="165"/>
      <c r="F282" s="110"/>
      <c r="G282" s="110"/>
      <c r="H282" s="157"/>
      <c r="I282" s="145"/>
      <c r="J282" s="121"/>
      <c r="K282" s="156"/>
      <c r="L282" s="156"/>
      <c r="M282" s="156"/>
      <c r="N282" s="158"/>
      <c r="O282" s="159"/>
      <c r="P282" s="159"/>
      <c r="Q282" s="159"/>
      <c r="R282" s="160"/>
      <c r="S282" s="77"/>
      <c r="T282" s="149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spans="1:36" ht="19.5" customHeight="1" x14ac:dyDescent="0.3">
      <c r="A283" s="70"/>
      <c r="B283" s="164"/>
      <c r="C283" s="165"/>
      <c r="D283" s="156"/>
      <c r="E283" s="165"/>
      <c r="F283" s="110"/>
      <c r="G283" s="110"/>
      <c r="H283" s="157"/>
      <c r="I283" s="145"/>
      <c r="J283" s="121"/>
      <c r="K283" s="156"/>
      <c r="L283" s="156"/>
      <c r="M283" s="156"/>
      <c r="N283" s="158"/>
      <c r="O283" s="159"/>
      <c r="P283" s="159"/>
      <c r="Q283" s="159"/>
      <c r="R283" s="160"/>
      <c r="S283" s="77"/>
      <c r="T283" s="149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spans="1:36" ht="19.5" customHeight="1" x14ac:dyDescent="0.3">
      <c r="A284" s="70"/>
      <c r="B284" s="164"/>
      <c r="C284" s="165"/>
      <c r="D284" s="156"/>
      <c r="E284" s="165"/>
      <c r="F284" s="110"/>
      <c r="G284" s="110"/>
      <c r="H284" s="157"/>
      <c r="I284" s="145"/>
      <c r="J284" s="121"/>
      <c r="K284" s="156"/>
      <c r="L284" s="156"/>
      <c r="M284" s="156"/>
      <c r="N284" s="158"/>
      <c r="O284" s="159"/>
      <c r="P284" s="159"/>
      <c r="Q284" s="159"/>
      <c r="R284" s="160"/>
      <c r="S284" s="77"/>
      <c r="T284" s="149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spans="1:36" ht="19.5" customHeight="1" x14ac:dyDescent="0.3">
      <c r="A285" s="70"/>
      <c r="B285" s="166"/>
      <c r="C285" s="203"/>
      <c r="D285" s="156"/>
      <c r="E285" s="203"/>
      <c r="F285" s="110"/>
      <c r="G285" s="110"/>
      <c r="H285" s="157"/>
      <c r="I285" s="145"/>
      <c r="J285" s="121"/>
      <c r="K285" s="156"/>
      <c r="L285" s="156"/>
      <c r="M285" s="156"/>
      <c r="N285" s="158"/>
      <c r="O285" s="159"/>
      <c r="P285" s="159"/>
      <c r="Q285" s="159"/>
      <c r="R285" s="160"/>
      <c r="S285" s="77"/>
      <c r="T285" s="149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spans="1:36" s="142" customFormat="1" ht="19.5" customHeight="1" x14ac:dyDescent="0.3">
      <c r="A286" s="132"/>
      <c r="B286" s="133"/>
      <c r="C286" s="133"/>
      <c r="D286" s="134"/>
      <c r="E286" s="135"/>
      <c r="F286" s="135"/>
      <c r="G286" s="135"/>
      <c r="H286" s="135"/>
      <c r="I286" s="136"/>
      <c r="J286" s="137"/>
      <c r="K286" s="134"/>
      <c r="L286" s="134"/>
      <c r="M286" s="134"/>
      <c r="N286" s="138"/>
      <c r="O286" s="139"/>
      <c r="P286" s="139"/>
      <c r="Q286" s="139"/>
      <c r="R286" s="140"/>
      <c r="S286" s="141"/>
      <c r="T286" s="149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</row>
    <row r="287" spans="1:36" ht="19.5" customHeight="1" x14ac:dyDescent="0.3">
      <c r="A287" s="70"/>
      <c r="B287" s="178"/>
      <c r="C287" s="179"/>
      <c r="D287" s="156"/>
      <c r="E287" s="179"/>
      <c r="F287" s="110"/>
      <c r="G287" s="110"/>
      <c r="H287" s="157"/>
      <c r="I287" s="145"/>
      <c r="J287" s="121"/>
      <c r="K287" s="156"/>
      <c r="L287" s="156"/>
      <c r="M287" s="156"/>
      <c r="N287" s="158"/>
      <c r="O287" s="159"/>
      <c r="P287" s="159"/>
      <c r="Q287" s="159"/>
      <c r="R287" s="160"/>
      <c r="S287" s="77"/>
      <c r="T287" s="149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  <row r="288" spans="1:36" ht="19.5" customHeight="1" x14ac:dyDescent="0.3">
      <c r="A288" s="70"/>
      <c r="B288" s="178"/>
      <c r="C288" s="179"/>
      <c r="D288" s="156"/>
      <c r="E288" s="179"/>
      <c r="F288" s="110"/>
      <c r="G288" s="110"/>
      <c r="H288" s="157"/>
      <c r="I288" s="145"/>
      <c r="J288" s="121"/>
      <c r="K288" s="156"/>
      <c r="L288" s="156"/>
      <c r="M288" s="156"/>
      <c r="N288" s="158"/>
      <c r="O288" s="159"/>
      <c r="P288" s="159"/>
      <c r="Q288" s="159"/>
      <c r="R288" s="160"/>
      <c r="S288" s="77"/>
      <c r="T288" s="149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spans="1:36" ht="19.5" customHeight="1" x14ac:dyDescent="0.3">
      <c r="A289" s="70"/>
      <c r="B289" s="178"/>
      <c r="C289" s="179"/>
      <c r="D289" s="156"/>
      <c r="E289" s="179"/>
      <c r="F289" s="110"/>
      <c r="G289" s="110"/>
      <c r="H289" s="157"/>
      <c r="I289" s="145"/>
      <c r="J289" s="121"/>
      <c r="K289" s="156"/>
      <c r="L289" s="156"/>
      <c r="M289" s="156"/>
      <c r="N289" s="158"/>
      <c r="O289" s="159"/>
      <c r="P289" s="159"/>
      <c r="Q289" s="159"/>
      <c r="R289" s="160"/>
      <c r="S289" s="77"/>
      <c r="T289" s="149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spans="1:36" ht="19.5" customHeight="1" x14ac:dyDescent="0.3">
      <c r="A290" s="70"/>
      <c r="B290" s="178"/>
      <c r="C290" s="179"/>
      <c r="D290" s="156"/>
      <c r="E290" s="179"/>
      <c r="F290" s="110"/>
      <c r="G290" s="110"/>
      <c r="H290" s="157"/>
      <c r="I290" s="145"/>
      <c r="J290" s="121"/>
      <c r="K290" s="156"/>
      <c r="L290" s="156"/>
      <c r="M290" s="156"/>
      <c r="N290" s="158"/>
      <c r="O290" s="159"/>
      <c r="P290" s="159"/>
      <c r="Q290" s="159"/>
      <c r="R290" s="160"/>
      <c r="S290" s="77"/>
      <c r="T290" s="149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spans="1:36" ht="19.5" customHeight="1" x14ac:dyDescent="0.3">
      <c r="A291" s="70"/>
      <c r="B291" s="178"/>
      <c r="C291" s="179"/>
      <c r="D291" s="156"/>
      <c r="E291" s="179"/>
      <c r="F291" s="110"/>
      <c r="G291" s="110"/>
      <c r="H291" s="157"/>
      <c r="I291" s="145"/>
      <c r="J291" s="121"/>
      <c r="K291" s="156"/>
      <c r="L291" s="156"/>
      <c r="M291" s="156"/>
      <c r="N291" s="158"/>
      <c r="O291" s="159"/>
      <c r="P291" s="159"/>
      <c r="Q291" s="159"/>
      <c r="R291" s="160"/>
      <c r="S291" s="77"/>
      <c r="T291" s="149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spans="1:36" ht="19.5" customHeight="1" x14ac:dyDescent="0.3">
      <c r="A292" s="70"/>
      <c r="B292" s="178"/>
      <c r="C292" s="179"/>
      <c r="D292" s="156"/>
      <c r="E292" s="179"/>
      <c r="F292" s="110"/>
      <c r="G292" s="110"/>
      <c r="H292" s="157"/>
      <c r="I292" s="145"/>
      <c r="J292" s="121"/>
      <c r="K292" s="156"/>
      <c r="L292" s="156"/>
      <c r="M292" s="156"/>
      <c r="N292" s="158"/>
      <c r="O292" s="159"/>
      <c r="P292" s="159"/>
      <c r="Q292" s="159"/>
      <c r="R292" s="160"/>
      <c r="S292" s="77"/>
      <c r="T292" s="149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spans="1:36" ht="19.5" customHeight="1" x14ac:dyDescent="0.3">
      <c r="A293" s="70"/>
      <c r="B293" s="178"/>
      <c r="C293" s="179"/>
      <c r="D293" s="156"/>
      <c r="E293" s="179"/>
      <c r="F293" s="110"/>
      <c r="G293" s="110"/>
      <c r="H293" s="157"/>
      <c r="I293" s="145"/>
      <c r="J293" s="121"/>
      <c r="K293" s="156"/>
      <c r="L293" s="156"/>
      <c r="M293" s="156"/>
      <c r="N293" s="158"/>
      <c r="O293" s="159"/>
      <c r="P293" s="159"/>
      <c r="Q293" s="159"/>
      <c r="R293" s="160"/>
      <c r="S293" s="77"/>
      <c r="T293" s="149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spans="1:36" ht="19.5" customHeight="1" x14ac:dyDescent="0.3">
      <c r="A294" s="70"/>
      <c r="B294" s="178"/>
      <c r="C294" s="179"/>
      <c r="D294" s="156"/>
      <c r="E294" s="179"/>
      <c r="F294" s="110"/>
      <c r="G294" s="110"/>
      <c r="H294" s="157"/>
      <c r="I294" s="145"/>
      <c r="J294" s="121"/>
      <c r="K294" s="156"/>
      <c r="L294" s="156"/>
      <c r="M294" s="156"/>
      <c r="N294" s="158"/>
      <c r="O294" s="159"/>
      <c r="P294" s="159"/>
      <c r="Q294" s="159"/>
      <c r="R294" s="160"/>
      <c r="S294" s="77"/>
      <c r="T294" s="149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spans="1:36" ht="19.5" customHeight="1" x14ac:dyDescent="0.3">
      <c r="A295" s="70"/>
      <c r="B295" s="178"/>
      <c r="C295" s="179"/>
      <c r="D295" s="156"/>
      <c r="E295" s="179"/>
      <c r="F295" s="110"/>
      <c r="G295" s="110"/>
      <c r="H295" s="157"/>
      <c r="I295" s="145"/>
      <c r="J295" s="121"/>
      <c r="K295" s="156"/>
      <c r="L295" s="156"/>
      <c r="M295" s="156"/>
      <c r="N295" s="158"/>
      <c r="O295" s="159"/>
      <c r="P295" s="159"/>
      <c r="Q295" s="159"/>
      <c r="R295" s="160"/>
      <c r="S295" s="77"/>
      <c r="T295" s="149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spans="1:36" ht="19.5" customHeight="1" x14ac:dyDescent="0.3">
      <c r="A296" s="70"/>
      <c r="B296" s="178"/>
      <c r="C296" s="179"/>
      <c r="D296" s="156"/>
      <c r="E296" s="179"/>
      <c r="F296" s="110"/>
      <c r="G296" s="110"/>
      <c r="H296" s="157"/>
      <c r="I296" s="145"/>
      <c r="J296" s="121"/>
      <c r="K296" s="156"/>
      <c r="L296" s="156"/>
      <c r="M296" s="156"/>
      <c r="N296" s="158"/>
      <c r="O296" s="159"/>
      <c r="P296" s="159"/>
      <c r="Q296" s="159"/>
      <c r="R296" s="160"/>
      <c r="S296" s="77"/>
      <c r="T296" s="149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spans="1:36" ht="19.5" customHeight="1" x14ac:dyDescent="0.3">
      <c r="A297" s="70"/>
      <c r="B297" s="178"/>
      <c r="C297" s="179"/>
      <c r="D297" s="156"/>
      <c r="E297" s="179"/>
      <c r="F297" s="110"/>
      <c r="G297" s="110"/>
      <c r="H297" s="157"/>
      <c r="I297" s="145"/>
      <c r="J297" s="121"/>
      <c r="K297" s="156"/>
      <c r="L297" s="156"/>
      <c r="M297" s="156"/>
      <c r="N297" s="158"/>
      <c r="O297" s="159"/>
      <c r="P297" s="159"/>
      <c r="Q297" s="159"/>
      <c r="R297" s="160"/>
      <c r="S297" s="77"/>
      <c r="T297" s="149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spans="1:36" ht="19.5" customHeight="1" x14ac:dyDescent="0.3">
      <c r="A298" s="70"/>
      <c r="B298" s="178"/>
      <c r="C298" s="179"/>
      <c r="D298" s="156"/>
      <c r="E298" s="179"/>
      <c r="F298" s="110"/>
      <c r="G298" s="110"/>
      <c r="H298" s="157"/>
      <c r="I298" s="145"/>
      <c r="J298" s="121"/>
      <c r="K298" s="156"/>
      <c r="L298" s="156"/>
      <c r="M298" s="156"/>
      <c r="N298" s="158"/>
      <c r="O298" s="159"/>
      <c r="P298" s="159"/>
      <c r="Q298" s="159"/>
      <c r="R298" s="160"/>
      <c r="S298" s="77"/>
      <c r="T298" s="149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spans="1:36" s="142" customFormat="1" ht="19.5" customHeight="1" x14ac:dyDescent="0.3">
      <c r="A299" s="132"/>
      <c r="B299" s="133"/>
      <c r="C299" s="133"/>
      <c r="D299" s="204"/>
      <c r="E299" s="205"/>
      <c r="F299" s="205"/>
      <c r="G299" s="205"/>
      <c r="H299" s="205"/>
      <c r="I299" s="136"/>
      <c r="J299" s="137"/>
      <c r="K299" s="134"/>
      <c r="L299" s="134"/>
      <c r="M299" s="134"/>
      <c r="N299" s="138"/>
      <c r="O299" s="139"/>
      <c r="P299" s="139"/>
      <c r="Q299" s="139"/>
      <c r="R299" s="140"/>
      <c r="S299" s="141"/>
      <c r="T299" s="149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</row>
    <row r="300" spans="1:36" ht="19.5" customHeight="1" x14ac:dyDescent="0.3">
      <c r="A300" s="70"/>
      <c r="B300" s="178"/>
      <c r="C300" s="179"/>
      <c r="D300" s="156"/>
      <c r="E300" s="179"/>
      <c r="F300" s="110"/>
      <c r="G300" s="110"/>
      <c r="H300" s="157"/>
      <c r="I300" s="145"/>
      <c r="J300" s="121"/>
      <c r="K300" s="156"/>
      <c r="L300" s="156"/>
      <c r="M300" s="156"/>
      <c r="N300" s="158"/>
      <c r="O300" s="159"/>
      <c r="P300" s="159"/>
      <c r="Q300" s="159"/>
      <c r="R300" s="160"/>
      <c r="S300" s="77"/>
      <c r="T300" s="149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spans="1:36" ht="19.5" customHeight="1" x14ac:dyDescent="0.3">
      <c r="A301" s="70"/>
      <c r="B301" s="178"/>
      <c r="C301" s="179"/>
      <c r="D301" s="156"/>
      <c r="E301" s="179"/>
      <c r="F301" s="110"/>
      <c r="G301" s="110"/>
      <c r="H301" s="157"/>
      <c r="I301" s="145"/>
      <c r="J301" s="121"/>
      <c r="K301" s="156"/>
      <c r="L301" s="156"/>
      <c r="M301" s="156"/>
      <c r="N301" s="158"/>
      <c r="O301" s="159"/>
      <c r="P301" s="159"/>
      <c r="Q301" s="159"/>
      <c r="R301" s="160"/>
      <c r="S301" s="77"/>
      <c r="T301" s="149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spans="1:36" ht="19.5" customHeight="1" x14ac:dyDescent="0.3">
      <c r="A302" s="70"/>
      <c r="B302" s="178"/>
      <c r="C302" s="179"/>
      <c r="D302" s="156"/>
      <c r="E302" s="179"/>
      <c r="F302" s="110"/>
      <c r="G302" s="110"/>
      <c r="H302" s="157"/>
      <c r="I302" s="145"/>
      <c r="J302" s="121"/>
      <c r="K302" s="156"/>
      <c r="L302" s="156"/>
      <c r="M302" s="156"/>
      <c r="N302" s="158"/>
      <c r="O302" s="159"/>
      <c r="P302" s="159"/>
      <c r="Q302" s="159"/>
      <c r="R302" s="160"/>
      <c r="S302" s="77"/>
      <c r="T302" s="149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spans="1:36" ht="12.75" customHeight="1" x14ac:dyDescent="0.3">
      <c r="A303" s="70"/>
      <c r="B303" s="178"/>
      <c r="C303" s="179"/>
      <c r="D303" s="156"/>
      <c r="E303" s="179"/>
      <c r="F303" s="110"/>
      <c r="G303" s="110"/>
      <c r="H303" s="157"/>
      <c r="I303" s="145"/>
      <c r="J303" s="121"/>
      <c r="K303" s="156"/>
      <c r="L303" s="156"/>
      <c r="M303" s="156"/>
      <c r="N303" s="158"/>
      <c r="O303" s="159"/>
      <c r="P303" s="159"/>
      <c r="Q303" s="159"/>
      <c r="R303" s="160"/>
      <c r="S303" s="77"/>
      <c r="T303" s="149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spans="1:36" ht="12.75" customHeight="1" x14ac:dyDescent="0.3">
      <c r="A304" s="70"/>
      <c r="B304" s="178"/>
      <c r="C304" s="179"/>
      <c r="D304" s="156"/>
      <c r="E304" s="179"/>
      <c r="F304" s="110"/>
      <c r="G304" s="110"/>
      <c r="H304" s="157"/>
      <c r="I304" s="145"/>
      <c r="J304" s="121"/>
      <c r="K304" s="156"/>
      <c r="L304" s="156"/>
      <c r="M304" s="156"/>
      <c r="N304" s="158"/>
      <c r="O304" s="159"/>
      <c r="P304" s="159"/>
      <c r="Q304" s="159"/>
      <c r="R304" s="160"/>
      <c r="S304" s="77"/>
      <c r="T304" s="149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spans="2:20" ht="15" customHeight="1" x14ac:dyDescent="0.3">
      <c r="B305" s="178"/>
      <c r="C305" s="179"/>
      <c r="D305" s="206"/>
      <c r="E305" s="179"/>
      <c r="F305" s="110"/>
      <c r="G305" s="110"/>
      <c r="H305" s="157"/>
      <c r="I305" s="145"/>
      <c r="J305" s="177"/>
      <c r="K305" s="156"/>
      <c r="L305" s="156"/>
      <c r="M305" s="156"/>
      <c r="N305" s="158"/>
      <c r="O305" s="159"/>
      <c r="P305" s="159"/>
      <c r="Q305" s="159"/>
      <c r="R305" s="160"/>
      <c r="T305" s="149"/>
    </row>
  </sheetData>
  <mergeCells count="18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</mergeCells>
  <conditionalFormatting sqref="J2:J3 J6:J304">
    <cfRule type="cellIs" dxfId="199" priority="1" operator="equal">
      <formula>"Disc"</formula>
    </cfRule>
  </conditionalFormatting>
  <conditionalFormatting sqref="T15:T17 T20:T28 T103:T132">
    <cfRule type="expression" dxfId="198" priority="15">
      <formula>T15:T246&gt;30%</formula>
    </cfRule>
  </conditionalFormatting>
  <conditionalFormatting sqref="T18:T19 T94:T100">
    <cfRule type="expression" dxfId="197" priority="13">
      <formula>T18:T250&gt;30%</formula>
    </cfRule>
  </conditionalFormatting>
  <conditionalFormatting sqref="T29:T35 T66:T81">
    <cfRule type="expression" dxfId="196" priority="2">
      <formula>T29:T268&gt;30%</formula>
    </cfRule>
  </conditionalFormatting>
  <conditionalFormatting sqref="T36:T42">
    <cfRule type="expression" dxfId="195" priority="17">
      <formula>T36:T274&gt;30%</formula>
    </cfRule>
  </conditionalFormatting>
  <conditionalFormatting sqref="T43:T49 T60:T63">
    <cfRule type="expression" dxfId="194" priority="18">
      <formula>T43:T285&gt;30%</formula>
    </cfRule>
  </conditionalFormatting>
  <conditionalFormatting sqref="T50:T54">
    <cfRule type="expression" dxfId="193" priority="3">
      <formula>T50:T286&gt;30%</formula>
    </cfRule>
  </conditionalFormatting>
  <conditionalFormatting sqref="T55:T58">
    <cfRule type="expression" dxfId="192" priority="14">
      <formula>T55:T299&gt;30%</formula>
    </cfRule>
  </conditionalFormatting>
  <conditionalFormatting sqref="T59">
    <cfRule type="expression" dxfId="191" priority="6">
      <formula>T59:T302&gt;30%</formula>
    </cfRule>
  </conditionalFormatting>
  <conditionalFormatting sqref="T64:T65">
    <cfRule type="expression" dxfId="190" priority="11">
      <formula>T64:T305&gt;30%</formula>
    </cfRule>
  </conditionalFormatting>
  <conditionalFormatting sqref="T82:T93 T101:T102">
    <cfRule type="expression" dxfId="189" priority="12">
      <formula>T82:T315&gt;30%</formula>
    </cfRule>
  </conditionalFormatting>
  <conditionalFormatting sqref="T133:T134 T143:T168">
    <cfRule type="expression" dxfId="188" priority="21">
      <formula>T133:T363&gt;30%</formula>
    </cfRule>
  </conditionalFormatting>
  <conditionalFormatting sqref="T135">
    <cfRule type="expression" dxfId="187" priority="5">
      <formula>T135:T369&gt;30%</formula>
    </cfRule>
  </conditionalFormatting>
  <conditionalFormatting sqref="T136:T142">
    <cfRule type="expression" dxfId="186" priority="7">
      <formula>T136:T371&gt;30%</formula>
    </cfRule>
  </conditionalFormatting>
  <conditionalFormatting sqref="T169:T189">
    <cfRule type="expression" dxfId="185" priority="22">
      <formula>T169:T398&gt;30%</formula>
    </cfRule>
  </conditionalFormatting>
  <conditionalFormatting sqref="T190">
    <cfRule type="expression" dxfId="184" priority="4">
      <formula>T190:T412&gt;30%</formula>
    </cfRule>
  </conditionalFormatting>
  <conditionalFormatting sqref="T191:T239">
    <cfRule type="expression" dxfId="183" priority="23">
      <formula>T191:T405&gt;30%</formula>
    </cfRule>
  </conditionalFormatting>
  <conditionalFormatting sqref="T240">
    <cfRule type="expression" dxfId="182" priority="9">
      <formula>T240:T455&gt;30%</formula>
    </cfRule>
  </conditionalFormatting>
  <conditionalFormatting sqref="T241:T267">
    <cfRule type="expression" dxfId="181" priority="19">
      <formula>T241:T438&gt;30%</formula>
    </cfRule>
  </conditionalFormatting>
  <conditionalFormatting sqref="T268">
    <cfRule type="expression" dxfId="180" priority="16">
      <formula>T268:T463&gt;30%</formula>
    </cfRule>
  </conditionalFormatting>
  <conditionalFormatting sqref="T269:T285">
    <cfRule type="expression" dxfId="179" priority="20">
      <formula>T269:T458&gt;30%</formula>
    </cfRule>
  </conditionalFormatting>
  <conditionalFormatting sqref="T286:T298">
    <cfRule type="expression" dxfId="178" priority="10">
      <formula>T286:T477&gt;30%</formula>
    </cfRule>
  </conditionalFormatting>
  <conditionalFormatting sqref="T299:T305">
    <cfRule type="expression" dxfId="177" priority="8">
      <formula>T299:T482&gt;30%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5"/>
  <sheetViews>
    <sheetView zoomScale="85" zoomScaleNormal="85" workbookViewId="0">
      <selection activeCell="B22" sqref="B22"/>
    </sheetView>
  </sheetViews>
  <sheetFormatPr defaultColWidth="12.54296875" defaultRowHeight="13" outlineLevelCol="1" x14ac:dyDescent="0.3"/>
  <cols>
    <col min="1" max="1" width="1.453125" style="78" customWidth="1"/>
    <col min="2" max="2" width="19.81640625" style="78" customWidth="1"/>
    <col min="3" max="3" width="48.1796875" style="78" customWidth="1"/>
    <col min="4" max="4" width="14.26953125" style="78" customWidth="1"/>
    <col min="5" max="5" width="7.81640625" style="78" customWidth="1"/>
    <col min="6" max="6" width="15.26953125" style="78" customWidth="1"/>
    <col min="7" max="7" width="11.81640625" style="78" customWidth="1"/>
    <col min="8" max="8" width="14" style="78" customWidth="1"/>
    <col min="9" max="9" width="13.81640625" style="78" customWidth="1"/>
    <col min="10" max="10" width="5.453125" style="78" customWidth="1"/>
    <col min="11" max="11" width="19.81640625" style="78" customWidth="1" outlineLevel="1"/>
    <col min="12" max="12" width="20" style="78" customWidth="1" outlineLevel="1"/>
    <col min="13" max="13" width="21.54296875" style="78" customWidth="1" outlineLevel="1"/>
    <col min="14" max="14" width="14" style="78" customWidth="1" outlineLevel="1"/>
    <col min="15" max="15" width="18.26953125" style="78" customWidth="1" outlineLevel="1"/>
    <col min="16" max="16" width="12" style="78" customWidth="1" outlineLevel="1"/>
    <col min="17" max="17" width="18.54296875" style="78" bestFit="1" customWidth="1" outlineLevel="1"/>
    <col min="18" max="18" width="19" style="78" customWidth="1" outlineLevel="1"/>
    <col min="19" max="19" width="1.453125" style="78" customWidth="1"/>
    <col min="20" max="20" width="13.7265625" style="78" customWidth="1"/>
    <col min="21" max="36" width="7.54296875" style="78" customWidth="1"/>
    <col min="37" max="16384" width="12.54296875" style="78"/>
  </cols>
  <sheetData>
    <row r="1" spans="1:36" ht="4.5" customHeight="1" x14ac:dyDescent="0.3">
      <c r="A1" s="70"/>
      <c r="B1" s="70"/>
      <c r="C1" s="70"/>
      <c r="D1" s="70"/>
      <c r="E1" s="71"/>
      <c r="F1" s="72"/>
      <c r="G1" s="71"/>
      <c r="H1" s="71"/>
      <c r="I1" s="73"/>
      <c r="J1" s="70"/>
      <c r="K1" s="70"/>
      <c r="L1" s="70"/>
      <c r="M1" s="70"/>
      <c r="N1" s="74"/>
      <c r="O1" s="75"/>
      <c r="P1" s="75"/>
      <c r="Q1" s="75"/>
      <c r="R1" s="76"/>
      <c r="S1" s="77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6" ht="24.75" customHeight="1" x14ac:dyDescent="0.3">
      <c r="A2" s="79"/>
      <c r="B2" s="80"/>
      <c r="C2" s="79"/>
      <c r="D2" s="79"/>
      <c r="E2" s="81"/>
      <c r="F2" s="82"/>
      <c r="G2" s="83"/>
      <c r="H2" s="83"/>
      <c r="I2" s="84"/>
      <c r="J2" s="79"/>
      <c r="K2" s="85"/>
      <c r="L2" s="85"/>
      <c r="M2" s="85"/>
      <c r="N2" s="86"/>
      <c r="O2" s="87"/>
      <c r="P2" s="87"/>
      <c r="Q2" s="75"/>
      <c r="R2" s="76"/>
      <c r="S2" s="88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34.5" customHeight="1" x14ac:dyDescent="0.3">
      <c r="A3" s="70"/>
      <c r="B3" s="80"/>
      <c r="C3" s="70"/>
      <c r="D3" s="70"/>
      <c r="E3" s="71"/>
      <c r="F3" s="72"/>
      <c r="G3" s="71"/>
      <c r="H3" s="71"/>
      <c r="I3" s="73"/>
      <c r="J3" s="70"/>
      <c r="K3" s="89"/>
      <c r="L3" s="90"/>
      <c r="M3" s="4"/>
      <c r="N3" s="91"/>
      <c r="O3" s="92"/>
      <c r="P3" s="87"/>
      <c r="Q3" s="75"/>
      <c r="R3" s="76"/>
      <c r="S3" s="77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</row>
    <row r="4" spans="1:36" ht="30" customHeight="1" thickBot="1" x14ac:dyDescent="0.35">
      <c r="A4" s="70"/>
      <c r="B4" s="93"/>
      <c r="C4" s="496"/>
      <c r="D4" s="497"/>
      <c r="E4" s="94"/>
      <c r="F4" s="72"/>
      <c r="G4" s="71"/>
      <c r="H4" s="71"/>
      <c r="I4" s="73"/>
      <c r="J4" s="70"/>
      <c r="K4" s="95"/>
      <c r="L4" s="498"/>
      <c r="M4" s="498"/>
      <c r="N4" s="498"/>
      <c r="O4" s="498"/>
      <c r="P4" s="96"/>
      <c r="Q4" s="2"/>
      <c r="R4" s="97"/>
      <c r="S4" s="77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spans="1:36" ht="30" customHeight="1" thickBot="1" x14ac:dyDescent="0.35">
      <c r="A5" s="70"/>
      <c r="B5" s="93"/>
      <c r="C5" s="496"/>
      <c r="D5" s="497"/>
      <c r="E5" s="94"/>
      <c r="F5" s="72"/>
      <c r="G5" s="71"/>
      <c r="H5" s="71"/>
      <c r="I5" s="73"/>
      <c r="J5" s="70"/>
      <c r="K5" s="98"/>
      <c r="L5" s="499"/>
      <c r="M5" s="499"/>
      <c r="N5" s="500"/>
      <c r="O5" s="500"/>
      <c r="P5" s="99"/>
      <c r="Q5" s="75"/>
      <c r="R5" s="76"/>
      <c r="S5" s="77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</row>
    <row r="6" spans="1:36" ht="4.5" customHeight="1" x14ac:dyDescent="0.3">
      <c r="A6" s="70"/>
      <c r="B6" s="70"/>
      <c r="C6" s="70"/>
      <c r="D6" s="70"/>
      <c r="E6" s="71"/>
      <c r="F6" s="72"/>
      <c r="G6" s="71"/>
      <c r="H6" s="71"/>
      <c r="I6" s="73"/>
      <c r="J6" s="94"/>
      <c r="K6" s="70"/>
      <c r="L6" s="70"/>
      <c r="M6" s="70"/>
      <c r="N6" s="74"/>
      <c r="O6" s="75"/>
      <c r="P6" s="75"/>
      <c r="Q6" s="75"/>
      <c r="R6" s="76"/>
      <c r="S6" s="77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</row>
    <row r="7" spans="1:36" ht="19.5" customHeight="1" x14ac:dyDescent="0.3">
      <c r="A7" s="94"/>
      <c r="B7" s="486"/>
      <c r="C7" s="488"/>
      <c r="D7" s="488"/>
      <c r="E7" s="490"/>
      <c r="F7" s="100"/>
      <c r="G7" s="100"/>
      <c r="H7" s="100"/>
      <c r="I7" s="102"/>
      <c r="J7" s="100"/>
      <c r="K7" s="488"/>
      <c r="L7" s="488"/>
      <c r="M7" s="488"/>
      <c r="N7" s="492"/>
      <c r="O7" s="494"/>
      <c r="P7" s="494"/>
      <c r="Q7" s="494"/>
      <c r="R7" s="484"/>
      <c r="S7" s="10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30" customHeight="1" x14ac:dyDescent="0.3">
      <c r="A8" s="105"/>
      <c r="B8" s="487"/>
      <c r="C8" s="489"/>
      <c r="D8" s="489"/>
      <c r="E8" s="491"/>
      <c r="F8" s="101"/>
      <c r="G8" s="101"/>
      <c r="H8" s="101"/>
      <c r="I8" s="106"/>
      <c r="J8" s="107"/>
      <c r="K8" s="489"/>
      <c r="L8" s="489"/>
      <c r="M8" s="489"/>
      <c r="N8" s="493"/>
      <c r="O8" s="495"/>
      <c r="P8" s="495"/>
      <c r="Q8" s="495"/>
      <c r="R8" s="485"/>
      <c r="S8" s="108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</row>
    <row r="9" spans="1:36" ht="11.25" customHeight="1" x14ac:dyDescent="0.3">
      <c r="A9" s="94"/>
      <c r="B9" s="100"/>
      <c r="C9" s="110"/>
      <c r="D9" s="100"/>
      <c r="E9" s="100"/>
      <c r="F9" s="100"/>
      <c r="G9" s="100"/>
      <c r="H9" s="100"/>
      <c r="I9" s="111"/>
      <c r="J9" s="112"/>
      <c r="K9" s="112"/>
      <c r="L9" s="112"/>
      <c r="M9" s="112"/>
      <c r="N9" s="103"/>
      <c r="O9" s="113"/>
      <c r="P9" s="113"/>
      <c r="Q9" s="113"/>
      <c r="R9" s="114"/>
      <c r="S9" s="115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2" customHeight="1" x14ac:dyDescent="0.3">
      <c r="A10" s="94"/>
      <c r="B10" s="116"/>
      <c r="C10" s="117"/>
      <c r="D10" s="116"/>
      <c r="E10" s="118"/>
      <c r="F10" s="117"/>
      <c r="G10" s="119"/>
      <c r="H10" s="119"/>
      <c r="I10" s="120"/>
      <c r="J10" s="112"/>
      <c r="K10" s="112"/>
      <c r="L10" s="112"/>
      <c r="M10" s="112"/>
      <c r="N10" s="103"/>
      <c r="O10" s="113"/>
      <c r="P10" s="113"/>
      <c r="Q10" s="113"/>
      <c r="R10" s="114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</row>
    <row r="11" spans="1:36" ht="12" customHeight="1" x14ac:dyDescent="0.3">
      <c r="A11" s="94"/>
      <c r="B11" s="112"/>
      <c r="C11" s="121"/>
      <c r="D11" s="112"/>
      <c r="E11" s="100"/>
      <c r="F11" s="121"/>
      <c r="G11" s="122"/>
      <c r="H11" s="122"/>
      <c r="I11" s="123"/>
      <c r="J11" s="112"/>
      <c r="K11" s="112"/>
      <c r="L11" s="112"/>
      <c r="M11" s="112"/>
      <c r="N11" s="103"/>
      <c r="O11" s="113"/>
      <c r="P11" s="113"/>
      <c r="Q11" s="113"/>
      <c r="R11" s="114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</row>
    <row r="12" spans="1:36" ht="16.5" customHeight="1" x14ac:dyDescent="0.3">
      <c r="A12" s="94"/>
      <c r="B12" s="124"/>
      <c r="C12" s="125"/>
      <c r="D12" s="125"/>
      <c r="E12" s="126"/>
      <c r="F12" s="126"/>
      <c r="G12" s="127"/>
      <c r="H12" s="126"/>
      <c r="I12" s="120"/>
      <c r="J12" s="128"/>
      <c r="K12" s="128"/>
      <c r="L12" s="128"/>
      <c r="M12" s="128"/>
      <c r="N12" s="129"/>
      <c r="O12" s="130"/>
      <c r="P12" s="130"/>
      <c r="Q12" s="130"/>
      <c r="R12" s="131"/>
      <c r="S12" s="115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</row>
    <row r="13" spans="1:36" ht="12" customHeight="1" x14ac:dyDescent="0.3">
      <c r="A13" s="94"/>
      <c r="B13" s="112"/>
      <c r="C13" s="121"/>
      <c r="D13" s="112"/>
      <c r="E13" s="100"/>
      <c r="F13" s="121"/>
      <c r="G13" s="122"/>
      <c r="H13" s="122"/>
      <c r="I13" s="123"/>
      <c r="J13" s="112"/>
      <c r="K13" s="112"/>
      <c r="L13" s="112"/>
      <c r="M13" s="112"/>
      <c r="N13" s="103"/>
      <c r="O13" s="113"/>
      <c r="P13" s="113"/>
      <c r="Q13" s="113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</row>
    <row r="14" spans="1:36" s="142" customFormat="1" ht="12" customHeight="1" x14ac:dyDescent="0.3">
      <c r="A14" s="132"/>
      <c r="B14" s="133"/>
      <c r="C14" s="134"/>
      <c r="D14" s="134"/>
      <c r="E14" s="135"/>
      <c r="F14" s="135"/>
      <c r="G14" s="135"/>
      <c r="H14" s="135"/>
      <c r="I14" s="136"/>
      <c r="J14" s="137"/>
      <c r="K14" s="134"/>
      <c r="L14" s="134"/>
      <c r="M14" s="134"/>
      <c r="N14" s="138"/>
      <c r="O14" s="139"/>
      <c r="P14" s="139"/>
      <c r="Q14" s="139"/>
      <c r="R14" s="140"/>
      <c r="S14" s="14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9.5" customHeight="1" x14ac:dyDescent="0.3">
      <c r="A15" s="70"/>
      <c r="B15" s="143"/>
      <c r="C15" s="144"/>
      <c r="D15" s="144"/>
      <c r="E15" s="144"/>
      <c r="F15" s="110"/>
      <c r="G15" s="110"/>
      <c r="H15" s="110"/>
      <c r="I15" s="145"/>
      <c r="J15" s="121"/>
      <c r="K15" s="121"/>
      <c r="L15" s="121"/>
      <c r="M15" s="121"/>
      <c r="N15" s="146"/>
      <c r="O15" s="147"/>
      <c r="P15" s="147"/>
      <c r="Q15" s="147"/>
      <c r="R15" s="148"/>
      <c r="S15" s="77"/>
      <c r="T15" s="14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ht="19.5" customHeight="1" x14ac:dyDescent="0.3">
      <c r="A16" s="70"/>
      <c r="B16" s="143"/>
      <c r="C16" s="144"/>
      <c r="D16" s="144"/>
      <c r="E16" s="144"/>
      <c r="F16" s="110"/>
      <c r="G16" s="110"/>
      <c r="H16" s="110"/>
      <c r="I16" s="145"/>
      <c r="J16" s="121"/>
      <c r="K16" s="121"/>
      <c r="L16" s="121"/>
      <c r="M16" s="121"/>
      <c r="N16" s="146"/>
      <c r="O16" s="147"/>
      <c r="P16" s="147"/>
      <c r="Q16" s="147"/>
      <c r="R16" s="148"/>
      <c r="S16" s="77"/>
      <c r="T16" s="14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</row>
    <row r="17" spans="1:36" ht="19.5" customHeight="1" x14ac:dyDescent="0.3">
      <c r="A17" s="70"/>
      <c r="B17" s="143"/>
      <c r="C17" s="144"/>
      <c r="D17" s="144"/>
      <c r="E17" s="144"/>
      <c r="F17" s="110"/>
      <c r="G17" s="110"/>
      <c r="H17" s="110"/>
      <c r="I17" s="145"/>
      <c r="J17" s="121"/>
      <c r="K17" s="121"/>
      <c r="L17" s="121"/>
      <c r="M17" s="121"/>
      <c r="N17" s="146"/>
      <c r="O17" s="147"/>
      <c r="P17" s="147"/>
      <c r="Q17" s="147"/>
      <c r="R17" s="148"/>
      <c r="S17" s="77"/>
      <c r="T17" s="14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</row>
    <row r="18" spans="1:36" ht="19.5" customHeight="1" x14ac:dyDescent="0.3">
      <c r="A18" s="70"/>
      <c r="B18" s="143"/>
      <c r="C18" s="144"/>
      <c r="D18" s="144"/>
      <c r="E18" s="144"/>
      <c r="F18" s="110"/>
      <c r="G18" s="110"/>
      <c r="H18" s="110"/>
      <c r="I18" s="145"/>
      <c r="J18" s="121"/>
      <c r="K18" s="121"/>
      <c r="L18" s="121"/>
      <c r="M18" s="121"/>
      <c r="N18" s="146"/>
      <c r="O18" s="147"/>
      <c r="P18" s="147"/>
      <c r="Q18" s="147"/>
      <c r="R18" s="148"/>
      <c r="S18" s="77"/>
      <c r="T18" s="14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</row>
    <row r="19" spans="1:36" ht="19.5" customHeight="1" x14ac:dyDescent="0.3">
      <c r="A19" s="70"/>
      <c r="B19" s="150"/>
      <c r="C19" s="151"/>
      <c r="D19" s="151"/>
      <c r="E19" s="151"/>
      <c r="F19" s="110"/>
      <c r="G19" s="110"/>
      <c r="H19" s="110"/>
      <c r="I19" s="145"/>
      <c r="J19" s="121"/>
      <c r="K19" s="121"/>
      <c r="L19" s="121"/>
      <c r="M19" s="121"/>
      <c r="N19" s="146"/>
      <c r="O19" s="147"/>
      <c r="P19" s="147"/>
      <c r="Q19" s="147"/>
      <c r="R19" s="148"/>
      <c r="S19" s="77"/>
      <c r="T19" s="14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</row>
    <row r="20" spans="1:36" ht="19.5" customHeight="1" x14ac:dyDescent="0.3">
      <c r="A20" s="70"/>
      <c r="B20" s="121"/>
      <c r="C20" s="121"/>
      <c r="D20" s="121"/>
      <c r="E20" s="110"/>
      <c r="F20" s="110"/>
      <c r="G20" s="110"/>
      <c r="H20" s="110"/>
      <c r="I20" s="145"/>
      <c r="J20" s="121"/>
      <c r="K20" s="121"/>
      <c r="L20" s="121"/>
      <c r="M20" s="121"/>
      <c r="N20" s="146"/>
      <c r="O20" s="147"/>
      <c r="P20" s="147"/>
      <c r="Q20" s="147"/>
      <c r="R20" s="148"/>
      <c r="S20" s="77"/>
      <c r="T20" s="14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</row>
    <row r="21" spans="1:36" s="142" customFormat="1" ht="19.5" customHeight="1" x14ac:dyDescent="0.3">
      <c r="A21" s="132"/>
      <c r="B21" s="133"/>
      <c r="C21" s="137"/>
      <c r="D21" s="137"/>
      <c r="E21" s="152"/>
      <c r="F21" s="152"/>
      <c r="G21" s="152"/>
      <c r="H21" s="152"/>
      <c r="I21" s="136"/>
      <c r="J21" s="137"/>
      <c r="K21" s="134"/>
      <c r="L21" s="134"/>
      <c r="M21" s="134"/>
      <c r="N21" s="153"/>
      <c r="O21" s="154"/>
      <c r="P21" s="154"/>
      <c r="Q21" s="154"/>
      <c r="R21" s="155"/>
      <c r="S21" s="141"/>
      <c r="T21" s="149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</row>
    <row r="22" spans="1:36" ht="19.5" customHeight="1" x14ac:dyDescent="0.3">
      <c r="A22" s="70"/>
      <c r="B22" s="143"/>
      <c r="C22" s="144"/>
      <c r="D22" s="156"/>
      <c r="E22" s="144"/>
      <c r="F22" s="110"/>
      <c r="G22" s="110"/>
      <c r="H22" s="157"/>
      <c r="I22" s="145"/>
      <c r="J22" s="121"/>
      <c r="K22" s="156"/>
      <c r="L22" s="156"/>
      <c r="M22" s="156"/>
      <c r="N22" s="158"/>
      <c r="O22" s="159"/>
      <c r="P22" s="159"/>
      <c r="Q22" s="159"/>
      <c r="R22" s="160"/>
      <c r="S22" s="77"/>
      <c r="T22" s="14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ht="19.5" customHeight="1" x14ac:dyDescent="0.3">
      <c r="A23" s="70"/>
      <c r="B23" s="143"/>
      <c r="C23" s="144"/>
      <c r="D23" s="156"/>
      <c r="E23" s="144"/>
      <c r="F23" s="110"/>
      <c r="G23" s="110"/>
      <c r="H23" s="157"/>
      <c r="I23" s="145"/>
      <c r="J23" s="121"/>
      <c r="K23" s="156"/>
      <c r="L23" s="156"/>
      <c r="M23" s="156"/>
      <c r="N23" s="158"/>
      <c r="O23" s="159"/>
      <c r="P23" s="159"/>
      <c r="Q23" s="159"/>
      <c r="R23" s="160"/>
      <c r="S23" s="77"/>
      <c r="T23" s="14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spans="1:36" ht="19.5" customHeight="1" x14ac:dyDescent="0.3">
      <c r="A24" s="70"/>
      <c r="B24" s="143"/>
      <c r="C24" s="144"/>
      <c r="D24" s="156"/>
      <c r="E24" s="144"/>
      <c r="F24" s="110"/>
      <c r="G24" s="110"/>
      <c r="H24" s="157"/>
      <c r="I24" s="145"/>
      <c r="J24" s="121"/>
      <c r="K24" s="156"/>
      <c r="L24" s="156"/>
      <c r="M24" s="156"/>
      <c r="N24" s="158"/>
      <c r="O24" s="159"/>
      <c r="P24" s="159"/>
      <c r="Q24" s="159"/>
      <c r="R24" s="160"/>
      <c r="S24" s="77"/>
      <c r="T24" s="14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ht="19.5" customHeight="1" x14ac:dyDescent="0.3">
      <c r="A25" s="70"/>
      <c r="B25" s="143"/>
      <c r="C25" s="144"/>
      <c r="D25" s="156"/>
      <c r="E25" s="144"/>
      <c r="F25" s="110"/>
      <c r="G25" s="110"/>
      <c r="H25" s="157"/>
      <c r="I25" s="145"/>
      <c r="J25" s="121"/>
      <c r="K25" s="156"/>
      <c r="L25" s="156"/>
      <c r="M25" s="156"/>
      <c r="N25" s="158"/>
      <c r="O25" s="159"/>
      <c r="P25" s="159"/>
      <c r="Q25" s="159"/>
      <c r="R25" s="160"/>
      <c r="S25" s="77"/>
      <c r="T25" s="14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ht="19.5" customHeight="1" x14ac:dyDescent="0.3">
      <c r="A26" s="70"/>
      <c r="B26" s="143"/>
      <c r="C26" s="144"/>
      <c r="D26" s="156"/>
      <c r="E26" s="144"/>
      <c r="F26" s="110"/>
      <c r="G26" s="110"/>
      <c r="H26" s="157"/>
      <c r="I26" s="145"/>
      <c r="J26" s="121"/>
      <c r="K26" s="156"/>
      <c r="L26" s="156"/>
      <c r="M26" s="156"/>
      <c r="N26" s="158"/>
      <c r="O26" s="159"/>
      <c r="P26" s="159"/>
      <c r="Q26" s="159"/>
      <c r="R26" s="160"/>
      <c r="S26" s="77"/>
      <c r="T26" s="14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1:36" ht="19.5" customHeight="1" x14ac:dyDescent="0.3">
      <c r="A27" s="70"/>
      <c r="B27" s="143"/>
      <c r="C27" s="144"/>
      <c r="D27" s="156"/>
      <c r="E27" s="144"/>
      <c r="F27" s="110"/>
      <c r="G27" s="110"/>
      <c r="H27" s="157"/>
      <c r="I27" s="145"/>
      <c r="J27" s="121"/>
      <c r="K27" s="156"/>
      <c r="L27" s="156"/>
      <c r="M27" s="156"/>
      <c r="N27" s="158"/>
      <c r="O27" s="159"/>
      <c r="P27" s="159"/>
      <c r="Q27" s="159"/>
      <c r="R27" s="160"/>
      <c r="S27" s="77"/>
      <c r="T27" s="14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1:36" s="142" customFormat="1" ht="19.5" customHeight="1" x14ac:dyDescent="0.3">
      <c r="A28" s="132"/>
      <c r="B28" s="133"/>
      <c r="C28" s="134"/>
      <c r="D28" s="134"/>
      <c r="E28" s="135"/>
      <c r="F28" s="135"/>
      <c r="G28" s="135"/>
      <c r="H28" s="135"/>
      <c r="I28" s="136"/>
      <c r="J28" s="137"/>
      <c r="K28" s="134"/>
      <c r="L28" s="134"/>
      <c r="M28" s="134"/>
      <c r="N28" s="138"/>
      <c r="O28" s="139"/>
      <c r="P28" s="139"/>
      <c r="Q28" s="139"/>
      <c r="R28" s="140"/>
      <c r="S28" s="141"/>
      <c r="T28" s="149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ht="19.5" customHeight="1" x14ac:dyDescent="0.3">
      <c r="A29" s="70"/>
      <c r="B29" s="143"/>
      <c r="C29" s="144"/>
      <c r="D29" s="156"/>
      <c r="E29" s="144"/>
      <c r="F29" s="110"/>
      <c r="G29" s="110"/>
      <c r="H29" s="157"/>
      <c r="I29" s="145"/>
      <c r="J29" s="121"/>
      <c r="K29" s="156"/>
      <c r="L29" s="156"/>
      <c r="M29" s="156"/>
      <c r="N29" s="158"/>
      <c r="O29" s="159"/>
      <c r="P29" s="159"/>
      <c r="Q29" s="159"/>
      <c r="R29" s="160"/>
      <c r="S29" s="77"/>
      <c r="T29" s="14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</row>
    <row r="30" spans="1:36" ht="19.5" customHeight="1" x14ac:dyDescent="0.3">
      <c r="A30" s="70"/>
      <c r="B30" s="143"/>
      <c r="C30" s="144"/>
      <c r="D30" s="156"/>
      <c r="E30" s="144"/>
      <c r="F30" s="110"/>
      <c r="G30" s="110"/>
      <c r="H30" s="157"/>
      <c r="I30" s="145"/>
      <c r="J30" s="121"/>
      <c r="K30" s="156"/>
      <c r="L30" s="156"/>
      <c r="M30" s="156"/>
      <c r="N30" s="158"/>
      <c r="O30" s="159"/>
      <c r="P30" s="159"/>
      <c r="Q30" s="159"/>
      <c r="R30" s="160"/>
      <c r="S30" s="77"/>
      <c r="T30" s="14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</row>
    <row r="31" spans="1:36" ht="19.5" customHeight="1" x14ac:dyDescent="0.3">
      <c r="A31" s="70"/>
      <c r="B31" s="143"/>
      <c r="C31" s="144"/>
      <c r="D31" s="156"/>
      <c r="E31" s="144"/>
      <c r="F31" s="110"/>
      <c r="G31" s="110"/>
      <c r="H31" s="157"/>
      <c r="I31" s="145"/>
      <c r="J31" s="121"/>
      <c r="K31" s="156"/>
      <c r="L31" s="156"/>
      <c r="M31" s="156"/>
      <c r="N31" s="158"/>
      <c r="O31" s="159"/>
      <c r="P31" s="159"/>
      <c r="Q31" s="159"/>
      <c r="R31" s="160"/>
      <c r="S31" s="77"/>
      <c r="T31" s="14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</row>
    <row r="32" spans="1:36" ht="19.5" customHeight="1" x14ac:dyDescent="0.3">
      <c r="A32" s="70"/>
      <c r="B32" s="143"/>
      <c r="C32" s="144"/>
      <c r="D32" s="156"/>
      <c r="E32" s="144"/>
      <c r="F32" s="110"/>
      <c r="G32" s="110"/>
      <c r="H32" s="157"/>
      <c r="I32" s="145"/>
      <c r="J32" s="121"/>
      <c r="K32" s="156"/>
      <c r="L32" s="156"/>
      <c r="M32" s="156"/>
      <c r="N32" s="158"/>
      <c r="O32" s="159"/>
      <c r="P32" s="159"/>
      <c r="Q32" s="159"/>
      <c r="R32" s="160"/>
      <c r="S32" s="77"/>
      <c r="T32" s="149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</row>
    <row r="33" spans="1:36" ht="19.5" customHeight="1" x14ac:dyDescent="0.3">
      <c r="A33" s="70"/>
      <c r="B33" s="143"/>
      <c r="C33" s="144"/>
      <c r="D33" s="156"/>
      <c r="E33" s="144"/>
      <c r="F33" s="110"/>
      <c r="G33" s="110"/>
      <c r="H33" s="157"/>
      <c r="I33" s="145"/>
      <c r="J33" s="121"/>
      <c r="K33" s="156"/>
      <c r="L33" s="156"/>
      <c r="M33" s="156"/>
      <c r="N33" s="158"/>
      <c r="O33" s="159"/>
      <c r="P33" s="159"/>
      <c r="Q33" s="159"/>
      <c r="R33" s="160"/>
      <c r="S33" s="77"/>
      <c r="T33" s="149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</row>
    <row r="34" spans="1:36" ht="19.5" customHeight="1" x14ac:dyDescent="0.3">
      <c r="A34" s="70"/>
      <c r="B34" s="143"/>
      <c r="C34" s="144"/>
      <c r="D34" s="156"/>
      <c r="E34" s="144"/>
      <c r="F34" s="110"/>
      <c r="G34" s="110"/>
      <c r="H34" s="157"/>
      <c r="I34" s="145"/>
      <c r="J34" s="121"/>
      <c r="K34" s="156"/>
      <c r="L34" s="156"/>
      <c r="M34" s="156"/>
      <c r="N34" s="158"/>
      <c r="O34" s="159"/>
      <c r="P34" s="159"/>
      <c r="Q34" s="159"/>
      <c r="R34" s="160"/>
      <c r="S34" s="77"/>
      <c r="T34" s="149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</row>
    <row r="35" spans="1:36" ht="19.5" customHeight="1" x14ac:dyDescent="0.3">
      <c r="A35" s="70"/>
      <c r="B35" s="143"/>
      <c r="C35" s="144"/>
      <c r="D35" s="156"/>
      <c r="E35" s="144"/>
      <c r="F35" s="110"/>
      <c r="G35" s="110"/>
      <c r="H35" s="157"/>
      <c r="I35" s="145"/>
      <c r="J35" s="121"/>
      <c r="K35" s="156"/>
      <c r="L35" s="156"/>
      <c r="M35" s="156"/>
      <c r="N35" s="158"/>
      <c r="O35" s="159"/>
      <c r="P35" s="159"/>
      <c r="Q35" s="159"/>
      <c r="R35" s="160"/>
      <c r="S35" s="77"/>
      <c r="T35" s="149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spans="1:36" ht="19.5" customHeight="1" x14ac:dyDescent="0.3">
      <c r="A36" s="70"/>
      <c r="B36" s="156"/>
      <c r="C36" s="156"/>
      <c r="D36" s="156"/>
      <c r="E36" s="157"/>
      <c r="F36" s="157"/>
      <c r="G36" s="157"/>
      <c r="H36" s="157"/>
      <c r="I36" s="145"/>
      <c r="J36" s="121"/>
      <c r="K36" s="156"/>
      <c r="L36" s="156"/>
      <c r="M36" s="156"/>
      <c r="N36" s="158"/>
      <c r="O36" s="159"/>
      <c r="P36" s="159"/>
      <c r="Q36" s="159"/>
      <c r="R36" s="160"/>
      <c r="S36" s="77"/>
      <c r="T36" s="149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</row>
    <row r="37" spans="1:36" s="142" customFormat="1" ht="19.5" customHeight="1" x14ac:dyDescent="0.3">
      <c r="A37" s="132"/>
      <c r="B37" s="133"/>
      <c r="C37" s="137"/>
      <c r="D37" s="137"/>
      <c r="E37" s="152"/>
      <c r="F37" s="152"/>
      <c r="G37" s="152"/>
      <c r="H37" s="152"/>
      <c r="I37" s="136"/>
      <c r="J37" s="137"/>
      <c r="K37" s="134"/>
      <c r="L37" s="134"/>
      <c r="M37" s="134"/>
      <c r="N37" s="153"/>
      <c r="O37" s="139"/>
      <c r="P37" s="139"/>
      <c r="Q37" s="139"/>
      <c r="R37" s="140"/>
      <c r="S37" s="141"/>
      <c r="T37" s="149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</row>
    <row r="38" spans="1:36" ht="19.5" customHeight="1" x14ac:dyDescent="0.3">
      <c r="A38" s="70"/>
      <c r="B38" s="161"/>
      <c r="C38" s="144"/>
      <c r="D38" s="162"/>
      <c r="E38" s="144"/>
      <c r="F38" s="110"/>
      <c r="G38" s="110"/>
      <c r="H38" s="157"/>
      <c r="I38" s="145"/>
      <c r="J38" s="121"/>
      <c r="K38" s="156"/>
      <c r="L38" s="156"/>
      <c r="M38" s="156"/>
      <c r="N38" s="158"/>
      <c r="O38" s="159"/>
      <c r="P38" s="159"/>
      <c r="Q38" s="159"/>
      <c r="R38" s="160"/>
      <c r="S38" s="77"/>
      <c r="T38" s="149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</row>
    <row r="39" spans="1:36" ht="19.5" customHeight="1" x14ac:dyDescent="0.3">
      <c r="A39" s="70"/>
      <c r="B39" s="161"/>
      <c r="C39" s="144"/>
      <c r="D39" s="156"/>
      <c r="E39" s="144"/>
      <c r="F39" s="110"/>
      <c r="G39" s="110"/>
      <c r="H39" s="157"/>
      <c r="I39" s="145"/>
      <c r="J39" s="121"/>
      <c r="K39" s="156"/>
      <c r="L39" s="156"/>
      <c r="M39" s="156"/>
      <c r="N39" s="158"/>
      <c r="O39" s="159"/>
      <c r="P39" s="159"/>
      <c r="Q39" s="159"/>
      <c r="R39" s="160"/>
      <c r="S39" s="77"/>
      <c r="T39" s="149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</row>
    <row r="40" spans="1:36" ht="19.5" customHeight="1" x14ac:dyDescent="0.3">
      <c r="A40" s="70"/>
      <c r="B40" s="161"/>
      <c r="C40" s="144"/>
      <c r="D40" s="156"/>
      <c r="E40" s="144"/>
      <c r="F40" s="110"/>
      <c r="G40" s="110"/>
      <c r="H40" s="157"/>
      <c r="I40" s="145"/>
      <c r="J40" s="121"/>
      <c r="K40" s="156"/>
      <c r="L40" s="156"/>
      <c r="M40" s="156"/>
      <c r="N40" s="158"/>
      <c r="O40" s="159"/>
      <c r="P40" s="159"/>
      <c r="Q40" s="159"/>
      <c r="R40" s="160"/>
      <c r="S40" s="77"/>
      <c r="T40" s="149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spans="1:36" ht="19.5" customHeight="1" x14ac:dyDescent="0.3">
      <c r="A41" s="70"/>
      <c r="B41" s="161"/>
      <c r="C41" s="144"/>
      <c r="D41" s="156"/>
      <c r="E41" s="144"/>
      <c r="F41" s="110"/>
      <c r="G41" s="110"/>
      <c r="H41" s="157"/>
      <c r="I41" s="145"/>
      <c r="J41" s="121"/>
      <c r="K41" s="156"/>
      <c r="L41" s="156"/>
      <c r="M41" s="156"/>
      <c r="N41" s="158"/>
      <c r="O41" s="159"/>
      <c r="P41" s="159"/>
      <c r="Q41" s="159"/>
      <c r="R41" s="160"/>
      <c r="S41" s="77"/>
      <c r="T41" s="149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spans="1:36" ht="19.5" customHeight="1" x14ac:dyDescent="0.3">
      <c r="A42" s="70"/>
      <c r="B42" s="161"/>
      <c r="C42" s="163"/>
      <c r="D42" s="156"/>
      <c r="E42" s="144"/>
      <c r="F42" s="110"/>
      <c r="G42" s="110"/>
      <c r="H42" s="157"/>
      <c r="I42" s="145"/>
      <c r="J42" s="121"/>
      <c r="K42" s="156"/>
      <c r="L42" s="156"/>
      <c r="M42" s="156"/>
      <c r="N42" s="158"/>
      <c r="O42" s="159"/>
      <c r="P42" s="159"/>
      <c r="Q42" s="159"/>
      <c r="R42" s="160"/>
      <c r="S42" s="77"/>
      <c r="T42" s="149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36" ht="19.5" customHeight="1" x14ac:dyDescent="0.3">
      <c r="A43" s="70"/>
      <c r="B43" s="161"/>
      <c r="C43" s="144"/>
      <c r="D43" s="156"/>
      <c r="E43" s="144"/>
      <c r="F43" s="110"/>
      <c r="G43" s="110"/>
      <c r="H43" s="157"/>
      <c r="I43" s="145"/>
      <c r="J43" s="121"/>
      <c r="K43" s="156"/>
      <c r="L43" s="156"/>
      <c r="M43" s="156"/>
      <c r="N43" s="158"/>
      <c r="O43" s="159"/>
      <c r="P43" s="159"/>
      <c r="Q43" s="159"/>
      <c r="R43" s="160"/>
      <c r="S43" s="77"/>
      <c r="T43" s="149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36" ht="19.5" customHeight="1" x14ac:dyDescent="0.3">
      <c r="A44" s="70"/>
      <c r="B44" s="161"/>
      <c r="C44" s="144"/>
      <c r="D44" s="156"/>
      <c r="E44" s="144"/>
      <c r="F44" s="110"/>
      <c r="G44" s="110"/>
      <c r="H44" s="157"/>
      <c r="I44" s="145"/>
      <c r="J44" s="121"/>
      <c r="K44" s="156"/>
      <c r="L44" s="156"/>
      <c r="M44" s="156"/>
      <c r="N44" s="158"/>
      <c r="O44" s="159"/>
      <c r="P44" s="159"/>
      <c r="Q44" s="159"/>
      <c r="R44" s="160"/>
      <c r="S44" s="77"/>
      <c r="T44" s="149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36" ht="19.5" customHeight="1" x14ac:dyDescent="0.3">
      <c r="A45" s="70"/>
      <c r="B45" s="161"/>
      <c r="C45" s="144"/>
      <c r="D45" s="156"/>
      <c r="E45" s="144"/>
      <c r="F45" s="110"/>
      <c r="G45" s="110"/>
      <c r="H45" s="157"/>
      <c r="I45" s="145"/>
      <c r="J45" s="121"/>
      <c r="K45" s="156"/>
      <c r="L45" s="156"/>
      <c r="M45" s="156"/>
      <c r="N45" s="158"/>
      <c r="O45" s="159"/>
      <c r="P45" s="159"/>
      <c r="Q45" s="159"/>
      <c r="R45" s="160"/>
      <c r="S45" s="77"/>
      <c r="T45" s="14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36" ht="19.5" customHeight="1" x14ac:dyDescent="0.3">
      <c r="A46" s="70"/>
      <c r="B46" s="161"/>
      <c r="C46" s="144"/>
      <c r="D46" s="156"/>
      <c r="E46" s="144"/>
      <c r="F46" s="110"/>
      <c r="G46" s="110"/>
      <c r="H46" s="157"/>
      <c r="I46" s="145"/>
      <c r="J46" s="121"/>
      <c r="K46" s="156"/>
      <c r="L46" s="156"/>
      <c r="M46" s="156"/>
      <c r="N46" s="158"/>
      <c r="O46" s="159"/>
      <c r="P46" s="159"/>
      <c r="Q46" s="159"/>
      <c r="R46" s="160"/>
      <c r="S46" s="77"/>
      <c r="T46" s="149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36" ht="19.5" customHeight="1" x14ac:dyDescent="0.3">
      <c r="A47" s="70"/>
      <c r="B47" s="161"/>
      <c r="C47" s="144"/>
      <c r="D47" s="156"/>
      <c r="E47" s="144"/>
      <c r="F47" s="110"/>
      <c r="G47" s="110"/>
      <c r="H47" s="157"/>
      <c r="I47" s="145"/>
      <c r="J47" s="121"/>
      <c r="K47" s="156"/>
      <c r="L47" s="156"/>
      <c r="M47" s="156"/>
      <c r="N47" s="158"/>
      <c r="O47" s="159"/>
      <c r="P47" s="159"/>
      <c r="Q47" s="159"/>
      <c r="R47" s="160"/>
      <c r="S47" s="77"/>
      <c r="T47" s="149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36" ht="19.5" customHeight="1" x14ac:dyDescent="0.3">
      <c r="A48" s="70"/>
      <c r="B48" s="161"/>
      <c r="C48" s="144"/>
      <c r="D48" s="156"/>
      <c r="E48" s="143"/>
      <c r="F48" s="110"/>
      <c r="G48" s="110"/>
      <c r="H48" s="157"/>
      <c r="I48" s="145"/>
      <c r="J48" s="121"/>
      <c r="K48" s="156"/>
      <c r="L48" s="156"/>
      <c r="M48" s="156"/>
      <c r="N48" s="158"/>
      <c r="O48" s="159"/>
      <c r="P48" s="159"/>
      <c r="Q48" s="159"/>
      <c r="R48" s="160"/>
      <c r="S48" s="77"/>
      <c r="T48" s="149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36" ht="19.5" customHeight="1" x14ac:dyDescent="0.3">
      <c r="A49" s="70"/>
      <c r="B49" s="161"/>
      <c r="C49" s="144"/>
      <c r="D49" s="156"/>
      <c r="E49" s="143"/>
      <c r="F49" s="110"/>
      <c r="G49" s="110"/>
      <c r="H49" s="157"/>
      <c r="I49" s="145"/>
      <c r="J49" s="121"/>
      <c r="K49" s="156"/>
      <c r="L49" s="156"/>
      <c r="M49" s="156"/>
      <c r="N49" s="158"/>
      <c r="O49" s="159"/>
      <c r="P49" s="159"/>
      <c r="Q49" s="159"/>
      <c r="R49" s="160"/>
      <c r="S49" s="77"/>
      <c r="T49" s="149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spans="1:36" ht="19.5" customHeight="1" x14ac:dyDescent="0.3">
      <c r="A50" s="70"/>
      <c r="B50" s="156"/>
      <c r="C50" s="156"/>
      <c r="D50" s="156"/>
      <c r="E50" s="157"/>
      <c r="F50" s="157"/>
      <c r="G50" s="157"/>
      <c r="H50" s="157"/>
      <c r="I50" s="145"/>
      <c r="J50" s="121"/>
      <c r="K50" s="156"/>
      <c r="L50" s="156"/>
      <c r="M50" s="156"/>
      <c r="N50" s="158"/>
      <c r="O50" s="159"/>
      <c r="P50" s="159"/>
      <c r="Q50" s="159"/>
      <c r="R50" s="160"/>
      <c r="S50" s="77"/>
      <c r="T50" s="149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spans="1:36" s="142" customFormat="1" ht="19.5" customHeight="1" x14ac:dyDescent="0.3">
      <c r="A51" s="132"/>
      <c r="B51" s="133"/>
      <c r="C51" s="133"/>
      <c r="D51" s="137"/>
      <c r="E51" s="152"/>
      <c r="F51" s="152"/>
      <c r="G51" s="152"/>
      <c r="H51" s="152"/>
      <c r="I51" s="136"/>
      <c r="J51" s="137"/>
      <c r="K51" s="134"/>
      <c r="L51" s="134"/>
      <c r="M51" s="134"/>
      <c r="N51" s="153"/>
      <c r="O51" s="139"/>
      <c r="P51" s="139"/>
      <c r="Q51" s="139"/>
      <c r="R51" s="140"/>
      <c r="S51" s="141"/>
      <c r="T51" s="149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</row>
    <row r="52" spans="1:36" ht="19.5" customHeight="1" x14ac:dyDescent="0.3">
      <c r="A52" s="70"/>
      <c r="B52" s="143"/>
      <c r="C52" s="144"/>
      <c r="D52" s="156"/>
      <c r="E52" s="144"/>
      <c r="F52" s="110"/>
      <c r="G52" s="110"/>
      <c r="H52" s="157"/>
      <c r="I52" s="145"/>
      <c r="J52" s="121"/>
      <c r="K52" s="156"/>
      <c r="L52" s="156"/>
      <c r="M52" s="156"/>
      <c r="N52" s="158"/>
      <c r="O52" s="159"/>
      <c r="P52" s="159"/>
      <c r="Q52" s="159"/>
      <c r="R52" s="160"/>
      <c r="S52" s="77"/>
      <c r="T52" s="149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spans="1:36" ht="19.5" customHeight="1" x14ac:dyDescent="0.3">
      <c r="A53" s="70"/>
      <c r="B53" s="143"/>
      <c r="C53" s="144"/>
      <c r="D53" s="156"/>
      <c r="E53" s="144"/>
      <c r="F53" s="110"/>
      <c r="G53" s="110"/>
      <c r="H53" s="157"/>
      <c r="I53" s="145"/>
      <c r="J53" s="121"/>
      <c r="K53" s="156"/>
      <c r="L53" s="156"/>
      <c r="M53" s="156"/>
      <c r="N53" s="158"/>
      <c r="O53" s="159"/>
      <c r="P53" s="159"/>
      <c r="Q53" s="159"/>
      <c r="R53" s="160"/>
      <c r="S53" s="77"/>
      <c r="T53" s="149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pans="1:36" ht="19.5" customHeight="1" x14ac:dyDescent="0.3">
      <c r="A54" s="70"/>
      <c r="B54" s="143"/>
      <c r="C54" s="144"/>
      <c r="D54" s="156"/>
      <c r="E54" s="144"/>
      <c r="F54" s="110"/>
      <c r="G54" s="110"/>
      <c r="H54" s="157"/>
      <c r="I54" s="145"/>
      <c r="J54" s="121"/>
      <c r="K54" s="156"/>
      <c r="L54" s="156"/>
      <c r="M54" s="156"/>
      <c r="N54" s="158"/>
      <c r="O54" s="159"/>
      <c r="P54" s="159"/>
      <c r="Q54" s="159"/>
      <c r="R54" s="160"/>
      <c r="S54" s="77"/>
      <c r="T54" s="149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ht="19.5" customHeight="1" x14ac:dyDescent="0.3">
      <c r="A55" s="70"/>
      <c r="B55" s="143"/>
      <c r="C55" s="144"/>
      <c r="D55" s="156"/>
      <c r="E55" s="144"/>
      <c r="F55" s="110"/>
      <c r="G55" s="110"/>
      <c r="H55" s="157"/>
      <c r="I55" s="145"/>
      <c r="J55" s="121"/>
      <c r="K55" s="156"/>
      <c r="L55" s="156"/>
      <c r="M55" s="156"/>
      <c r="N55" s="158"/>
      <c r="O55" s="159"/>
      <c r="P55" s="159"/>
      <c r="Q55" s="159"/>
      <c r="R55" s="160"/>
      <c r="S55" s="77"/>
      <c r="T55" s="149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spans="1:36" ht="19.5" customHeight="1" x14ac:dyDescent="0.3">
      <c r="A56" s="70"/>
      <c r="B56" s="143"/>
      <c r="C56" s="144"/>
      <c r="D56" s="162"/>
      <c r="E56" s="144"/>
      <c r="F56" s="110"/>
      <c r="G56" s="110"/>
      <c r="H56" s="157"/>
      <c r="I56" s="145"/>
      <c r="J56" s="121"/>
      <c r="K56" s="156"/>
      <c r="L56" s="156"/>
      <c r="M56" s="156"/>
      <c r="N56" s="158"/>
      <c r="O56" s="159"/>
      <c r="P56" s="159"/>
      <c r="Q56" s="159"/>
      <c r="R56" s="160"/>
      <c r="S56" s="77"/>
      <c r="T56" s="149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spans="1:36" ht="19.5" customHeight="1" x14ac:dyDescent="0.3">
      <c r="A57" s="70"/>
      <c r="B57" s="143"/>
      <c r="C57" s="144"/>
      <c r="D57" s="156"/>
      <c r="E57" s="144"/>
      <c r="F57" s="110"/>
      <c r="G57" s="110"/>
      <c r="H57" s="157"/>
      <c r="I57" s="145"/>
      <c r="J57" s="121"/>
      <c r="K57" s="156"/>
      <c r="L57" s="156"/>
      <c r="M57" s="156"/>
      <c r="N57" s="158"/>
      <c r="O57" s="159"/>
      <c r="P57" s="159"/>
      <c r="Q57" s="159"/>
      <c r="R57" s="160"/>
      <c r="S57" s="77"/>
      <c r="T57" s="149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spans="1:36" ht="19.5" customHeight="1" x14ac:dyDescent="0.3">
      <c r="A58" s="70"/>
      <c r="B58" s="150"/>
      <c r="C58" s="151"/>
      <c r="D58" s="156"/>
      <c r="E58" s="144"/>
      <c r="F58" s="110"/>
      <c r="G58" s="110"/>
      <c r="H58" s="157"/>
      <c r="I58" s="145"/>
      <c r="J58" s="121"/>
      <c r="K58" s="156"/>
      <c r="L58" s="156"/>
      <c r="M58" s="156"/>
      <c r="N58" s="158"/>
      <c r="O58" s="159"/>
      <c r="P58" s="159"/>
      <c r="Q58" s="159"/>
      <c r="R58" s="160"/>
      <c r="S58" s="77"/>
      <c r="T58" s="149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spans="1:36" ht="19.5" customHeight="1" x14ac:dyDescent="0.3">
      <c r="A59" s="70"/>
      <c r="B59" s="150"/>
      <c r="C59" s="151"/>
      <c r="D59" s="156"/>
      <c r="E59" s="151"/>
      <c r="F59" s="110"/>
      <c r="G59" s="110"/>
      <c r="H59" s="157"/>
      <c r="I59" s="145"/>
      <c r="J59" s="121"/>
      <c r="K59" s="156"/>
      <c r="L59" s="156"/>
      <c r="M59" s="156"/>
      <c r="N59" s="158"/>
      <c r="O59" s="159"/>
      <c r="P59" s="159"/>
      <c r="Q59" s="159"/>
      <c r="R59" s="160"/>
      <c r="S59" s="77"/>
      <c r="T59" s="149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spans="1:36" ht="19.5" customHeight="1" x14ac:dyDescent="0.3">
      <c r="A60" s="70"/>
      <c r="B60" s="156"/>
      <c r="C60" s="156"/>
      <c r="D60" s="156"/>
      <c r="E60" s="157"/>
      <c r="F60" s="157"/>
      <c r="G60" s="157"/>
      <c r="H60" s="157"/>
      <c r="I60" s="145"/>
      <c r="J60" s="121"/>
      <c r="K60" s="156"/>
      <c r="L60" s="156"/>
      <c r="M60" s="156"/>
      <c r="N60" s="158"/>
      <c r="O60" s="159"/>
      <c r="P60" s="159"/>
      <c r="Q60" s="159"/>
      <c r="R60" s="160"/>
      <c r="S60" s="77"/>
      <c r="T60" s="149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spans="1:36" s="142" customFormat="1" ht="19.5" customHeight="1" x14ac:dyDescent="0.3">
      <c r="A61" s="132"/>
      <c r="B61" s="133"/>
      <c r="C61" s="133"/>
      <c r="D61" s="137"/>
      <c r="E61" s="152"/>
      <c r="F61" s="152"/>
      <c r="G61" s="152"/>
      <c r="H61" s="152"/>
      <c r="I61" s="136"/>
      <c r="J61" s="137"/>
      <c r="K61" s="134"/>
      <c r="L61" s="134"/>
      <c r="M61" s="134"/>
      <c r="N61" s="153"/>
      <c r="O61" s="139"/>
      <c r="P61" s="139"/>
      <c r="Q61" s="139"/>
      <c r="R61" s="140"/>
      <c r="S61" s="141"/>
      <c r="T61" s="149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</row>
    <row r="62" spans="1:36" ht="19.5" customHeight="1" x14ac:dyDescent="0.3">
      <c r="A62" s="70"/>
      <c r="B62" s="143"/>
      <c r="C62" s="144"/>
      <c r="D62" s="156"/>
      <c r="E62" s="144"/>
      <c r="F62" s="110"/>
      <c r="G62" s="110"/>
      <c r="H62" s="157"/>
      <c r="I62" s="145"/>
      <c r="J62" s="121"/>
      <c r="K62" s="156"/>
      <c r="L62" s="156"/>
      <c r="M62" s="156"/>
      <c r="N62" s="158"/>
      <c r="O62" s="159"/>
      <c r="P62" s="159"/>
      <c r="Q62" s="159"/>
      <c r="R62" s="160"/>
      <c r="S62" s="77"/>
      <c r="T62" s="149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ht="19.5" customHeight="1" x14ac:dyDescent="0.3">
      <c r="A63" s="70"/>
      <c r="B63" s="143"/>
      <c r="C63" s="144"/>
      <c r="D63" s="156"/>
      <c r="E63" s="144"/>
      <c r="F63" s="110"/>
      <c r="G63" s="110"/>
      <c r="H63" s="157"/>
      <c r="I63" s="145"/>
      <c r="J63" s="121"/>
      <c r="K63" s="156"/>
      <c r="L63" s="156"/>
      <c r="M63" s="156"/>
      <c r="N63" s="158"/>
      <c r="O63" s="159"/>
      <c r="P63" s="159"/>
      <c r="Q63" s="159"/>
      <c r="R63" s="160"/>
      <c r="S63" s="77"/>
      <c r="T63" s="149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spans="1:36" ht="19.5" customHeight="1" x14ac:dyDescent="0.3">
      <c r="A64" s="70"/>
      <c r="B64" s="143"/>
      <c r="C64" s="144"/>
      <c r="D64" s="156"/>
      <c r="E64" s="144"/>
      <c r="F64" s="110"/>
      <c r="G64" s="110"/>
      <c r="H64" s="157"/>
      <c r="I64" s="145"/>
      <c r="J64" s="121"/>
      <c r="K64" s="156"/>
      <c r="L64" s="156"/>
      <c r="M64" s="156"/>
      <c r="N64" s="158"/>
      <c r="O64" s="159"/>
      <c r="P64" s="159"/>
      <c r="Q64" s="159"/>
      <c r="R64" s="160"/>
      <c r="S64" s="77"/>
      <c r="T64" s="149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6" ht="19.5" customHeight="1" x14ac:dyDescent="0.3">
      <c r="A65" s="70"/>
      <c r="B65" s="150"/>
      <c r="C65" s="151"/>
      <c r="D65" s="156"/>
      <c r="E65" s="151"/>
      <c r="F65" s="110"/>
      <c r="G65" s="110"/>
      <c r="H65" s="157"/>
      <c r="I65" s="145"/>
      <c r="J65" s="121"/>
      <c r="K65" s="156"/>
      <c r="L65" s="156"/>
      <c r="M65" s="156"/>
      <c r="N65" s="158"/>
      <c r="O65" s="159"/>
      <c r="P65" s="159"/>
      <c r="Q65" s="159"/>
      <c r="R65" s="160"/>
      <c r="S65" s="77"/>
      <c r="T65" s="149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spans="1:36" ht="19.5" customHeight="1" x14ac:dyDescent="0.3">
      <c r="A66" s="70"/>
      <c r="B66" s="156"/>
      <c r="C66" s="156"/>
      <c r="D66" s="156"/>
      <c r="E66" s="157"/>
      <c r="F66" s="157"/>
      <c r="G66" s="157"/>
      <c r="H66" s="157"/>
      <c r="I66" s="145"/>
      <c r="J66" s="121"/>
      <c r="K66" s="156"/>
      <c r="L66" s="156"/>
      <c r="M66" s="156"/>
      <c r="N66" s="158"/>
      <c r="O66" s="159"/>
      <c r="P66" s="159"/>
      <c r="Q66" s="159"/>
      <c r="R66" s="160"/>
      <c r="S66" s="77"/>
      <c r="T66" s="149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pans="1:36" s="142" customFormat="1" ht="19.5" customHeight="1" x14ac:dyDescent="0.3">
      <c r="A67" s="132"/>
      <c r="B67" s="133"/>
      <c r="C67" s="133"/>
      <c r="D67" s="137"/>
      <c r="E67" s="152"/>
      <c r="F67" s="152"/>
      <c r="G67" s="152"/>
      <c r="H67" s="152"/>
      <c r="I67" s="136"/>
      <c r="J67" s="137"/>
      <c r="K67" s="134"/>
      <c r="L67" s="134"/>
      <c r="M67" s="134"/>
      <c r="N67" s="153"/>
      <c r="O67" s="139"/>
      <c r="P67" s="139"/>
      <c r="Q67" s="139"/>
      <c r="R67" s="140"/>
      <c r="S67" s="141"/>
      <c r="T67" s="149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 spans="1:36" ht="19.5" customHeight="1" x14ac:dyDescent="0.3">
      <c r="A68" s="70"/>
      <c r="B68" s="143"/>
      <c r="C68" s="144"/>
      <c r="D68" s="156"/>
      <c r="E68" s="144"/>
      <c r="F68" s="110"/>
      <c r="G68" s="110"/>
      <c r="H68" s="157"/>
      <c r="I68" s="145"/>
      <c r="J68" s="121"/>
      <c r="K68" s="156"/>
      <c r="L68" s="156"/>
      <c r="M68" s="156"/>
      <c r="N68" s="158"/>
      <c r="O68" s="159"/>
      <c r="P68" s="159"/>
      <c r="Q68" s="159"/>
      <c r="R68" s="160"/>
      <c r="S68" s="77"/>
      <c r="T68" s="149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spans="1:36" ht="19.5" customHeight="1" x14ac:dyDescent="0.3">
      <c r="A69" s="70"/>
      <c r="B69" s="143"/>
      <c r="C69" s="144"/>
      <c r="D69" s="156"/>
      <c r="E69" s="144"/>
      <c r="F69" s="110"/>
      <c r="G69" s="110"/>
      <c r="H69" s="157"/>
      <c r="I69" s="145"/>
      <c r="J69" s="121"/>
      <c r="K69" s="156"/>
      <c r="L69" s="156"/>
      <c r="M69" s="156"/>
      <c r="N69" s="158"/>
      <c r="O69" s="159"/>
      <c r="P69" s="159"/>
      <c r="Q69" s="159"/>
      <c r="R69" s="160"/>
      <c r="S69" s="77"/>
      <c r="T69" s="149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ht="19.5" customHeight="1" x14ac:dyDescent="0.3">
      <c r="A70" s="70"/>
      <c r="B70" s="156"/>
      <c r="C70" s="156"/>
      <c r="D70" s="156"/>
      <c r="E70" s="157"/>
      <c r="F70" s="157"/>
      <c r="G70" s="157"/>
      <c r="H70" s="157"/>
      <c r="I70" s="145"/>
      <c r="J70" s="121"/>
      <c r="K70" s="156"/>
      <c r="L70" s="156"/>
      <c r="M70" s="156"/>
      <c r="N70" s="158"/>
      <c r="O70" s="159"/>
      <c r="P70" s="159"/>
      <c r="Q70" s="159"/>
      <c r="R70" s="160"/>
      <c r="S70" s="77"/>
      <c r="T70" s="149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spans="1:36" s="142" customFormat="1" ht="19.5" customHeight="1" x14ac:dyDescent="0.3">
      <c r="A71" s="132"/>
      <c r="B71" s="133"/>
      <c r="C71" s="133"/>
      <c r="D71" s="137"/>
      <c r="E71" s="152"/>
      <c r="F71" s="152"/>
      <c r="G71" s="152"/>
      <c r="H71" s="152"/>
      <c r="I71" s="136"/>
      <c r="J71" s="137"/>
      <c r="K71" s="134"/>
      <c r="L71" s="134"/>
      <c r="M71" s="134"/>
      <c r="N71" s="153"/>
      <c r="O71" s="139"/>
      <c r="P71" s="139"/>
      <c r="Q71" s="139"/>
      <c r="R71" s="140"/>
      <c r="S71" s="141"/>
      <c r="T71" s="149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 spans="1:36" ht="19.5" customHeight="1" x14ac:dyDescent="0.3">
      <c r="A72" s="70"/>
      <c r="B72" s="143"/>
      <c r="C72" s="144"/>
      <c r="D72" s="144"/>
      <c r="E72" s="144"/>
      <c r="F72" s="110"/>
      <c r="G72" s="110"/>
      <c r="H72" s="157"/>
      <c r="I72" s="145"/>
      <c r="J72" s="121"/>
      <c r="K72" s="156"/>
      <c r="L72" s="156"/>
      <c r="M72" s="156"/>
      <c r="N72" s="158"/>
      <c r="O72" s="159"/>
      <c r="P72" s="159"/>
      <c r="Q72" s="159"/>
      <c r="R72" s="160"/>
      <c r="S72" s="77"/>
      <c r="T72" s="149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spans="1:36" ht="19.5" customHeight="1" x14ac:dyDescent="0.3">
      <c r="A73" s="70"/>
      <c r="B73" s="143"/>
      <c r="C73" s="144"/>
      <c r="D73" s="144"/>
      <c r="E73" s="144"/>
      <c r="F73" s="110"/>
      <c r="G73" s="110"/>
      <c r="H73" s="157"/>
      <c r="I73" s="145"/>
      <c r="J73" s="121"/>
      <c r="K73" s="156"/>
      <c r="L73" s="156"/>
      <c r="M73" s="156"/>
      <c r="N73" s="158"/>
      <c r="O73" s="159"/>
      <c r="P73" s="159"/>
      <c r="Q73" s="159"/>
      <c r="R73" s="160"/>
      <c r="S73" s="77"/>
      <c r="T73" s="149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36" ht="19.5" customHeight="1" x14ac:dyDescent="0.3">
      <c r="A74" s="70"/>
      <c r="B74" s="143"/>
      <c r="C74" s="144"/>
      <c r="D74" s="144"/>
      <c r="E74" s="144"/>
      <c r="F74" s="110"/>
      <c r="G74" s="110"/>
      <c r="H74" s="157"/>
      <c r="I74" s="145"/>
      <c r="J74" s="121"/>
      <c r="K74" s="156"/>
      <c r="L74" s="156"/>
      <c r="M74" s="156"/>
      <c r="N74" s="158"/>
      <c r="O74" s="159"/>
      <c r="P74" s="159"/>
      <c r="Q74" s="159"/>
      <c r="R74" s="160"/>
      <c r="S74" s="77"/>
      <c r="T74" s="149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spans="1:36" ht="19.5" customHeight="1" x14ac:dyDescent="0.3">
      <c r="A75" s="70"/>
      <c r="B75" s="156"/>
      <c r="C75" s="156"/>
      <c r="D75" s="156"/>
      <c r="E75" s="157"/>
      <c r="F75" s="157"/>
      <c r="G75" s="157"/>
      <c r="H75" s="157"/>
      <c r="I75" s="145"/>
      <c r="J75" s="121"/>
      <c r="K75" s="156"/>
      <c r="L75" s="156"/>
      <c r="M75" s="156"/>
      <c r="N75" s="158"/>
      <c r="O75" s="159"/>
      <c r="P75" s="159"/>
      <c r="Q75" s="159"/>
      <c r="R75" s="160"/>
      <c r="S75" s="77"/>
      <c r="T75" s="149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spans="1:36" s="142" customFormat="1" ht="19.5" customHeight="1" x14ac:dyDescent="0.3">
      <c r="A76" s="132"/>
      <c r="B76" s="133"/>
      <c r="C76" s="133"/>
      <c r="D76" s="137"/>
      <c r="E76" s="152"/>
      <c r="F76" s="152"/>
      <c r="G76" s="152"/>
      <c r="H76" s="152"/>
      <c r="I76" s="136"/>
      <c r="J76" s="137"/>
      <c r="K76" s="134"/>
      <c r="L76" s="134"/>
      <c r="M76" s="134"/>
      <c r="N76" s="153"/>
      <c r="O76" s="139"/>
      <c r="P76" s="139"/>
      <c r="Q76" s="139"/>
      <c r="R76" s="140"/>
      <c r="S76" s="141"/>
      <c r="T76" s="149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</row>
    <row r="77" spans="1:36" ht="19.5" customHeight="1" x14ac:dyDescent="0.3">
      <c r="A77" s="70"/>
      <c r="B77" s="143"/>
      <c r="C77" s="144"/>
      <c r="D77" s="144"/>
      <c r="E77" s="144"/>
      <c r="F77" s="110"/>
      <c r="G77" s="110"/>
      <c r="H77" s="157"/>
      <c r="I77" s="145"/>
      <c r="J77" s="121"/>
      <c r="K77" s="156"/>
      <c r="L77" s="156"/>
      <c r="M77" s="156"/>
      <c r="N77" s="158"/>
      <c r="O77" s="159"/>
      <c r="P77" s="159"/>
      <c r="Q77" s="159"/>
      <c r="R77" s="160"/>
      <c r="S77" s="77"/>
      <c r="T77" s="149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spans="1:36" ht="19.5" customHeight="1" x14ac:dyDescent="0.3">
      <c r="A78" s="70"/>
      <c r="B78" s="143"/>
      <c r="C78" s="144"/>
      <c r="D78" s="144"/>
      <c r="E78" s="144"/>
      <c r="F78" s="110"/>
      <c r="G78" s="110"/>
      <c r="H78" s="157"/>
      <c r="I78" s="145"/>
      <c r="J78" s="121"/>
      <c r="K78" s="156"/>
      <c r="L78" s="156"/>
      <c r="M78" s="156"/>
      <c r="N78" s="158"/>
      <c r="O78" s="159"/>
      <c r="P78" s="159"/>
      <c r="Q78" s="159"/>
      <c r="R78" s="160"/>
      <c r="S78" s="77"/>
      <c r="T78" s="149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36" ht="19.5" customHeight="1" x14ac:dyDescent="0.3">
      <c r="A79" s="70"/>
      <c r="B79" s="143"/>
      <c r="C79" s="144"/>
      <c r="D79" s="144"/>
      <c r="E79" s="144"/>
      <c r="F79" s="110"/>
      <c r="G79" s="110"/>
      <c r="H79" s="157"/>
      <c r="I79" s="145"/>
      <c r="J79" s="121"/>
      <c r="K79" s="156"/>
      <c r="L79" s="156"/>
      <c r="M79" s="156"/>
      <c r="N79" s="158"/>
      <c r="O79" s="159"/>
      <c r="P79" s="159"/>
      <c r="Q79" s="159"/>
      <c r="R79" s="160"/>
      <c r="S79" s="77"/>
      <c r="T79" s="149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36" ht="19.5" customHeight="1" x14ac:dyDescent="0.3">
      <c r="A80" s="70"/>
      <c r="B80" s="156"/>
      <c r="C80" s="156"/>
      <c r="D80" s="156"/>
      <c r="E80" s="157"/>
      <c r="F80" s="157"/>
      <c r="G80" s="157"/>
      <c r="H80" s="157"/>
      <c r="I80" s="145"/>
      <c r="J80" s="121"/>
      <c r="K80" s="156"/>
      <c r="L80" s="156"/>
      <c r="M80" s="156"/>
      <c r="N80" s="158"/>
      <c r="O80" s="159"/>
      <c r="P80" s="159"/>
      <c r="Q80" s="159"/>
      <c r="R80" s="160"/>
      <c r="S80" s="77"/>
      <c r="T80" s="149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spans="1:36" ht="19.5" customHeight="1" x14ac:dyDescent="0.3">
      <c r="A81" s="70"/>
      <c r="B81" s="156"/>
      <c r="C81" s="156"/>
      <c r="D81" s="156"/>
      <c r="E81" s="157"/>
      <c r="F81" s="157"/>
      <c r="G81" s="157"/>
      <c r="H81" s="157"/>
      <c r="I81" s="145"/>
      <c r="J81" s="121"/>
      <c r="K81" s="156"/>
      <c r="L81" s="156"/>
      <c r="M81" s="156"/>
      <c r="N81" s="158"/>
      <c r="O81" s="159"/>
      <c r="P81" s="159"/>
      <c r="Q81" s="159"/>
      <c r="R81" s="160"/>
      <c r="S81" s="77"/>
      <c r="T81" s="149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spans="1:36" s="142" customFormat="1" ht="19.5" customHeight="1" x14ac:dyDescent="0.3">
      <c r="A82" s="132"/>
      <c r="B82" s="133"/>
      <c r="C82" s="133"/>
      <c r="D82" s="137"/>
      <c r="E82" s="152"/>
      <c r="F82" s="152"/>
      <c r="G82" s="152"/>
      <c r="H82" s="152"/>
      <c r="I82" s="136"/>
      <c r="J82" s="137"/>
      <c r="K82" s="134"/>
      <c r="L82" s="134"/>
      <c r="M82" s="134"/>
      <c r="N82" s="153"/>
      <c r="O82" s="139"/>
      <c r="P82" s="139"/>
      <c r="Q82" s="139"/>
      <c r="R82" s="140"/>
      <c r="S82" s="141"/>
      <c r="T82" s="149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</row>
    <row r="83" spans="1:36" ht="19.5" customHeight="1" x14ac:dyDescent="0.3">
      <c r="A83" s="70"/>
      <c r="B83" s="143"/>
      <c r="C83" s="144"/>
      <c r="D83" s="156"/>
      <c r="E83" s="144"/>
      <c r="F83" s="110"/>
      <c r="G83" s="110"/>
      <c r="H83" s="157"/>
      <c r="I83" s="145"/>
      <c r="J83" s="121"/>
      <c r="K83" s="156"/>
      <c r="L83" s="156"/>
      <c r="M83" s="156"/>
      <c r="N83" s="158"/>
      <c r="O83" s="159"/>
      <c r="P83" s="159"/>
      <c r="Q83" s="159"/>
      <c r="R83" s="160"/>
      <c r="S83" s="77"/>
      <c r="T83" s="149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" ht="19.5" customHeight="1" x14ac:dyDescent="0.3">
      <c r="A84" s="70"/>
      <c r="B84" s="143"/>
      <c r="C84" s="144"/>
      <c r="D84" s="156"/>
      <c r="E84" s="144"/>
      <c r="F84" s="110"/>
      <c r="G84" s="110"/>
      <c r="H84" s="157"/>
      <c r="I84" s="145"/>
      <c r="J84" s="121"/>
      <c r="K84" s="156"/>
      <c r="L84" s="156"/>
      <c r="M84" s="156"/>
      <c r="N84" s="158"/>
      <c r="O84" s="159"/>
      <c r="P84" s="159"/>
      <c r="Q84" s="159"/>
      <c r="R84" s="160"/>
      <c r="S84" s="77"/>
      <c r="T84" s="149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spans="1:36" ht="19.5" customHeight="1" x14ac:dyDescent="0.3">
      <c r="A85" s="70"/>
      <c r="B85" s="143"/>
      <c r="C85" s="144"/>
      <c r="D85" s="156"/>
      <c r="E85" s="144"/>
      <c r="F85" s="110"/>
      <c r="G85" s="110"/>
      <c r="H85" s="157"/>
      <c r="I85" s="145"/>
      <c r="J85" s="121"/>
      <c r="K85" s="156"/>
      <c r="L85" s="156"/>
      <c r="M85" s="156"/>
      <c r="N85" s="158"/>
      <c r="O85" s="159"/>
      <c r="P85" s="159"/>
      <c r="Q85" s="159"/>
      <c r="R85" s="160"/>
      <c r="S85" s="77"/>
      <c r="T85" s="149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9.5" customHeight="1" x14ac:dyDescent="0.3">
      <c r="A86" s="70"/>
      <c r="B86" s="143"/>
      <c r="C86" s="144"/>
      <c r="D86" s="156"/>
      <c r="E86" s="144"/>
      <c r="F86" s="110"/>
      <c r="G86" s="110"/>
      <c r="H86" s="157"/>
      <c r="I86" s="145"/>
      <c r="J86" s="121"/>
      <c r="K86" s="156"/>
      <c r="L86" s="156"/>
      <c r="M86" s="156"/>
      <c r="N86" s="158"/>
      <c r="O86" s="159"/>
      <c r="P86" s="159"/>
      <c r="Q86" s="159"/>
      <c r="R86" s="160"/>
      <c r="S86" s="77"/>
      <c r="T86" s="149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ht="19.5" customHeight="1" x14ac:dyDescent="0.3">
      <c r="A87" s="70"/>
      <c r="B87" s="156"/>
      <c r="C87" s="156"/>
      <c r="D87" s="156"/>
      <c r="E87" s="157"/>
      <c r="F87" s="157"/>
      <c r="G87" s="157"/>
      <c r="H87" s="157"/>
      <c r="I87" s="145"/>
      <c r="J87" s="121"/>
      <c r="K87" s="156"/>
      <c r="L87" s="156"/>
      <c r="M87" s="156"/>
      <c r="N87" s="158"/>
      <c r="O87" s="159"/>
      <c r="P87" s="159"/>
      <c r="Q87" s="159"/>
      <c r="R87" s="160"/>
      <c r="S87" s="77"/>
      <c r="T87" s="149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s="142" customFormat="1" ht="19.5" customHeight="1" x14ac:dyDescent="0.3">
      <c r="A88" s="132"/>
      <c r="B88" s="133"/>
      <c r="C88" s="133"/>
      <c r="D88" s="137"/>
      <c r="E88" s="152"/>
      <c r="F88" s="152"/>
      <c r="G88" s="152"/>
      <c r="H88" s="152"/>
      <c r="I88" s="136"/>
      <c r="J88" s="137"/>
      <c r="K88" s="134"/>
      <c r="L88" s="134"/>
      <c r="M88" s="134"/>
      <c r="N88" s="153"/>
      <c r="O88" s="139"/>
      <c r="P88" s="139"/>
      <c r="Q88" s="139"/>
      <c r="R88" s="140"/>
      <c r="S88" s="141"/>
      <c r="T88" s="149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</row>
    <row r="89" spans="1:36" ht="19.5" customHeight="1" x14ac:dyDescent="0.3">
      <c r="A89" s="70"/>
      <c r="B89" s="164"/>
      <c r="C89" s="164"/>
      <c r="D89" s="162"/>
      <c r="E89" s="165"/>
      <c r="F89" s="110"/>
      <c r="G89" s="110"/>
      <c r="H89" s="157"/>
      <c r="I89" s="145"/>
      <c r="J89" s="121"/>
      <c r="K89" s="156"/>
      <c r="L89" s="156"/>
      <c r="M89" s="156"/>
      <c r="N89" s="158"/>
      <c r="O89" s="159"/>
      <c r="P89" s="159"/>
      <c r="Q89" s="159"/>
      <c r="R89" s="160"/>
      <c r="S89" s="77"/>
      <c r="T89" s="149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spans="1:36" ht="19.5" customHeight="1" x14ac:dyDescent="0.3">
      <c r="A90" s="70"/>
      <c r="B90" s="164"/>
      <c r="C90" s="164"/>
      <c r="D90" s="156"/>
      <c r="E90" s="165"/>
      <c r="F90" s="110"/>
      <c r="G90" s="110"/>
      <c r="H90" s="157"/>
      <c r="I90" s="145"/>
      <c r="J90" s="121"/>
      <c r="K90" s="156"/>
      <c r="L90" s="156"/>
      <c r="M90" s="156"/>
      <c r="N90" s="158"/>
      <c r="O90" s="159"/>
      <c r="P90" s="159"/>
      <c r="Q90" s="159"/>
      <c r="R90" s="160"/>
      <c r="S90" s="77"/>
      <c r="T90" s="149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spans="1:36" ht="19.5" customHeight="1" x14ac:dyDescent="0.3">
      <c r="A91" s="70"/>
      <c r="B91" s="164"/>
      <c r="C91" s="164"/>
      <c r="D91" s="156"/>
      <c r="E91" s="165"/>
      <c r="F91" s="110"/>
      <c r="G91" s="110"/>
      <c r="H91" s="157"/>
      <c r="I91" s="145"/>
      <c r="J91" s="121"/>
      <c r="K91" s="156"/>
      <c r="L91" s="156"/>
      <c r="M91" s="156"/>
      <c r="N91" s="158"/>
      <c r="O91" s="159"/>
      <c r="P91" s="159"/>
      <c r="Q91" s="159"/>
      <c r="R91" s="160"/>
      <c r="S91" s="77"/>
      <c r="T91" s="149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spans="1:36" ht="19.5" customHeight="1" x14ac:dyDescent="0.3">
      <c r="A92" s="70"/>
      <c r="B92" s="164"/>
      <c r="C92" s="164"/>
      <c r="D92" s="156"/>
      <c r="E92" s="165"/>
      <c r="F92" s="110"/>
      <c r="G92" s="110"/>
      <c r="H92" s="157"/>
      <c r="I92" s="145"/>
      <c r="J92" s="121"/>
      <c r="K92" s="156"/>
      <c r="L92" s="156"/>
      <c r="M92" s="156"/>
      <c r="N92" s="158"/>
      <c r="O92" s="159"/>
      <c r="P92" s="159"/>
      <c r="Q92" s="159"/>
      <c r="R92" s="160"/>
      <c r="S92" s="77"/>
      <c r="T92" s="149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spans="1:36" ht="19.5" customHeight="1" x14ac:dyDescent="0.3">
      <c r="A93" s="70"/>
      <c r="B93" s="164"/>
      <c r="C93" s="166"/>
      <c r="D93" s="156"/>
      <c r="E93" s="165"/>
      <c r="F93" s="110"/>
      <c r="G93" s="110"/>
      <c r="H93" s="157"/>
      <c r="I93" s="145"/>
      <c r="J93" s="121"/>
      <c r="K93" s="156"/>
      <c r="L93" s="156"/>
      <c r="M93" s="156"/>
      <c r="N93" s="158"/>
      <c r="O93" s="159"/>
      <c r="P93" s="159"/>
      <c r="Q93" s="159"/>
      <c r="R93" s="160"/>
      <c r="S93" s="77"/>
      <c r="T93" s="149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spans="1:36" ht="19.5" customHeight="1" x14ac:dyDescent="0.3">
      <c r="A94" s="70"/>
      <c r="B94" s="156"/>
      <c r="C94" s="156"/>
      <c r="D94" s="156"/>
      <c r="E94" s="157"/>
      <c r="F94" s="110"/>
      <c r="G94" s="157"/>
      <c r="H94" s="157"/>
      <c r="I94" s="145"/>
      <c r="J94" s="121"/>
      <c r="K94" s="156"/>
      <c r="L94" s="156"/>
      <c r="M94" s="156"/>
      <c r="N94" s="158"/>
      <c r="O94" s="159"/>
      <c r="P94" s="159"/>
      <c r="Q94" s="159"/>
      <c r="R94" s="160"/>
      <c r="S94" s="77"/>
      <c r="T94" s="149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spans="1:36" s="142" customFormat="1" ht="19.5" customHeight="1" x14ac:dyDescent="0.3">
      <c r="A95" s="132"/>
      <c r="B95" s="133"/>
      <c r="C95" s="133"/>
      <c r="D95" s="137"/>
      <c r="E95" s="152"/>
      <c r="F95" s="152"/>
      <c r="G95" s="152"/>
      <c r="H95" s="152"/>
      <c r="I95" s="136"/>
      <c r="J95" s="137"/>
      <c r="K95" s="134"/>
      <c r="L95" s="134"/>
      <c r="M95" s="134"/>
      <c r="N95" s="153"/>
      <c r="O95" s="139"/>
      <c r="P95" s="139"/>
      <c r="Q95" s="139"/>
      <c r="R95" s="140"/>
      <c r="S95" s="141"/>
      <c r="T95" s="149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</row>
    <row r="96" spans="1:36" ht="19.5" customHeight="1" x14ac:dyDescent="0.3">
      <c r="A96" s="70"/>
      <c r="B96" s="143"/>
      <c r="C96" s="144"/>
      <c r="D96" s="156"/>
      <c r="E96" s="144"/>
      <c r="F96" s="110"/>
      <c r="G96" s="110"/>
      <c r="H96" s="157"/>
      <c r="I96" s="145"/>
      <c r="J96" s="121"/>
      <c r="K96" s="156"/>
      <c r="L96" s="156"/>
      <c r="M96" s="156"/>
      <c r="N96" s="158"/>
      <c r="O96" s="159"/>
      <c r="P96" s="159"/>
      <c r="Q96" s="159"/>
      <c r="R96" s="160"/>
      <c r="S96" s="77"/>
      <c r="T96" s="149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spans="1:36" ht="19.5" customHeight="1" x14ac:dyDescent="0.3">
      <c r="A97" s="70"/>
      <c r="B97" s="143"/>
      <c r="C97" s="144"/>
      <c r="D97" s="156"/>
      <c r="E97" s="144"/>
      <c r="F97" s="110"/>
      <c r="G97" s="110"/>
      <c r="H97" s="157"/>
      <c r="I97" s="145"/>
      <c r="J97" s="121"/>
      <c r="K97" s="156"/>
      <c r="L97" s="156"/>
      <c r="M97" s="156"/>
      <c r="N97" s="158"/>
      <c r="O97" s="159"/>
      <c r="P97" s="159"/>
      <c r="Q97" s="159"/>
      <c r="R97" s="160"/>
      <c r="S97" s="77"/>
      <c r="T97" s="149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spans="1:36" ht="19.5" customHeight="1" x14ac:dyDescent="0.3">
      <c r="A98" s="70"/>
      <c r="B98" s="143"/>
      <c r="C98" s="144"/>
      <c r="D98" s="156"/>
      <c r="E98" s="144"/>
      <c r="F98" s="110"/>
      <c r="G98" s="110"/>
      <c r="H98" s="157"/>
      <c r="I98" s="145"/>
      <c r="J98" s="121"/>
      <c r="K98" s="156"/>
      <c r="L98" s="156"/>
      <c r="M98" s="156"/>
      <c r="N98" s="158"/>
      <c r="O98" s="159"/>
      <c r="P98" s="159"/>
      <c r="Q98" s="159"/>
      <c r="R98" s="160"/>
      <c r="S98" s="77"/>
      <c r="T98" s="149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spans="1:36" ht="19.5" customHeight="1" x14ac:dyDescent="0.3">
      <c r="A99" s="70"/>
      <c r="B99" s="143"/>
      <c r="C99" s="144"/>
      <c r="D99" s="156"/>
      <c r="E99" s="144"/>
      <c r="F99" s="110"/>
      <c r="G99" s="110"/>
      <c r="H99" s="157"/>
      <c r="I99" s="145"/>
      <c r="J99" s="121"/>
      <c r="K99" s="156"/>
      <c r="L99" s="156"/>
      <c r="M99" s="156"/>
      <c r="N99" s="158"/>
      <c r="O99" s="159"/>
      <c r="P99" s="159"/>
      <c r="Q99" s="159"/>
      <c r="R99" s="160"/>
      <c r="S99" s="77"/>
      <c r="T99" s="149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spans="1:36" ht="19.5" customHeight="1" x14ac:dyDescent="0.3">
      <c r="A100" s="70"/>
      <c r="B100" s="143"/>
      <c r="C100" s="144"/>
      <c r="D100" s="156"/>
      <c r="E100" s="144"/>
      <c r="F100" s="110"/>
      <c r="G100" s="110"/>
      <c r="H100" s="157"/>
      <c r="I100" s="145"/>
      <c r="J100" s="121"/>
      <c r="K100" s="156"/>
      <c r="L100" s="156"/>
      <c r="M100" s="156"/>
      <c r="N100" s="158"/>
      <c r="O100" s="159"/>
      <c r="P100" s="159"/>
      <c r="Q100" s="159"/>
      <c r="R100" s="160"/>
      <c r="S100" s="77"/>
      <c r="T100" s="149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spans="1:36" ht="19.5" customHeight="1" x14ac:dyDescent="0.3">
      <c r="A101" s="70"/>
      <c r="B101" s="150"/>
      <c r="C101" s="151"/>
      <c r="D101" s="156"/>
      <c r="E101" s="156"/>
      <c r="F101" s="110"/>
      <c r="G101" s="110"/>
      <c r="H101" s="157"/>
      <c r="I101" s="145"/>
      <c r="J101" s="121"/>
      <c r="K101" s="156"/>
      <c r="L101" s="156"/>
      <c r="M101" s="156"/>
      <c r="N101" s="158"/>
      <c r="O101" s="159"/>
      <c r="P101" s="159"/>
      <c r="Q101" s="159"/>
      <c r="R101" s="160"/>
      <c r="S101" s="77"/>
      <c r="T101" s="149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spans="1:36" ht="19.5" customHeight="1" x14ac:dyDescent="0.3">
      <c r="A102" s="70"/>
      <c r="B102" s="150"/>
      <c r="C102" s="151"/>
      <c r="D102" s="156"/>
      <c r="E102" s="156"/>
      <c r="F102" s="110"/>
      <c r="G102" s="110"/>
      <c r="H102" s="157"/>
      <c r="I102" s="145"/>
      <c r="J102" s="121"/>
      <c r="K102" s="156"/>
      <c r="L102" s="156"/>
      <c r="M102" s="156"/>
      <c r="N102" s="158"/>
      <c r="O102" s="159"/>
      <c r="P102" s="159"/>
      <c r="Q102" s="159"/>
      <c r="R102" s="160"/>
      <c r="S102" s="77"/>
      <c r="T102" s="149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spans="1:36" ht="19.5" customHeight="1" x14ac:dyDescent="0.3">
      <c r="A103" s="70"/>
      <c r="B103" s="156"/>
      <c r="C103" s="156"/>
      <c r="D103" s="156"/>
      <c r="E103" s="157"/>
      <c r="F103" s="110"/>
      <c r="G103" s="157"/>
      <c r="H103" s="157"/>
      <c r="I103" s="145"/>
      <c r="J103" s="121"/>
      <c r="K103" s="156"/>
      <c r="L103" s="156"/>
      <c r="M103" s="156"/>
      <c r="N103" s="158"/>
      <c r="O103" s="159"/>
      <c r="P103" s="159"/>
      <c r="Q103" s="159"/>
      <c r="R103" s="160"/>
      <c r="S103" s="77"/>
      <c r="T103" s="149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spans="1:36" s="142" customFormat="1" ht="19.5" customHeight="1" x14ac:dyDescent="0.3">
      <c r="A104" s="132"/>
      <c r="B104" s="133"/>
      <c r="C104" s="133"/>
      <c r="D104" s="137"/>
      <c r="E104" s="152"/>
      <c r="F104" s="152"/>
      <c r="G104" s="152"/>
      <c r="H104" s="152"/>
      <c r="I104" s="136"/>
      <c r="J104" s="137"/>
      <c r="K104" s="134"/>
      <c r="L104" s="134"/>
      <c r="M104" s="134"/>
      <c r="N104" s="153"/>
      <c r="O104" s="139"/>
      <c r="P104" s="139"/>
      <c r="Q104" s="139"/>
      <c r="R104" s="140"/>
      <c r="S104" s="141"/>
      <c r="T104" s="149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</row>
    <row r="105" spans="1:36" ht="19.5" customHeight="1" x14ac:dyDescent="0.3">
      <c r="A105" s="70"/>
      <c r="B105" s="167"/>
      <c r="C105" s="168"/>
      <c r="D105" s="156"/>
      <c r="E105" s="169"/>
      <c r="F105" s="110"/>
      <c r="G105" s="110"/>
      <c r="H105" s="157"/>
      <c r="I105" s="145"/>
      <c r="J105" s="121"/>
      <c r="K105" s="156"/>
      <c r="L105" s="156"/>
      <c r="M105" s="156"/>
      <c r="N105" s="158"/>
      <c r="O105" s="159"/>
      <c r="P105" s="159"/>
      <c r="Q105" s="159"/>
      <c r="R105" s="160"/>
      <c r="S105" s="77"/>
      <c r="T105" s="149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spans="1:36" ht="19.5" customHeight="1" x14ac:dyDescent="0.3">
      <c r="A106" s="70"/>
      <c r="B106" s="167"/>
      <c r="C106" s="168"/>
      <c r="D106" s="156"/>
      <c r="E106" s="169"/>
      <c r="F106" s="110"/>
      <c r="G106" s="110"/>
      <c r="H106" s="157"/>
      <c r="I106" s="145"/>
      <c r="J106" s="121"/>
      <c r="K106" s="156"/>
      <c r="L106" s="156"/>
      <c r="M106" s="156"/>
      <c r="N106" s="158"/>
      <c r="O106" s="159"/>
      <c r="P106" s="159"/>
      <c r="Q106" s="159"/>
      <c r="R106" s="160"/>
      <c r="S106" s="77"/>
      <c r="T106" s="149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spans="1:36" ht="19.5" customHeight="1" x14ac:dyDescent="0.3">
      <c r="A107" s="70"/>
      <c r="B107" s="167"/>
      <c r="C107" s="170"/>
      <c r="D107" s="156"/>
      <c r="E107" s="169"/>
      <c r="F107" s="110"/>
      <c r="G107" s="110"/>
      <c r="H107" s="157"/>
      <c r="I107" s="145"/>
      <c r="J107" s="121"/>
      <c r="K107" s="156"/>
      <c r="L107" s="156"/>
      <c r="M107" s="156"/>
      <c r="N107" s="158"/>
      <c r="O107" s="159"/>
      <c r="P107" s="159"/>
      <c r="Q107" s="159"/>
      <c r="R107" s="160"/>
      <c r="S107" s="77"/>
      <c r="T107" s="149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spans="1:36" ht="19.5" customHeight="1" x14ac:dyDescent="0.3">
      <c r="A108" s="70"/>
      <c r="B108" s="167"/>
      <c r="C108" s="170"/>
      <c r="D108" s="156"/>
      <c r="E108" s="169"/>
      <c r="F108" s="110"/>
      <c r="G108" s="110"/>
      <c r="H108" s="157"/>
      <c r="I108" s="145"/>
      <c r="J108" s="121"/>
      <c r="K108" s="156"/>
      <c r="L108" s="156"/>
      <c r="M108" s="156"/>
      <c r="N108" s="158"/>
      <c r="O108" s="159"/>
      <c r="P108" s="159"/>
      <c r="Q108" s="159"/>
      <c r="R108" s="160"/>
      <c r="S108" s="77"/>
      <c r="T108" s="149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spans="1:36" ht="19.5" customHeight="1" x14ac:dyDescent="0.3">
      <c r="A109" s="70"/>
      <c r="B109" s="167"/>
      <c r="C109" s="170"/>
      <c r="D109" s="156"/>
      <c r="E109" s="169"/>
      <c r="F109" s="110"/>
      <c r="G109" s="110"/>
      <c r="H109" s="157"/>
      <c r="I109" s="145"/>
      <c r="J109" s="121"/>
      <c r="K109" s="156"/>
      <c r="L109" s="156"/>
      <c r="M109" s="156"/>
      <c r="N109" s="158"/>
      <c r="O109" s="159"/>
      <c r="P109" s="159"/>
      <c r="Q109" s="159"/>
      <c r="R109" s="160"/>
      <c r="S109" s="77"/>
      <c r="T109" s="149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spans="1:36" ht="19.5" customHeight="1" x14ac:dyDescent="0.3">
      <c r="A110" s="70"/>
      <c r="B110" s="167"/>
      <c r="C110" s="168"/>
      <c r="D110" s="156"/>
      <c r="E110" s="169"/>
      <c r="F110" s="110"/>
      <c r="G110" s="110"/>
      <c r="H110" s="157"/>
      <c r="I110" s="145"/>
      <c r="J110" s="121"/>
      <c r="K110" s="156"/>
      <c r="L110" s="156"/>
      <c r="M110" s="156"/>
      <c r="N110" s="158"/>
      <c r="O110" s="159"/>
      <c r="P110" s="159"/>
      <c r="Q110" s="159"/>
      <c r="R110" s="160"/>
      <c r="S110" s="77"/>
      <c r="T110" s="149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spans="1:36" ht="19.5" customHeight="1" x14ac:dyDescent="0.3">
      <c r="A111" s="70"/>
      <c r="B111" s="167"/>
      <c r="C111" s="168"/>
      <c r="D111" s="156"/>
      <c r="E111" s="169"/>
      <c r="F111" s="110"/>
      <c r="G111" s="110"/>
      <c r="H111" s="157"/>
      <c r="I111" s="145"/>
      <c r="J111" s="121"/>
      <c r="K111" s="156"/>
      <c r="L111" s="156"/>
      <c r="M111" s="156"/>
      <c r="N111" s="158"/>
      <c r="O111" s="159"/>
      <c r="P111" s="159"/>
      <c r="Q111" s="159"/>
      <c r="R111" s="160"/>
      <c r="S111" s="77"/>
      <c r="T111" s="149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spans="1:36" ht="19.5" customHeight="1" x14ac:dyDescent="0.3">
      <c r="A112" s="70"/>
      <c r="B112" s="167"/>
      <c r="C112" s="168"/>
      <c r="D112" s="156"/>
      <c r="E112" s="169"/>
      <c r="F112" s="110"/>
      <c r="G112" s="110"/>
      <c r="H112" s="157"/>
      <c r="I112" s="145"/>
      <c r="J112" s="121"/>
      <c r="K112" s="156"/>
      <c r="L112" s="156"/>
      <c r="M112" s="156"/>
      <c r="N112" s="158"/>
      <c r="O112" s="159"/>
      <c r="P112" s="159"/>
      <c r="Q112" s="159"/>
      <c r="R112" s="160"/>
      <c r="S112" s="77"/>
      <c r="T112" s="149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spans="1:36" ht="19.5" customHeight="1" x14ac:dyDescent="0.3">
      <c r="A113" s="70"/>
      <c r="B113" s="167"/>
      <c r="C113" s="168"/>
      <c r="D113" s="156"/>
      <c r="E113" s="169"/>
      <c r="F113" s="110"/>
      <c r="G113" s="110"/>
      <c r="H113" s="157"/>
      <c r="I113" s="145"/>
      <c r="J113" s="121"/>
      <c r="K113" s="156"/>
      <c r="L113" s="156"/>
      <c r="M113" s="156"/>
      <c r="N113" s="158"/>
      <c r="O113" s="159"/>
      <c r="P113" s="159"/>
      <c r="Q113" s="159"/>
      <c r="R113" s="160"/>
      <c r="S113" s="77"/>
      <c r="T113" s="149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</row>
    <row r="114" spans="1:36" ht="19.5" customHeight="1" x14ac:dyDescent="0.3">
      <c r="A114" s="70"/>
      <c r="B114" s="167"/>
      <c r="C114" s="168"/>
      <c r="D114" s="156"/>
      <c r="E114" s="169"/>
      <c r="F114" s="110"/>
      <c r="G114" s="110"/>
      <c r="H114" s="157"/>
      <c r="I114" s="145"/>
      <c r="J114" s="121"/>
      <c r="K114" s="156"/>
      <c r="L114" s="156"/>
      <c r="M114" s="156"/>
      <c r="N114" s="158"/>
      <c r="O114" s="159"/>
      <c r="P114" s="159"/>
      <c r="Q114" s="159"/>
      <c r="R114" s="160"/>
      <c r="S114" s="77"/>
      <c r="T114" s="149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spans="1:36" ht="19.5" customHeight="1" x14ac:dyDescent="0.3">
      <c r="A115" s="70"/>
      <c r="B115" s="167"/>
      <c r="C115" s="170"/>
      <c r="D115" s="156"/>
      <c r="E115" s="169"/>
      <c r="F115" s="110"/>
      <c r="G115" s="110"/>
      <c r="H115" s="157"/>
      <c r="I115" s="145"/>
      <c r="J115" s="121"/>
      <c r="K115" s="156"/>
      <c r="L115" s="156"/>
      <c r="M115" s="156"/>
      <c r="N115" s="158"/>
      <c r="O115" s="159"/>
      <c r="P115" s="159"/>
      <c r="Q115" s="159"/>
      <c r="R115" s="160"/>
      <c r="S115" s="77"/>
      <c r="T115" s="149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spans="1:36" ht="19.5" customHeight="1" x14ac:dyDescent="0.3">
      <c r="A116" s="70"/>
      <c r="B116" s="167"/>
      <c r="C116" s="168"/>
      <c r="D116" s="156"/>
      <c r="E116" s="169"/>
      <c r="F116" s="110"/>
      <c r="G116" s="110"/>
      <c r="H116" s="157"/>
      <c r="I116" s="145"/>
      <c r="J116" s="121"/>
      <c r="K116" s="156"/>
      <c r="L116" s="156"/>
      <c r="M116" s="156"/>
      <c r="N116" s="158"/>
      <c r="O116" s="159"/>
      <c r="P116" s="159"/>
      <c r="Q116" s="159"/>
      <c r="R116" s="160"/>
      <c r="S116" s="77"/>
      <c r="T116" s="149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spans="1:36" ht="19.5" customHeight="1" x14ac:dyDescent="0.3">
      <c r="A117" s="70"/>
      <c r="B117" s="167"/>
      <c r="C117" s="168"/>
      <c r="D117" s="156"/>
      <c r="E117" s="169"/>
      <c r="F117" s="110"/>
      <c r="G117" s="110"/>
      <c r="H117" s="157"/>
      <c r="I117" s="145"/>
      <c r="J117" s="121"/>
      <c r="K117" s="156"/>
      <c r="L117" s="156"/>
      <c r="M117" s="156"/>
      <c r="N117" s="158"/>
      <c r="O117" s="159"/>
      <c r="P117" s="159"/>
      <c r="Q117" s="159"/>
      <c r="R117" s="160"/>
      <c r="S117" s="77"/>
      <c r="T117" s="149"/>
      <c r="U117" s="94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</row>
    <row r="118" spans="1:36" ht="19.5" customHeight="1" x14ac:dyDescent="0.3">
      <c r="A118" s="70"/>
      <c r="B118" s="167"/>
      <c r="C118" s="168"/>
      <c r="D118" s="156"/>
      <c r="E118" s="169"/>
      <c r="F118" s="110"/>
      <c r="G118" s="110"/>
      <c r="H118" s="157"/>
      <c r="I118" s="145"/>
      <c r="J118" s="121"/>
      <c r="K118" s="156"/>
      <c r="L118" s="156"/>
      <c r="M118" s="156"/>
      <c r="N118" s="158"/>
      <c r="O118" s="159"/>
      <c r="P118" s="159"/>
      <c r="Q118" s="159"/>
      <c r="R118" s="160"/>
      <c r="S118" s="77"/>
      <c r="T118" s="149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spans="1:36" ht="19.5" customHeight="1" x14ac:dyDescent="0.3">
      <c r="A119" s="70"/>
      <c r="B119" s="167"/>
      <c r="C119" s="168"/>
      <c r="D119" s="156"/>
      <c r="E119" s="169"/>
      <c r="F119" s="110"/>
      <c r="G119" s="110"/>
      <c r="H119" s="157"/>
      <c r="I119" s="145"/>
      <c r="J119" s="121"/>
      <c r="K119" s="156"/>
      <c r="L119" s="156"/>
      <c r="M119" s="156"/>
      <c r="N119" s="158"/>
      <c r="O119" s="159"/>
      <c r="P119" s="159"/>
      <c r="Q119" s="159"/>
      <c r="R119" s="160"/>
      <c r="S119" s="77"/>
      <c r="T119" s="149"/>
      <c r="U119" s="94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spans="1:36" ht="19.5" customHeight="1" x14ac:dyDescent="0.3">
      <c r="A120" s="70"/>
      <c r="B120" s="167"/>
      <c r="C120" s="168"/>
      <c r="D120" s="156"/>
      <c r="E120" s="169"/>
      <c r="F120" s="110"/>
      <c r="G120" s="110"/>
      <c r="H120" s="157"/>
      <c r="I120" s="145"/>
      <c r="J120" s="121"/>
      <c r="K120" s="156"/>
      <c r="L120" s="156"/>
      <c r="M120" s="156"/>
      <c r="N120" s="158"/>
      <c r="O120" s="159"/>
      <c r="P120" s="159"/>
      <c r="Q120" s="159"/>
      <c r="R120" s="160"/>
      <c r="S120" s="77"/>
      <c r="T120" s="149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spans="1:36" ht="19.5" customHeight="1" x14ac:dyDescent="0.3">
      <c r="A121" s="70"/>
      <c r="B121" s="167"/>
      <c r="C121" s="168"/>
      <c r="D121" s="156"/>
      <c r="E121" s="169"/>
      <c r="F121" s="110"/>
      <c r="G121" s="110"/>
      <c r="H121" s="157"/>
      <c r="I121" s="145"/>
      <c r="J121" s="121"/>
      <c r="K121" s="156"/>
      <c r="L121" s="156"/>
      <c r="M121" s="156"/>
      <c r="N121" s="158"/>
      <c r="O121" s="159"/>
      <c r="P121" s="159"/>
      <c r="Q121" s="159"/>
      <c r="R121" s="160"/>
      <c r="S121" s="77"/>
      <c r="T121" s="149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spans="1:36" ht="19.5" customHeight="1" x14ac:dyDescent="0.3">
      <c r="A122" s="70"/>
      <c r="B122" s="167"/>
      <c r="C122" s="168"/>
      <c r="D122" s="156"/>
      <c r="E122" s="169"/>
      <c r="F122" s="110"/>
      <c r="G122" s="110"/>
      <c r="H122" s="157"/>
      <c r="I122" s="145"/>
      <c r="J122" s="121"/>
      <c r="K122" s="156"/>
      <c r="L122" s="156"/>
      <c r="M122" s="156"/>
      <c r="N122" s="158"/>
      <c r="O122" s="159"/>
      <c r="P122" s="159"/>
      <c r="Q122" s="159"/>
      <c r="R122" s="160"/>
      <c r="S122" s="77"/>
      <c r="T122" s="149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spans="1:36" ht="19.5" customHeight="1" x14ac:dyDescent="0.3">
      <c r="A123" s="70"/>
      <c r="B123" s="167"/>
      <c r="C123" s="168"/>
      <c r="D123" s="156"/>
      <c r="E123" s="169"/>
      <c r="F123" s="110"/>
      <c r="G123" s="110"/>
      <c r="H123" s="157"/>
      <c r="I123" s="145"/>
      <c r="J123" s="121"/>
      <c r="K123" s="156"/>
      <c r="L123" s="156"/>
      <c r="M123" s="156"/>
      <c r="N123" s="158"/>
      <c r="O123" s="159"/>
      <c r="P123" s="159"/>
      <c r="Q123" s="159"/>
      <c r="R123" s="160"/>
      <c r="S123" s="77"/>
      <c r="T123" s="149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spans="1:36" ht="19.5" customHeight="1" x14ac:dyDescent="0.3">
      <c r="A124" s="70"/>
      <c r="B124" s="167"/>
      <c r="C124" s="168"/>
      <c r="D124" s="156"/>
      <c r="E124" s="169"/>
      <c r="F124" s="110"/>
      <c r="G124" s="110"/>
      <c r="H124" s="157"/>
      <c r="I124" s="145"/>
      <c r="J124" s="121"/>
      <c r="K124" s="156"/>
      <c r="L124" s="156"/>
      <c r="M124" s="156"/>
      <c r="N124" s="158"/>
      <c r="O124" s="159"/>
      <c r="P124" s="159"/>
      <c r="Q124" s="159"/>
      <c r="R124" s="160"/>
      <c r="S124" s="77"/>
      <c r="T124" s="149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spans="1:36" ht="19.5" customHeight="1" x14ac:dyDescent="0.3">
      <c r="A125" s="70"/>
      <c r="B125" s="167"/>
      <c r="C125" s="170"/>
      <c r="D125" s="156"/>
      <c r="E125" s="169"/>
      <c r="F125" s="110"/>
      <c r="G125" s="110"/>
      <c r="H125" s="157"/>
      <c r="I125" s="145"/>
      <c r="J125" s="121"/>
      <c r="K125" s="156"/>
      <c r="L125" s="156"/>
      <c r="M125" s="156"/>
      <c r="N125" s="158"/>
      <c r="O125" s="159"/>
      <c r="P125" s="159"/>
      <c r="Q125" s="159"/>
      <c r="R125" s="160"/>
      <c r="S125" s="77"/>
      <c r="T125" s="149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spans="1:36" ht="19.5" customHeight="1" x14ac:dyDescent="0.3">
      <c r="A126" s="70"/>
      <c r="B126" s="167"/>
      <c r="C126" s="168"/>
      <c r="D126" s="156"/>
      <c r="E126" s="169"/>
      <c r="F126" s="110"/>
      <c r="G126" s="110"/>
      <c r="H126" s="157"/>
      <c r="I126" s="145"/>
      <c r="J126" s="121"/>
      <c r="K126" s="156"/>
      <c r="L126" s="156"/>
      <c r="M126" s="156"/>
      <c r="N126" s="158"/>
      <c r="O126" s="159"/>
      <c r="P126" s="159"/>
      <c r="Q126" s="159"/>
      <c r="R126" s="160"/>
      <c r="S126" s="77"/>
      <c r="T126" s="149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spans="1:36" ht="19.5" customHeight="1" x14ac:dyDescent="0.3">
      <c r="A127" s="70"/>
      <c r="B127" s="171"/>
      <c r="C127" s="172"/>
      <c r="D127" s="173"/>
      <c r="E127" s="172"/>
      <c r="F127" s="174"/>
      <c r="G127" s="110"/>
      <c r="H127" s="157"/>
      <c r="I127" s="145"/>
      <c r="J127" s="121"/>
      <c r="K127" s="156"/>
      <c r="L127" s="156"/>
      <c r="M127" s="156"/>
      <c r="N127" s="158"/>
      <c r="O127" s="159"/>
      <c r="P127" s="159"/>
      <c r="Q127" s="159"/>
      <c r="R127" s="160"/>
      <c r="S127" s="77"/>
      <c r="T127" s="149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spans="1:36" ht="19.5" customHeight="1" x14ac:dyDescent="0.3">
      <c r="A128" s="70"/>
      <c r="B128" s="171"/>
      <c r="C128" s="172"/>
      <c r="D128" s="173"/>
      <c r="E128" s="172"/>
      <c r="F128" s="174"/>
      <c r="G128" s="110"/>
      <c r="H128" s="157"/>
      <c r="I128" s="145"/>
      <c r="J128" s="121"/>
      <c r="K128" s="156"/>
      <c r="L128" s="156"/>
      <c r="M128" s="156"/>
      <c r="N128" s="158"/>
      <c r="O128" s="159"/>
      <c r="P128" s="159"/>
      <c r="Q128" s="159"/>
      <c r="R128" s="160"/>
      <c r="S128" s="77"/>
      <c r="T128" s="149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spans="1:36" ht="19.5" customHeight="1" x14ac:dyDescent="0.3">
      <c r="A129" s="70"/>
      <c r="B129" s="167"/>
      <c r="C129" s="175"/>
      <c r="D129" s="156"/>
      <c r="E129" s="169"/>
      <c r="F129" s="110"/>
      <c r="G129" s="110"/>
      <c r="H129" s="157"/>
      <c r="I129" s="145"/>
      <c r="J129" s="121"/>
      <c r="K129" s="156"/>
      <c r="L129" s="156"/>
      <c r="M129" s="156"/>
      <c r="N129" s="158"/>
      <c r="O129" s="159"/>
      <c r="P129" s="159"/>
      <c r="Q129" s="159"/>
      <c r="R129" s="160"/>
      <c r="S129" s="77"/>
      <c r="T129" s="149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spans="1:36" ht="19.5" customHeight="1" x14ac:dyDescent="0.3">
      <c r="A130" s="70"/>
      <c r="B130" s="176"/>
      <c r="C130" s="176"/>
      <c r="D130" s="156"/>
      <c r="E130" s="176"/>
      <c r="F130" s="110"/>
      <c r="G130" s="110"/>
      <c r="H130" s="157"/>
      <c r="I130" s="145"/>
      <c r="J130" s="121"/>
      <c r="K130" s="156"/>
      <c r="L130" s="156"/>
      <c r="M130" s="156"/>
      <c r="N130" s="158"/>
      <c r="O130" s="159"/>
      <c r="P130" s="159"/>
      <c r="Q130" s="159"/>
      <c r="R130" s="160"/>
      <c r="S130" s="77"/>
      <c r="T130" s="149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spans="1:36" ht="19.5" customHeight="1" x14ac:dyDescent="0.3">
      <c r="A131" s="70"/>
      <c r="B131" s="176"/>
      <c r="C131" s="176"/>
      <c r="D131" s="156"/>
      <c r="E131" s="176"/>
      <c r="F131" s="110"/>
      <c r="G131" s="110"/>
      <c r="H131" s="157"/>
      <c r="I131" s="145"/>
      <c r="J131" s="121"/>
      <c r="K131" s="156"/>
      <c r="L131" s="156"/>
      <c r="M131" s="156"/>
      <c r="N131" s="158"/>
      <c r="O131" s="159"/>
      <c r="P131" s="159"/>
      <c r="Q131" s="159"/>
      <c r="R131" s="160"/>
      <c r="S131" s="77"/>
      <c r="T131" s="149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spans="1:36" ht="19.5" customHeight="1" x14ac:dyDescent="0.3">
      <c r="A132" s="70"/>
      <c r="B132" s="177"/>
      <c r="C132" s="176"/>
      <c r="D132" s="156"/>
      <c r="E132" s="176"/>
      <c r="F132" s="110"/>
      <c r="G132" s="110"/>
      <c r="H132" s="157"/>
      <c r="I132" s="145"/>
      <c r="J132" s="121"/>
      <c r="K132" s="156"/>
      <c r="L132" s="156"/>
      <c r="M132" s="156"/>
      <c r="N132" s="158"/>
      <c r="O132" s="159"/>
      <c r="P132" s="159"/>
      <c r="Q132" s="159"/>
      <c r="R132" s="160"/>
      <c r="S132" s="77"/>
      <c r="T132" s="149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spans="1:36" ht="19.5" customHeight="1" x14ac:dyDescent="0.3">
      <c r="A133" s="70"/>
      <c r="B133" s="156"/>
      <c r="C133" s="156"/>
      <c r="D133" s="156"/>
      <c r="E133" s="157"/>
      <c r="F133" s="110"/>
      <c r="G133" s="157"/>
      <c r="H133" s="157"/>
      <c r="I133" s="145"/>
      <c r="J133" s="121"/>
      <c r="K133" s="156"/>
      <c r="L133" s="156"/>
      <c r="M133" s="156"/>
      <c r="N133" s="158"/>
      <c r="O133" s="159"/>
      <c r="P133" s="159"/>
      <c r="Q133" s="159"/>
      <c r="R133" s="160"/>
      <c r="S133" s="77"/>
      <c r="T133" s="149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spans="1:36" s="142" customFormat="1" ht="19.5" customHeight="1" x14ac:dyDescent="0.3">
      <c r="A134" s="132"/>
      <c r="B134" s="133"/>
      <c r="C134" s="133"/>
      <c r="D134" s="137"/>
      <c r="E134" s="152"/>
      <c r="F134" s="152"/>
      <c r="G134" s="152"/>
      <c r="H134" s="152"/>
      <c r="I134" s="136"/>
      <c r="J134" s="137"/>
      <c r="K134" s="137"/>
      <c r="L134" s="137"/>
      <c r="M134" s="137"/>
      <c r="N134" s="153"/>
      <c r="O134" s="139"/>
      <c r="P134" s="139"/>
      <c r="Q134" s="139"/>
      <c r="R134" s="140"/>
      <c r="S134" s="141"/>
      <c r="T134" s="149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</row>
    <row r="135" spans="1:36" ht="19.5" customHeight="1" x14ac:dyDescent="0.3">
      <c r="A135" s="94"/>
      <c r="B135" s="178"/>
      <c r="C135" s="179"/>
      <c r="D135" s="180"/>
      <c r="E135" s="179"/>
      <c r="F135" s="110"/>
      <c r="G135" s="110"/>
      <c r="H135" s="157"/>
      <c r="I135" s="145"/>
      <c r="J135" s="112"/>
      <c r="K135" s="156"/>
      <c r="L135" s="156"/>
      <c r="M135" s="156"/>
      <c r="N135" s="158"/>
      <c r="O135" s="159"/>
      <c r="P135" s="159"/>
      <c r="Q135" s="159"/>
      <c r="R135" s="160"/>
      <c r="S135" s="115"/>
      <c r="T135" s="149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9.5" customHeight="1" x14ac:dyDescent="0.3">
      <c r="A136" s="94"/>
      <c r="B136" s="178"/>
      <c r="C136" s="179"/>
      <c r="D136" s="180"/>
      <c r="E136" s="179"/>
      <c r="F136" s="110"/>
      <c r="G136" s="110"/>
      <c r="H136" s="157"/>
      <c r="I136" s="145"/>
      <c r="J136" s="112"/>
      <c r="K136" s="156"/>
      <c r="L136" s="156"/>
      <c r="M136" s="156"/>
      <c r="N136" s="158"/>
      <c r="O136" s="159"/>
      <c r="P136" s="159"/>
      <c r="Q136" s="159"/>
      <c r="R136" s="160"/>
      <c r="S136" s="115"/>
      <c r="T136" s="149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</row>
    <row r="137" spans="1:36" ht="19.5" customHeight="1" x14ac:dyDescent="0.3">
      <c r="A137" s="70"/>
      <c r="B137" s="175"/>
      <c r="C137" s="175"/>
      <c r="D137" s="156"/>
      <c r="E137" s="179"/>
      <c r="F137" s="110"/>
      <c r="G137" s="110"/>
      <c r="H137" s="157"/>
      <c r="I137" s="145"/>
      <c r="J137" s="121"/>
      <c r="K137" s="156"/>
      <c r="L137" s="156"/>
      <c r="M137" s="156"/>
      <c r="N137" s="158"/>
      <c r="O137" s="159"/>
      <c r="P137" s="159"/>
      <c r="Q137" s="159"/>
      <c r="R137" s="160"/>
      <c r="S137" s="77"/>
      <c r="T137" s="149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spans="1:36" ht="19.5" customHeight="1" x14ac:dyDescent="0.3">
      <c r="A138" s="70"/>
      <c r="B138" s="175"/>
      <c r="C138" s="175"/>
      <c r="D138" s="156"/>
      <c r="E138" s="181"/>
      <c r="F138" s="110"/>
      <c r="G138" s="110"/>
      <c r="H138" s="157"/>
      <c r="I138" s="145"/>
      <c r="J138" s="121"/>
      <c r="K138" s="156"/>
      <c r="L138" s="156"/>
      <c r="M138" s="156"/>
      <c r="N138" s="158"/>
      <c r="O138" s="159"/>
      <c r="P138" s="159"/>
      <c r="Q138" s="159"/>
      <c r="R138" s="160"/>
      <c r="S138" s="77"/>
      <c r="T138" s="149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spans="1:36" ht="19.5" customHeight="1" x14ac:dyDescent="0.3">
      <c r="A139" s="70"/>
      <c r="B139" s="175"/>
      <c r="C139" s="175"/>
      <c r="D139" s="156"/>
      <c r="E139" s="181"/>
      <c r="F139" s="110"/>
      <c r="G139" s="110"/>
      <c r="H139" s="157"/>
      <c r="I139" s="145"/>
      <c r="J139" s="121"/>
      <c r="K139" s="156"/>
      <c r="L139" s="156"/>
      <c r="M139" s="156"/>
      <c r="N139" s="158"/>
      <c r="O139" s="159"/>
      <c r="P139" s="159"/>
      <c r="Q139" s="159"/>
      <c r="R139" s="160"/>
      <c r="S139" s="77"/>
      <c r="T139" s="149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spans="1:36" ht="19.5" customHeight="1" x14ac:dyDescent="0.3">
      <c r="A140" s="70"/>
      <c r="B140" s="175"/>
      <c r="C140" s="175"/>
      <c r="D140" s="156"/>
      <c r="E140" s="181"/>
      <c r="F140" s="110"/>
      <c r="G140" s="110"/>
      <c r="H140" s="157"/>
      <c r="I140" s="145"/>
      <c r="J140" s="121"/>
      <c r="K140" s="156"/>
      <c r="L140" s="156"/>
      <c r="M140" s="156"/>
      <c r="N140" s="158"/>
      <c r="O140" s="159"/>
      <c r="P140" s="159"/>
      <c r="Q140" s="159"/>
      <c r="R140" s="160"/>
      <c r="S140" s="77"/>
      <c r="T140" s="149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spans="1:36" ht="19.5" customHeight="1" x14ac:dyDescent="0.3">
      <c r="A141" s="70"/>
      <c r="B141" s="175"/>
      <c r="C141" s="175"/>
      <c r="D141" s="156"/>
      <c r="E141" s="179"/>
      <c r="F141" s="110"/>
      <c r="G141" s="110"/>
      <c r="H141" s="157"/>
      <c r="I141" s="145"/>
      <c r="J141" s="121"/>
      <c r="K141" s="156"/>
      <c r="L141" s="156"/>
      <c r="M141" s="156"/>
      <c r="N141" s="158"/>
      <c r="O141" s="159"/>
      <c r="P141" s="159"/>
      <c r="Q141" s="159"/>
      <c r="R141" s="160"/>
      <c r="S141" s="77"/>
      <c r="T141" s="149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spans="1:36" ht="19.5" customHeight="1" x14ac:dyDescent="0.3">
      <c r="A142" s="70"/>
      <c r="B142" s="175"/>
      <c r="C142" s="175"/>
      <c r="D142" s="156"/>
      <c r="E142" s="179"/>
      <c r="F142" s="110"/>
      <c r="G142" s="110"/>
      <c r="H142" s="157"/>
      <c r="I142" s="145"/>
      <c r="J142" s="121"/>
      <c r="K142" s="156"/>
      <c r="L142" s="156"/>
      <c r="M142" s="156"/>
      <c r="N142" s="158"/>
      <c r="O142" s="159"/>
      <c r="P142" s="159"/>
      <c r="Q142" s="159"/>
      <c r="R142" s="160"/>
      <c r="S142" s="77"/>
      <c r="T142" s="149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spans="1:36" ht="19.5" customHeight="1" x14ac:dyDescent="0.3">
      <c r="A143" s="70"/>
      <c r="B143" s="156"/>
      <c r="C143" s="156"/>
      <c r="D143" s="156"/>
      <c r="E143" s="157"/>
      <c r="F143" s="110"/>
      <c r="G143" s="157"/>
      <c r="H143" s="157"/>
      <c r="I143" s="145"/>
      <c r="J143" s="121"/>
      <c r="K143" s="156"/>
      <c r="L143" s="156"/>
      <c r="M143" s="156"/>
      <c r="N143" s="158"/>
      <c r="O143" s="159"/>
      <c r="P143" s="159"/>
      <c r="Q143" s="159"/>
      <c r="R143" s="160"/>
      <c r="S143" s="77"/>
      <c r="T143" s="149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spans="1:36" s="142" customFormat="1" ht="19.5" customHeight="1" x14ac:dyDescent="0.3">
      <c r="A144" s="132"/>
      <c r="B144" s="133"/>
      <c r="C144" s="133"/>
      <c r="D144" s="137"/>
      <c r="E144" s="152"/>
      <c r="F144" s="152"/>
      <c r="G144" s="152"/>
      <c r="H144" s="152"/>
      <c r="I144" s="136"/>
      <c r="J144" s="137"/>
      <c r="K144" s="137"/>
      <c r="L144" s="137"/>
      <c r="M144" s="137"/>
      <c r="N144" s="153"/>
      <c r="O144" s="139"/>
      <c r="P144" s="139"/>
      <c r="Q144" s="139"/>
      <c r="R144" s="140"/>
      <c r="S144" s="141"/>
      <c r="T144" s="149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</row>
    <row r="145" spans="1:36" s="183" customFormat="1" ht="19.5" customHeight="1" x14ac:dyDescent="0.3">
      <c r="A145" s="94"/>
      <c r="B145" s="167"/>
      <c r="C145" s="168"/>
      <c r="D145" s="182"/>
      <c r="E145" s="169"/>
      <c r="F145" s="110"/>
      <c r="G145" s="110"/>
      <c r="H145" s="157"/>
      <c r="I145" s="145"/>
      <c r="J145" s="112"/>
      <c r="K145" s="156"/>
      <c r="L145" s="156"/>
      <c r="M145" s="156"/>
      <c r="N145" s="158"/>
      <c r="O145" s="159"/>
      <c r="P145" s="159"/>
      <c r="Q145" s="159"/>
      <c r="R145" s="160"/>
      <c r="S145" s="115"/>
      <c r="T145" s="149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</row>
    <row r="146" spans="1:36" s="183" customFormat="1" ht="19.5" customHeight="1" x14ac:dyDescent="0.3">
      <c r="A146" s="94"/>
      <c r="B146" s="167"/>
      <c r="C146" s="168"/>
      <c r="D146" s="182"/>
      <c r="E146" s="169"/>
      <c r="F146" s="110"/>
      <c r="G146" s="110"/>
      <c r="H146" s="157"/>
      <c r="I146" s="145"/>
      <c r="J146" s="112"/>
      <c r="K146" s="156"/>
      <c r="L146" s="156"/>
      <c r="M146" s="156"/>
      <c r="N146" s="158"/>
      <c r="O146" s="159"/>
      <c r="P146" s="159"/>
      <c r="Q146" s="159"/>
      <c r="R146" s="160"/>
      <c r="S146" s="115"/>
      <c r="T146" s="149"/>
      <c r="U146" s="70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</row>
    <row r="147" spans="1:36" s="183" customFormat="1" ht="19.5" customHeight="1" x14ac:dyDescent="0.3">
      <c r="A147" s="94"/>
      <c r="B147" s="167"/>
      <c r="C147" s="168"/>
      <c r="D147" s="182"/>
      <c r="E147" s="169"/>
      <c r="F147" s="110"/>
      <c r="G147" s="110"/>
      <c r="H147" s="157"/>
      <c r="I147" s="145"/>
      <c r="J147" s="112"/>
      <c r="K147" s="156"/>
      <c r="L147" s="156"/>
      <c r="M147" s="156"/>
      <c r="N147" s="158"/>
      <c r="O147" s="159"/>
      <c r="P147" s="159"/>
      <c r="Q147" s="159"/>
      <c r="R147" s="160"/>
      <c r="S147" s="115"/>
      <c r="T147" s="149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</row>
    <row r="148" spans="1:36" s="183" customFormat="1" ht="19.5" customHeight="1" x14ac:dyDescent="0.3">
      <c r="A148" s="94"/>
      <c r="B148" s="167"/>
      <c r="C148" s="168"/>
      <c r="D148" s="182"/>
      <c r="E148" s="169"/>
      <c r="F148" s="110"/>
      <c r="G148" s="110"/>
      <c r="H148" s="157"/>
      <c r="I148" s="145"/>
      <c r="J148" s="112"/>
      <c r="K148" s="156"/>
      <c r="L148" s="156"/>
      <c r="M148" s="156"/>
      <c r="N148" s="158"/>
      <c r="O148" s="159"/>
      <c r="P148" s="159"/>
      <c r="Q148" s="159"/>
      <c r="R148" s="160"/>
      <c r="S148" s="115"/>
      <c r="T148" s="149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</row>
    <row r="149" spans="1:36" s="183" customFormat="1" ht="19.5" customHeight="1" x14ac:dyDescent="0.3">
      <c r="A149" s="94"/>
      <c r="B149" s="167"/>
      <c r="C149" s="168"/>
      <c r="D149" s="182"/>
      <c r="E149" s="169"/>
      <c r="F149" s="110"/>
      <c r="G149" s="110"/>
      <c r="H149" s="157"/>
      <c r="I149" s="145"/>
      <c r="J149" s="112"/>
      <c r="K149" s="156"/>
      <c r="L149" s="156"/>
      <c r="M149" s="156"/>
      <c r="N149" s="158"/>
      <c r="O149" s="159"/>
      <c r="P149" s="159"/>
      <c r="Q149" s="159"/>
      <c r="R149" s="160"/>
      <c r="S149" s="115"/>
      <c r="T149" s="149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</row>
    <row r="150" spans="1:36" s="183" customFormat="1" ht="19.5" customHeight="1" x14ac:dyDescent="0.3">
      <c r="A150" s="94"/>
      <c r="B150" s="167"/>
      <c r="C150" s="168"/>
      <c r="D150" s="182"/>
      <c r="E150" s="169"/>
      <c r="F150" s="110"/>
      <c r="G150" s="110"/>
      <c r="H150" s="157"/>
      <c r="I150" s="145"/>
      <c r="J150" s="112"/>
      <c r="K150" s="156"/>
      <c r="L150" s="156"/>
      <c r="M150" s="156"/>
      <c r="N150" s="158"/>
      <c r="O150" s="159"/>
      <c r="P150" s="159"/>
      <c r="Q150" s="159"/>
      <c r="R150" s="160"/>
      <c r="S150" s="115"/>
      <c r="T150" s="149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</row>
    <row r="151" spans="1:36" s="183" customFormat="1" ht="19.5" customHeight="1" x14ac:dyDescent="0.3">
      <c r="A151" s="94"/>
      <c r="B151" s="167"/>
      <c r="C151" s="168"/>
      <c r="D151" s="182"/>
      <c r="E151" s="169"/>
      <c r="F151" s="110"/>
      <c r="G151" s="110"/>
      <c r="H151" s="157"/>
      <c r="I151" s="145"/>
      <c r="J151" s="112"/>
      <c r="K151" s="156"/>
      <c r="L151" s="156"/>
      <c r="M151" s="156"/>
      <c r="N151" s="158"/>
      <c r="O151" s="159"/>
      <c r="P151" s="159"/>
      <c r="Q151" s="159"/>
      <c r="R151" s="160"/>
      <c r="S151" s="115"/>
      <c r="T151" s="149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</row>
    <row r="152" spans="1:36" s="183" customFormat="1" ht="19.5" customHeight="1" x14ac:dyDescent="0.3">
      <c r="A152" s="94"/>
      <c r="B152" s="167"/>
      <c r="C152" s="168"/>
      <c r="D152" s="182"/>
      <c r="E152" s="169"/>
      <c r="F152" s="110"/>
      <c r="G152" s="110"/>
      <c r="H152" s="157"/>
      <c r="I152" s="145"/>
      <c r="J152" s="112"/>
      <c r="K152" s="156"/>
      <c r="L152" s="156"/>
      <c r="M152" s="156"/>
      <c r="N152" s="158"/>
      <c r="O152" s="159"/>
      <c r="P152" s="159"/>
      <c r="Q152" s="159"/>
      <c r="R152" s="160"/>
      <c r="S152" s="115"/>
      <c r="T152" s="149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</row>
    <row r="153" spans="1:36" s="183" customFormat="1" ht="19.5" customHeight="1" x14ac:dyDescent="0.3">
      <c r="A153" s="94"/>
      <c r="B153" s="167"/>
      <c r="C153" s="168"/>
      <c r="D153" s="182"/>
      <c r="E153" s="169"/>
      <c r="F153" s="110"/>
      <c r="G153" s="110"/>
      <c r="H153" s="157"/>
      <c r="I153" s="145"/>
      <c r="J153" s="112"/>
      <c r="K153" s="156"/>
      <c r="L153" s="156"/>
      <c r="M153" s="156"/>
      <c r="N153" s="158"/>
      <c r="O153" s="159"/>
      <c r="P153" s="159"/>
      <c r="Q153" s="159"/>
      <c r="R153" s="160"/>
      <c r="S153" s="115"/>
      <c r="T153" s="149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</row>
    <row r="154" spans="1:36" s="183" customFormat="1" ht="19.5" customHeight="1" x14ac:dyDescent="0.3">
      <c r="A154" s="94"/>
      <c r="B154" s="167"/>
      <c r="C154" s="168"/>
      <c r="D154" s="182"/>
      <c r="E154" s="169"/>
      <c r="F154" s="110"/>
      <c r="G154" s="110"/>
      <c r="H154" s="157"/>
      <c r="I154" s="145"/>
      <c r="J154" s="112"/>
      <c r="K154" s="156"/>
      <c r="L154" s="156"/>
      <c r="M154" s="156"/>
      <c r="N154" s="158"/>
      <c r="O154" s="159"/>
      <c r="P154" s="159"/>
      <c r="Q154" s="159"/>
      <c r="R154" s="160"/>
      <c r="S154" s="115"/>
      <c r="T154" s="149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</row>
    <row r="155" spans="1:36" s="183" customFormat="1" ht="19.5" customHeight="1" x14ac:dyDescent="0.3">
      <c r="A155" s="94"/>
      <c r="B155" s="167"/>
      <c r="C155" s="168"/>
      <c r="D155" s="182"/>
      <c r="E155" s="169"/>
      <c r="F155" s="110"/>
      <c r="G155" s="110"/>
      <c r="H155" s="157"/>
      <c r="I155" s="145"/>
      <c r="J155" s="112"/>
      <c r="K155" s="156"/>
      <c r="L155" s="156"/>
      <c r="M155" s="156"/>
      <c r="N155" s="158"/>
      <c r="O155" s="159"/>
      <c r="P155" s="159"/>
      <c r="Q155" s="159"/>
      <c r="R155" s="160"/>
      <c r="S155" s="115"/>
      <c r="T155" s="149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</row>
    <row r="156" spans="1:36" s="183" customFormat="1" ht="19.5" customHeight="1" x14ac:dyDescent="0.3">
      <c r="A156" s="94"/>
      <c r="B156" s="167"/>
      <c r="C156" s="168"/>
      <c r="D156" s="182"/>
      <c r="E156" s="169"/>
      <c r="F156" s="110"/>
      <c r="G156" s="110"/>
      <c r="H156" s="157"/>
      <c r="I156" s="145"/>
      <c r="J156" s="112"/>
      <c r="K156" s="156"/>
      <c r="L156" s="156"/>
      <c r="M156" s="156"/>
      <c r="N156" s="158"/>
      <c r="O156" s="159"/>
      <c r="P156" s="159"/>
      <c r="Q156" s="159"/>
      <c r="R156" s="160"/>
      <c r="S156" s="115"/>
      <c r="T156" s="149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</row>
    <row r="157" spans="1:36" s="183" customFormat="1" ht="19.5" customHeight="1" x14ac:dyDescent="0.3">
      <c r="A157" s="94"/>
      <c r="B157" s="167"/>
      <c r="C157" s="168"/>
      <c r="D157" s="182"/>
      <c r="E157" s="169"/>
      <c r="F157" s="110"/>
      <c r="G157" s="110"/>
      <c r="H157" s="157"/>
      <c r="I157" s="145"/>
      <c r="J157" s="112"/>
      <c r="K157" s="156"/>
      <c r="L157" s="156"/>
      <c r="M157" s="156"/>
      <c r="N157" s="158"/>
      <c r="O157" s="159"/>
      <c r="P157" s="159"/>
      <c r="Q157" s="159"/>
      <c r="R157" s="160"/>
      <c r="S157" s="115"/>
      <c r="T157" s="149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</row>
    <row r="158" spans="1:36" s="183" customFormat="1" ht="19.5" customHeight="1" x14ac:dyDescent="0.3">
      <c r="A158" s="94"/>
      <c r="B158" s="167"/>
      <c r="C158" s="168"/>
      <c r="D158" s="182"/>
      <c r="E158" s="169"/>
      <c r="F158" s="110"/>
      <c r="G158" s="110"/>
      <c r="H158" s="157"/>
      <c r="I158" s="145"/>
      <c r="J158" s="112"/>
      <c r="K158" s="156"/>
      <c r="L158" s="156"/>
      <c r="M158" s="156"/>
      <c r="N158" s="158"/>
      <c r="O158" s="159"/>
      <c r="P158" s="159"/>
      <c r="Q158" s="159"/>
      <c r="R158" s="160"/>
      <c r="S158" s="115"/>
      <c r="T158" s="149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</row>
    <row r="159" spans="1:36" s="183" customFormat="1" ht="19.5" customHeight="1" x14ac:dyDescent="0.3">
      <c r="A159" s="94"/>
      <c r="B159" s="167"/>
      <c r="C159" s="168"/>
      <c r="D159" s="182"/>
      <c r="E159" s="169"/>
      <c r="F159" s="110"/>
      <c r="G159" s="110"/>
      <c r="H159" s="157"/>
      <c r="I159" s="145"/>
      <c r="J159" s="112"/>
      <c r="K159" s="156"/>
      <c r="L159" s="156"/>
      <c r="M159" s="156"/>
      <c r="N159" s="158"/>
      <c r="O159" s="159"/>
      <c r="P159" s="159"/>
      <c r="Q159" s="159"/>
      <c r="R159" s="160"/>
      <c r="S159" s="115"/>
      <c r="T159" s="149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</row>
    <row r="160" spans="1:36" s="183" customFormat="1" ht="19.5" customHeight="1" x14ac:dyDescent="0.3">
      <c r="A160" s="94"/>
      <c r="B160" s="167"/>
      <c r="C160" s="168"/>
      <c r="D160" s="182"/>
      <c r="E160" s="169"/>
      <c r="F160" s="110"/>
      <c r="G160" s="110"/>
      <c r="H160" s="157"/>
      <c r="I160" s="145"/>
      <c r="J160" s="112"/>
      <c r="K160" s="156"/>
      <c r="L160" s="156"/>
      <c r="M160" s="156"/>
      <c r="N160" s="158"/>
      <c r="O160" s="159"/>
      <c r="P160" s="159"/>
      <c r="Q160" s="159"/>
      <c r="R160" s="160"/>
      <c r="S160" s="115"/>
      <c r="T160" s="149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</row>
    <row r="161" spans="1:36" s="183" customFormat="1" ht="19.5" customHeight="1" x14ac:dyDescent="0.3">
      <c r="A161" s="94"/>
      <c r="B161" s="167"/>
      <c r="C161" s="168"/>
      <c r="D161" s="182"/>
      <c r="E161" s="169"/>
      <c r="F161" s="110"/>
      <c r="G161" s="110"/>
      <c r="H161" s="157"/>
      <c r="I161" s="145"/>
      <c r="J161" s="112"/>
      <c r="K161" s="156"/>
      <c r="L161" s="156"/>
      <c r="M161" s="156"/>
      <c r="N161" s="158"/>
      <c r="O161" s="159"/>
      <c r="P161" s="159"/>
      <c r="Q161" s="159"/>
      <c r="R161" s="160"/>
      <c r="S161" s="115"/>
      <c r="T161" s="149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</row>
    <row r="162" spans="1:36" s="183" customFormat="1" ht="19.5" customHeight="1" x14ac:dyDescent="0.3">
      <c r="A162" s="94"/>
      <c r="B162" s="167"/>
      <c r="C162" s="168"/>
      <c r="D162" s="182"/>
      <c r="E162" s="169"/>
      <c r="F162" s="110"/>
      <c r="G162" s="110"/>
      <c r="H162" s="157"/>
      <c r="I162" s="145"/>
      <c r="J162" s="112"/>
      <c r="K162" s="156"/>
      <c r="L162" s="156"/>
      <c r="M162" s="156"/>
      <c r="N162" s="158"/>
      <c r="O162" s="159"/>
      <c r="P162" s="159"/>
      <c r="Q162" s="159"/>
      <c r="R162" s="160"/>
      <c r="S162" s="115"/>
      <c r="T162" s="149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</row>
    <row r="163" spans="1:36" s="183" customFormat="1" ht="19.5" customHeight="1" x14ac:dyDescent="0.3">
      <c r="A163" s="94"/>
      <c r="B163" s="170"/>
      <c r="C163" s="168"/>
      <c r="D163" s="182"/>
      <c r="E163" s="168"/>
      <c r="F163" s="110"/>
      <c r="G163" s="157"/>
      <c r="H163" s="157"/>
      <c r="I163" s="145"/>
      <c r="J163" s="112"/>
      <c r="K163" s="156"/>
      <c r="L163" s="156"/>
      <c r="M163" s="156"/>
      <c r="N163" s="158"/>
      <c r="O163" s="159"/>
      <c r="P163" s="159"/>
      <c r="Q163" s="159"/>
      <c r="R163" s="160"/>
      <c r="S163" s="115"/>
      <c r="T163" s="149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</row>
    <row r="164" spans="1:36" s="183" customFormat="1" ht="19.5" customHeight="1" x14ac:dyDescent="0.3">
      <c r="A164" s="94"/>
      <c r="B164" s="170"/>
      <c r="C164" s="168"/>
      <c r="D164" s="182"/>
      <c r="E164" s="168"/>
      <c r="F164" s="110"/>
      <c r="G164" s="157"/>
      <c r="H164" s="157"/>
      <c r="I164" s="145"/>
      <c r="J164" s="112"/>
      <c r="K164" s="156"/>
      <c r="L164" s="156"/>
      <c r="M164" s="156"/>
      <c r="N164" s="158"/>
      <c r="O164" s="159"/>
      <c r="P164" s="159"/>
      <c r="Q164" s="159"/>
      <c r="R164" s="160"/>
      <c r="S164" s="115"/>
      <c r="T164" s="149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</row>
    <row r="165" spans="1:36" s="183" customFormat="1" ht="19.5" customHeight="1" x14ac:dyDescent="0.3">
      <c r="A165" s="94"/>
      <c r="B165" s="170"/>
      <c r="C165" s="168"/>
      <c r="D165" s="182"/>
      <c r="E165" s="168"/>
      <c r="F165" s="110"/>
      <c r="G165" s="157"/>
      <c r="H165" s="157"/>
      <c r="I165" s="145"/>
      <c r="J165" s="112"/>
      <c r="K165" s="156"/>
      <c r="L165" s="156"/>
      <c r="M165" s="156"/>
      <c r="N165" s="158"/>
      <c r="O165" s="159"/>
      <c r="P165" s="159"/>
      <c r="Q165" s="159"/>
      <c r="R165" s="160"/>
      <c r="S165" s="115"/>
      <c r="T165" s="149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</row>
    <row r="166" spans="1:36" s="183" customFormat="1" ht="19.5" customHeight="1" x14ac:dyDescent="0.3">
      <c r="A166" s="94"/>
      <c r="B166" s="170"/>
      <c r="C166" s="168"/>
      <c r="D166" s="182"/>
      <c r="E166" s="168"/>
      <c r="F166" s="110"/>
      <c r="G166" s="157"/>
      <c r="H166" s="157"/>
      <c r="I166" s="145"/>
      <c r="J166" s="112"/>
      <c r="K166" s="156"/>
      <c r="L166" s="156"/>
      <c r="M166" s="156"/>
      <c r="N166" s="158"/>
      <c r="O166" s="159"/>
      <c r="P166" s="159"/>
      <c r="Q166" s="159"/>
      <c r="R166" s="160"/>
      <c r="S166" s="115"/>
      <c r="T166" s="149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</row>
    <row r="167" spans="1:36" s="183" customFormat="1" ht="19.5" customHeight="1" x14ac:dyDescent="0.3">
      <c r="A167" s="94"/>
      <c r="B167" s="170"/>
      <c r="C167" s="184"/>
      <c r="D167" s="182"/>
      <c r="E167" s="168"/>
      <c r="F167" s="110"/>
      <c r="G167" s="157"/>
      <c r="H167" s="157"/>
      <c r="I167" s="145"/>
      <c r="J167" s="112"/>
      <c r="K167" s="156"/>
      <c r="L167" s="156"/>
      <c r="M167" s="156"/>
      <c r="N167" s="158"/>
      <c r="O167" s="159"/>
      <c r="P167" s="159"/>
      <c r="Q167" s="159"/>
      <c r="R167" s="160"/>
      <c r="S167" s="115"/>
      <c r="T167" s="149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</row>
    <row r="168" spans="1:36" s="183" customFormat="1" ht="19.5" customHeight="1" x14ac:dyDescent="0.3">
      <c r="A168" s="94"/>
      <c r="B168" s="170"/>
      <c r="C168" s="184"/>
      <c r="D168" s="182"/>
      <c r="E168" s="168"/>
      <c r="F168" s="110"/>
      <c r="G168" s="157"/>
      <c r="H168" s="157"/>
      <c r="I168" s="145"/>
      <c r="J168" s="112"/>
      <c r="K168" s="156"/>
      <c r="L168" s="156"/>
      <c r="M168" s="156"/>
      <c r="N168" s="158"/>
      <c r="O168" s="159"/>
      <c r="P168" s="159"/>
      <c r="Q168" s="159"/>
      <c r="R168" s="160"/>
      <c r="S168" s="115"/>
      <c r="T168" s="149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</row>
    <row r="169" spans="1:36" s="183" customFormat="1" ht="19.5" customHeight="1" x14ac:dyDescent="0.3">
      <c r="A169" s="94"/>
      <c r="B169" s="170"/>
      <c r="C169" s="185"/>
      <c r="D169" s="182"/>
      <c r="E169" s="168"/>
      <c r="F169" s="110"/>
      <c r="G169" s="157"/>
      <c r="H169" s="157"/>
      <c r="I169" s="145"/>
      <c r="J169" s="112"/>
      <c r="K169" s="156"/>
      <c r="L169" s="156"/>
      <c r="M169" s="156"/>
      <c r="N169" s="158"/>
      <c r="O169" s="159"/>
      <c r="P169" s="159"/>
      <c r="Q169" s="159"/>
      <c r="R169" s="160"/>
      <c r="S169" s="115"/>
      <c r="T169" s="149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</row>
    <row r="170" spans="1:36" s="183" customFormat="1" ht="19.5" customHeight="1" x14ac:dyDescent="0.3">
      <c r="A170" s="94"/>
      <c r="B170" s="170"/>
      <c r="C170" s="168"/>
      <c r="D170" s="182"/>
      <c r="E170" s="168"/>
      <c r="F170" s="110"/>
      <c r="G170" s="157"/>
      <c r="H170" s="157"/>
      <c r="I170" s="145"/>
      <c r="J170" s="112"/>
      <c r="K170" s="156"/>
      <c r="L170" s="156"/>
      <c r="M170" s="156"/>
      <c r="N170" s="158"/>
      <c r="O170" s="159"/>
      <c r="P170" s="159"/>
      <c r="Q170" s="159"/>
      <c r="R170" s="160"/>
      <c r="S170" s="115"/>
      <c r="T170" s="149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</row>
    <row r="171" spans="1:36" s="183" customFormat="1" ht="19.5" customHeight="1" x14ac:dyDescent="0.3">
      <c r="A171" s="94"/>
      <c r="B171" s="186"/>
      <c r="C171" s="186"/>
      <c r="D171" s="182"/>
      <c r="E171" s="186"/>
      <c r="F171" s="110"/>
      <c r="G171" s="157"/>
      <c r="H171" s="157"/>
      <c r="I171" s="145"/>
      <c r="J171" s="112"/>
      <c r="K171" s="156"/>
      <c r="L171" s="156"/>
      <c r="M171" s="156"/>
      <c r="N171" s="158"/>
      <c r="O171" s="159"/>
      <c r="P171" s="159"/>
      <c r="Q171" s="159"/>
      <c r="R171" s="160"/>
      <c r="S171" s="115"/>
      <c r="T171" s="149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</row>
    <row r="172" spans="1:36" s="183" customFormat="1" ht="19.5" customHeight="1" x14ac:dyDescent="0.3">
      <c r="A172" s="94"/>
      <c r="B172" s="186"/>
      <c r="C172" s="186"/>
      <c r="D172" s="182"/>
      <c r="E172" s="186"/>
      <c r="F172" s="110"/>
      <c r="G172" s="157"/>
      <c r="H172" s="157"/>
      <c r="I172" s="145"/>
      <c r="J172" s="112"/>
      <c r="K172" s="156"/>
      <c r="L172" s="156"/>
      <c r="M172" s="156"/>
      <c r="N172" s="158"/>
      <c r="O172" s="159"/>
      <c r="P172" s="159"/>
      <c r="Q172" s="159"/>
      <c r="R172" s="160"/>
      <c r="S172" s="115"/>
      <c r="T172" s="149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</row>
    <row r="173" spans="1:36" s="183" customFormat="1" ht="19.5" customHeight="1" x14ac:dyDescent="0.3">
      <c r="A173" s="94"/>
      <c r="B173" s="186"/>
      <c r="C173" s="186"/>
      <c r="D173" s="182"/>
      <c r="E173" s="186"/>
      <c r="F173" s="110"/>
      <c r="G173" s="157"/>
      <c r="H173" s="157"/>
      <c r="I173" s="145"/>
      <c r="J173" s="112"/>
      <c r="K173" s="156"/>
      <c r="L173" s="156"/>
      <c r="M173" s="156"/>
      <c r="N173" s="158"/>
      <c r="O173" s="159"/>
      <c r="P173" s="159"/>
      <c r="Q173" s="159"/>
      <c r="R173" s="160"/>
      <c r="S173" s="115"/>
      <c r="T173" s="149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</row>
    <row r="174" spans="1:36" s="183" customFormat="1" ht="19.5" customHeight="1" x14ac:dyDescent="0.3">
      <c r="A174" s="94"/>
      <c r="B174" s="186"/>
      <c r="C174" s="186"/>
      <c r="D174" s="182"/>
      <c r="E174" s="186"/>
      <c r="F174" s="110"/>
      <c r="G174" s="157"/>
      <c r="H174" s="157"/>
      <c r="I174" s="145"/>
      <c r="J174" s="112"/>
      <c r="K174" s="156"/>
      <c r="L174" s="156"/>
      <c r="M174" s="156"/>
      <c r="N174" s="158"/>
      <c r="O174" s="159"/>
      <c r="P174" s="159"/>
      <c r="Q174" s="159"/>
      <c r="R174" s="160"/>
      <c r="S174" s="115"/>
      <c r="T174" s="149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</row>
    <row r="175" spans="1:36" s="183" customFormat="1" ht="19.5" customHeight="1" x14ac:dyDescent="0.3">
      <c r="A175" s="94"/>
      <c r="B175" s="186"/>
      <c r="C175" s="186"/>
      <c r="D175" s="182"/>
      <c r="E175" s="187"/>
      <c r="F175" s="110"/>
      <c r="G175" s="157"/>
      <c r="H175" s="157"/>
      <c r="I175" s="145"/>
      <c r="J175" s="112"/>
      <c r="K175" s="156"/>
      <c r="L175" s="156"/>
      <c r="M175" s="156"/>
      <c r="N175" s="158"/>
      <c r="O175" s="159"/>
      <c r="P175" s="159"/>
      <c r="Q175" s="159"/>
      <c r="R175" s="160"/>
      <c r="S175" s="115"/>
      <c r="T175" s="149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</row>
    <row r="176" spans="1:36" s="183" customFormat="1" ht="19.5" customHeight="1" x14ac:dyDescent="0.3">
      <c r="A176" s="94"/>
      <c r="B176" s="186"/>
      <c r="C176" s="186"/>
      <c r="D176" s="182"/>
      <c r="E176" s="187"/>
      <c r="F176" s="110"/>
      <c r="G176" s="157"/>
      <c r="H176" s="157"/>
      <c r="I176" s="145"/>
      <c r="J176" s="112"/>
      <c r="K176" s="156"/>
      <c r="L176" s="156"/>
      <c r="M176" s="156"/>
      <c r="N176" s="158"/>
      <c r="O176" s="159"/>
      <c r="P176" s="159"/>
      <c r="Q176" s="159"/>
      <c r="R176" s="160"/>
      <c r="S176" s="115"/>
      <c r="T176" s="149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</row>
    <row r="177" spans="1:36" s="183" customFormat="1" ht="19.5" customHeight="1" x14ac:dyDescent="0.3">
      <c r="A177" s="94"/>
      <c r="B177" s="186"/>
      <c r="C177" s="186"/>
      <c r="D177" s="182"/>
      <c r="E177" s="187"/>
      <c r="F177" s="110"/>
      <c r="G177" s="157"/>
      <c r="H177" s="157"/>
      <c r="I177" s="145"/>
      <c r="J177" s="112"/>
      <c r="K177" s="156"/>
      <c r="L177" s="156"/>
      <c r="M177" s="156"/>
      <c r="N177" s="158"/>
      <c r="O177" s="159"/>
      <c r="P177" s="159"/>
      <c r="Q177" s="159"/>
      <c r="R177" s="160"/>
      <c r="S177" s="115"/>
      <c r="T177" s="149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</row>
    <row r="178" spans="1:36" s="183" customFormat="1" ht="19.5" customHeight="1" x14ac:dyDescent="0.3">
      <c r="A178" s="94"/>
      <c r="B178" s="186"/>
      <c r="C178" s="186"/>
      <c r="D178" s="182"/>
      <c r="E178" s="187"/>
      <c r="F178" s="110"/>
      <c r="G178" s="157"/>
      <c r="H178" s="157"/>
      <c r="I178" s="145"/>
      <c r="J178" s="112"/>
      <c r="K178" s="156"/>
      <c r="L178" s="156"/>
      <c r="M178" s="156"/>
      <c r="N178" s="158"/>
      <c r="O178" s="159"/>
      <c r="P178" s="159"/>
      <c r="Q178" s="159"/>
      <c r="R178" s="160"/>
      <c r="S178" s="115"/>
      <c r="T178" s="149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</row>
    <row r="179" spans="1:36" s="183" customFormat="1" ht="19.5" customHeight="1" x14ac:dyDescent="0.3">
      <c r="A179" s="94"/>
      <c r="B179" s="186"/>
      <c r="C179" s="186"/>
      <c r="D179" s="182"/>
      <c r="E179" s="187"/>
      <c r="F179" s="110"/>
      <c r="G179" s="157"/>
      <c r="H179" s="157"/>
      <c r="I179" s="145"/>
      <c r="J179" s="112"/>
      <c r="K179" s="156"/>
      <c r="L179" s="156"/>
      <c r="M179" s="156"/>
      <c r="N179" s="158"/>
      <c r="O179" s="159"/>
      <c r="P179" s="159"/>
      <c r="Q179" s="159"/>
      <c r="R179" s="160"/>
      <c r="S179" s="115"/>
      <c r="T179" s="149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</row>
    <row r="180" spans="1:36" s="183" customFormat="1" ht="19.5" customHeight="1" x14ac:dyDescent="0.3">
      <c r="A180" s="94"/>
      <c r="B180" s="186"/>
      <c r="C180" s="186"/>
      <c r="D180" s="182"/>
      <c r="E180" s="187"/>
      <c r="F180" s="110"/>
      <c r="G180" s="157"/>
      <c r="H180" s="157"/>
      <c r="I180" s="145"/>
      <c r="J180" s="112"/>
      <c r="K180" s="156"/>
      <c r="L180" s="156"/>
      <c r="M180" s="156"/>
      <c r="N180" s="158"/>
      <c r="O180" s="159"/>
      <c r="P180" s="159"/>
      <c r="Q180" s="159"/>
      <c r="R180" s="160"/>
      <c r="S180" s="115"/>
      <c r="T180" s="149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</row>
    <row r="181" spans="1:36" s="183" customFormat="1" ht="19.5" customHeight="1" x14ac:dyDescent="0.3">
      <c r="A181" s="94"/>
      <c r="B181" s="186"/>
      <c r="C181" s="186"/>
      <c r="D181" s="182"/>
      <c r="E181" s="187"/>
      <c r="F181" s="110"/>
      <c r="G181" s="157"/>
      <c r="H181" s="157"/>
      <c r="I181" s="145"/>
      <c r="J181" s="112"/>
      <c r="K181" s="156"/>
      <c r="L181" s="156"/>
      <c r="M181" s="156"/>
      <c r="N181" s="158"/>
      <c r="O181" s="159"/>
      <c r="P181" s="159"/>
      <c r="Q181" s="159"/>
      <c r="R181" s="160"/>
      <c r="S181" s="115"/>
      <c r="T181" s="149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</row>
    <row r="182" spans="1:36" s="183" customFormat="1" ht="19.5" customHeight="1" x14ac:dyDescent="0.3">
      <c r="A182" s="94"/>
      <c r="B182" s="186"/>
      <c r="C182" s="186"/>
      <c r="D182" s="182"/>
      <c r="E182" s="187"/>
      <c r="F182" s="110"/>
      <c r="G182" s="157"/>
      <c r="H182" s="157"/>
      <c r="I182" s="145"/>
      <c r="J182" s="112"/>
      <c r="K182" s="156"/>
      <c r="L182" s="156"/>
      <c r="M182" s="156"/>
      <c r="N182" s="158"/>
      <c r="O182" s="159"/>
      <c r="P182" s="159"/>
      <c r="Q182" s="159"/>
      <c r="R182" s="160"/>
      <c r="S182" s="115"/>
      <c r="T182" s="149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</row>
    <row r="183" spans="1:36" s="183" customFormat="1" ht="19.5" customHeight="1" x14ac:dyDescent="0.3">
      <c r="A183" s="94"/>
      <c r="B183" s="186"/>
      <c r="C183" s="186"/>
      <c r="D183" s="182"/>
      <c r="E183" s="187"/>
      <c r="F183" s="110"/>
      <c r="G183" s="157"/>
      <c r="H183" s="157"/>
      <c r="I183" s="145"/>
      <c r="J183" s="112"/>
      <c r="K183" s="156"/>
      <c r="L183" s="156"/>
      <c r="M183" s="156"/>
      <c r="N183" s="158"/>
      <c r="O183" s="159"/>
      <c r="P183" s="159"/>
      <c r="Q183" s="159"/>
      <c r="R183" s="160"/>
      <c r="S183" s="115"/>
      <c r="T183" s="149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</row>
    <row r="184" spans="1:36" s="183" customFormat="1" ht="19.5" customHeight="1" x14ac:dyDescent="0.3">
      <c r="A184" s="94"/>
      <c r="B184" s="186"/>
      <c r="C184" s="186"/>
      <c r="D184" s="182"/>
      <c r="E184" s="187"/>
      <c r="F184" s="110"/>
      <c r="G184" s="157"/>
      <c r="H184" s="157"/>
      <c r="I184" s="145"/>
      <c r="J184" s="112"/>
      <c r="K184" s="156"/>
      <c r="L184" s="156"/>
      <c r="M184" s="156"/>
      <c r="N184" s="158"/>
      <c r="O184" s="159"/>
      <c r="P184" s="159"/>
      <c r="Q184" s="159"/>
      <c r="R184" s="160"/>
      <c r="S184" s="115"/>
      <c r="T184" s="149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</row>
    <row r="185" spans="1:36" s="183" customFormat="1" ht="19.5" customHeight="1" x14ac:dyDescent="0.3">
      <c r="A185" s="94"/>
      <c r="B185" s="186"/>
      <c r="C185" s="186"/>
      <c r="D185" s="182"/>
      <c r="E185" s="187"/>
      <c r="F185" s="110"/>
      <c r="G185" s="157"/>
      <c r="H185" s="157"/>
      <c r="I185" s="145"/>
      <c r="J185" s="112"/>
      <c r="K185" s="156"/>
      <c r="L185" s="156"/>
      <c r="M185" s="156"/>
      <c r="N185" s="158"/>
      <c r="O185" s="159"/>
      <c r="P185" s="159"/>
      <c r="Q185" s="159"/>
      <c r="R185" s="160"/>
      <c r="S185" s="115"/>
      <c r="T185" s="149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</row>
    <row r="186" spans="1:36" s="183" customFormat="1" ht="19.5" customHeight="1" x14ac:dyDescent="0.3">
      <c r="A186" s="94"/>
      <c r="B186" s="186"/>
      <c r="C186" s="186"/>
      <c r="D186" s="182"/>
      <c r="E186" s="187"/>
      <c r="F186" s="110"/>
      <c r="G186" s="157"/>
      <c r="H186" s="157"/>
      <c r="I186" s="145"/>
      <c r="J186" s="112"/>
      <c r="K186" s="156"/>
      <c r="L186" s="156"/>
      <c r="M186" s="156"/>
      <c r="N186" s="158"/>
      <c r="O186" s="159"/>
      <c r="P186" s="159"/>
      <c r="Q186" s="159"/>
      <c r="R186" s="160"/>
      <c r="S186" s="115"/>
      <c r="T186" s="149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</row>
    <row r="187" spans="1:36" s="183" customFormat="1" ht="19.5" customHeight="1" x14ac:dyDescent="0.3">
      <c r="A187" s="94"/>
      <c r="B187" s="188"/>
      <c r="C187" s="78"/>
      <c r="D187" s="182"/>
      <c r="E187" s="78"/>
      <c r="F187" s="110"/>
      <c r="G187" s="157"/>
      <c r="H187" s="157"/>
      <c r="I187" s="145"/>
      <c r="J187" s="112"/>
      <c r="K187" s="156"/>
      <c r="L187" s="156"/>
      <c r="M187" s="156"/>
      <c r="N187" s="158"/>
      <c r="O187" s="159"/>
      <c r="P187" s="159"/>
      <c r="Q187" s="159"/>
      <c r="R187" s="160"/>
      <c r="S187" s="115"/>
      <c r="T187" s="149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</row>
    <row r="188" spans="1:36" s="183" customFormat="1" ht="19.5" customHeight="1" x14ac:dyDescent="0.3">
      <c r="A188" s="94"/>
      <c r="B188" s="188"/>
      <c r="C188" s="78"/>
      <c r="D188" s="182"/>
      <c r="E188" s="78"/>
      <c r="F188" s="110"/>
      <c r="G188" s="157"/>
      <c r="H188" s="157"/>
      <c r="I188" s="145"/>
      <c r="J188" s="112"/>
      <c r="K188" s="156"/>
      <c r="L188" s="156"/>
      <c r="M188" s="156"/>
      <c r="N188" s="158"/>
      <c r="O188" s="159"/>
      <c r="P188" s="159"/>
      <c r="Q188" s="159"/>
      <c r="R188" s="160"/>
      <c r="S188" s="115"/>
      <c r="T188" s="149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</row>
    <row r="189" spans="1:36" s="183" customFormat="1" ht="19.5" customHeight="1" x14ac:dyDescent="0.3">
      <c r="A189" s="94"/>
      <c r="B189" s="186"/>
      <c r="C189" s="186"/>
      <c r="D189" s="182"/>
      <c r="E189" s="78"/>
      <c r="F189" s="110"/>
      <c r="G189" s="157"/>
      <c r="H189" s="157"/>
      <c r="I189" s="145"/>
      <c r="J189" s="112"/>
      <c r="K189" s="156"/>
      <c r="L189" s="156"/>
      <c r="M189" s="156"/>
      <c r="N189" s="158"/>
      <c r="O189" s="159"/>
      <c r="P189" s="159"/>
      <c r="Q189" s="159"/>
      <c r="R189" s="160"/>
      <c r="S189" s="115"/>
      <c r="T189" s="149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</row>
    <row r="190" spans="1:36" s="183" customFormat="1" ht="19.5" customHeight="1" x14ac:dyDescent="0.3">
      <c r="A190" s="94"/>
      <c r="B190" s="186"/>
      <c r="C190" s="186"/>
      <c r="D190" s="182"/>
      <c r="E190" s="186"/>
      <c r="F190" s="110"/>
      <c r="G190" s="157"/>
      <c r="H190" s="157"/>
      <c r="I190" s="145"/>
      <c r="J190" s="112"/>
      <c r="K190" s="156"/>
      <c r="L190" s="156"/>
      <c r="M190" s="156"/>
      <c r="N190" s="158"/>
      <c r="O190" s="159"/>
      <c r="P190" s="159"/>
      <c r="Q190" s="159"/>
      <c r="R190" s="160"/>
      <c r="S190" s="115"/>
      <c r="T190" s="149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</row>
    <row r="191" spans="1:36" s="142" customFormat="1" ht="19.5" customHeight="1" x14ac:dyDescent="0.3">
      <c r="A191" s="132"/>
      <c r="B191" s="133"/>
      <c r="C191" s="133"/>
      <c r="D191" s="137"/>
      <c r="E191" s="152"/>
      <c r="F191" s="152"/>
      <c r="G191" s="152"/>
      <c r="H191" s="152"/>
      <c r="I191" s="136"/>
      <c r="J191" s="137"/>
      <c r="K191" s="137"/>
      <c r="L191" s="137"/>
      <c r="M191" s="137"/>
      <c r="N191" s="153"/>
      <c r="O191" s="139"/>
      <c r="P191" s="139"/>
      <c r="Q191" s="139"/>
      <c r="R191" s="140"/>
      <c r="S191" s="141"/>
      <c r="T191" s="149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</row>
    <row r="192" spans="1:36" ht="19.5" customHeight="1" x14ac:dyDescent="0.3">
      <c r="A192" s="70"/>
      <c r="B192" s="189"/>
      <c r="C192" s="190"/>
      <c r="D192" s="156"/>
      <c r="E192" s="190"/>
      <c r="F192" s="110"/>
      <c r="G192" s="110"/>
      <c r="H192" s="157"/>
      <c r="I192" s="145"/>
      <c r="J192" s="121"/>
      <c r="K192" s="156"/>
      <c r="L192" s="156"/>
      <c r="M192" s="156"/>
      <c r="N192" s="158"/>
      <c r="O192" s="159"/>
      <c r="P192" s="159"/>
      <c r="Q192" s="159"/>
      <c r="R192" s="160"/>
      <c r="S192" s="77"/>
      <c r="T192" s="149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spans="1:36" ht="19.5" customHeight="1" x14ac:dyDescent="0.3">
      <c r="A193" s="70"/>
      <c r="B193" s="143"/>
      <c r="C193" s="144"/>
      <c r="D193" s="156"/>
      <c r="E193" s="144"/>
      <c r="F193" s="110"/>
      <c r="G193" s="110"/>
      <c r="H193" s="157"/>
      <c r="I193" s="145"/>
      <c r="J193" s="121"/>
      <c r="K193" s="156"/>
      <c r="L193" s="156"/>
      <c r="M193" s="156"/>
      <c r="N193" s="158"/>
      <c r="O193" s="159"/>
      <c r="P193" s="159"/>
      <c r="Q193" s="159"/>
      <c r="R193" s="160"/>
      <c r="S193" s="77"/>
      <c r="T193" s="149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spans="1:36" ht="19.5" customHeight="1" x14ac:dyDescent="0.3">
      <c r="A194" s="70"/>
      <c r="B194" s="143"/>
      <c r="C194" s="144"/>
      <c r="D194" s="156"/>
      <c r="E194" s="144"/>
      <c r="F194" s="110"/>
      <c r="G194" s="110"/>
      <c r="H194" s="157"/>
      <c r="I194" s="145"/>
      <c r="J194" s="121"/>
      <c r="K194" s="156"/>
      <c r="L194" s="156"/>
      <c r="M194" s="156"/>
      <c r="N194" s="158"/>
      <c r="O194" s="159"/>
      <c r="P194" s="159"/>
      <c r="Q194" s="159"/>
      <c r="R194" s="160"/>
      <c r="S194" s="77"/>
      <c r="T194" s="149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spans="1:36" ht="19.5" customHeight="1" x14ac:dyDescent="0.3">
      <c r="A195" s="70"/>
      <c r="B195" s="143"/>
      <c r="C195" s="144"/>
      <c r="D195" s="156"/>
      <c r="E195" s="144"/>
      <c r="F195" s="110"/>
      <c r="G195" s="110"/>
      <c r="H195" s="157"/>
      <c r="I195" s="145"/>
      <c r="J195" s="121"/>
      <c r="K195" s="156"/>
      <c r="L195" s="156"/>
      <c r="M195" s="156"/>
      <c r="N195" s="158"/>
      <c r="O195" s="159"/>
      <c r="P195" s="159"/>
      <c r="Q195" s="159"/>
      <c r="R195" s="160"/>
      <c r="S195" s="77"/>
      <c r="T195" s="149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spans="1:36" ht="19.5" customHeight="1" x14ac:dyDescent="0.3">
      <c r="A196" s="70"/>
      <c r="B196" s="143"/>
      <c r="C196" s="144"/>
      <c r="D196" s="156"/>
      <c r="E196" s="144"/>
      <c r="F196" s="110"/>
      <c r="G196" s="110"/>
      <c r="H196" s="157"/>
      <c r="I196" s="145"/>
      <c r="J196" s="121"/>
      <c r="K196" s="156"/>
      <c r="L196" s="156"/>
      <c r="M196" s="156"/>
      <c r="N196" s="158"/>
      <c r="O196" s="159"/>
      <c r="P196" s="159"/>
      <c r="Q196" s="159"/>
      <c r="R196" s="160"/>
      <c r="S196" s="77"/>
      <c r="T196" s="149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spans="1:36" ht="19.5" customHeight="1" x14ac:dyDescent="0.3">
      <c r="A197" s="70"/>
      <c r="B197" s="143"/>
      <c r="C197" s="144"/>
      <c r="D197" s="156"/>
      <c r="E197" s="144"/>
      <c r="F197" s="110"/>
      <c r="G197" s="110"/>
      <c r="H197" s="157"/>
      <c r="I197" s="145"/>
      <c r="J197" s="121"/>
      <c r="K197" s="156"/>
      <c r="L197" s="156"/>
      <c r="M197" s="156"/>
      <c r="N197" s="158"/>
      <c r="O197" s="159"/>
      <c r="P197" s="159"/>
      <c r="Q197" s="159"/>
      <c r="R197" s="160"/>
      <c r="S197" s="77"/>
      <c r="T197" s="149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spans="1:36" ht="19.5" customHeight="1" x14ac:dyDescent="0.3">
      <c r="A198" s="70"/>
      <c r="B198" s="156"/>
      <c r="C198" s="156"/>
      <c r="D198" s="156"/>
      <c r="E198" s="157"/>
      <c r="F198" s="110"/>
      <c r="G198" s="157"/>
      <c r="H198" s="157"/>
      <c r="I198" s="145"/>
      <c r="J198" s="121"/>
      <c r="K198" s="156"/>
      <c r="L198" s="156"/>
      <c r="M198" s="156"/>
      <c r="N198" s="158"/>
      <c r="O198" s="159"/>
      <c r="P198" s="159"/>
      <c r="Q198" s="159"/>
      <c r="R198" s="160"/>
      <c r="S198" s="77"/>
      <c r="T198" s="149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spans="1:36" s="142" customFormat="1" ht="19.5" customHeight="1" x14ac:dyDescent="0.3">
      <c r="A199" s="132"/>
      <c r="B199" s="133"/>
      <c r="C199" s="133"/>
      <c r="D199" s="137"/>
      <c r="E199" s="152"/>
      <c r="F199" s="152"/>
      <c r="G199" s="152"/>
      <c r="H199" s="152"/>
      <c r="I199" s="136"/>
      <c r="J199" s="137"/>
      <c r="K199" s="137"/>
      <c r="L199" s="137"/>
      <c r="M199" s="137"/>
      <c r="N199" s="153"/>
      <c r="O199" s="139"/>
      <c r="P199" s="139"/>
      <c r="Q199" s="139"/>
      <c r="R199" s="140"/>
      <c r="S199" s="141"/>
      <c r="T199" s="149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</row>
    <row r="200" spans="1:36" ht="19.5" customHeight="1" x14ac:dyDescent="0.3">
      <c r="A200" s="94"/>
      <c r="B200" s="167"/>
      <c r="C200" s="168"/>
      <c r="D200" s="180"/>
      <c r="E200" s="169"/>
      <c r="F200" s="110"/>
      <c r="G200" s="110"/>
      <c r="H200" s="157"/>
      <c r="I200" s="145"/>
      <c r="J200" s="112"/>
      <c r="K200" s="156"/>
      <c r="L200" s="156"/>
      <c r="M200" s="156"/>
      <c r="N200" s="158"/>
      <c r="O200" s="159"/>
      <c r="P200" s="159"/>
      <c r="Q200" s="159"/>
      <c r="R200" s="160"/>
      <c r="S200" s="115"/>
      <c r="T200" s="149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</row>
    <row r="201" spans="1:36" ht="19.5" customHeight="1" x14ac:dyDescent="0.3">
      <c r="A201" s="94"/>
      <c r="B201" s="167"/>
      <c r="C201" s="168"/>
      <c r="D201" s="180"/>
      <c r="E201" s="169"/>
      <c r="F201" s="110"/>
      <c r="G201" s="110"/>
      <c r="H201" s="157"/>
      <c r="I201" s="145"/>
      <c r="J201" s="112"/>
      <c r="K201" s="156"/>
      <c r="L201" s="156"/>
      <c r="M201" s="156"/>
      <c r="N201" s="158"/>
      <c r="O201" s="159"/>
      <c r="P201" s="159"/>
      <c r="Q201" s="159"/>
      <c r="R201" s="160"/>
      <c r="S201" s="115"/>
      <c r="T201" s="149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</row>
    <row r="202" spans="1:36" ht="19.5" customHeight="1" x14ac:dyDescent="0.3">
      <c r="A202" s="94"/>
      <c r="B202" s="167"/>
      <c r="C202" s="168"/>
      <c r="D202" s="180"/>
      <c r="E202" s="169"/>
      <c r="F202" s="110"/>
      <c r="G202" s="110"/>
      <c r="H202" s="157"/>
      <c r="I202" s="145"/>
      <c r="J202" s="112"/>
      <c r="K202" s="156"/>
      <c r="L202" s="156"/>
      <c r="M202" s="156"/>
      <c r="N202" s="158"/>
      <c r="O202" s="159"/>
      <c r="P202" s="159"/>
      <c r="Q202" s="159"/>
      <c r="R202" s="160"/>
      <c r="S202" s="115"/>
      <c r="T202" s="149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</row>
    <row r="203" spans="1:36" ht="19.5" customHeight="1" x14ac:dyDescent="0.3">
      <c r="A203" s="94"/>
      <c r="B203" s="167"/>
      <c r="C203" s="168"/>
      <c r="D203" s="180"/>
      <c r="E203" s="169"/>
      <c r="F203" s="110"/>
      <c r="G203" s="110"/>
      <c r="H203" s="157"/>
      <c r="I203" s="145"/>
      <c r="J203" s="112"/>
      <c r="K203" s="156"/>
      <c r="L203" s="156"/>
      <c r="M203" s="156"/>
      <c r="N203" s="158"/>
      <c r="O203" s="159"/>
      <c r="P203" s="159"/>
      <c r="Q203" s="159"/>
      <c r="R203" s="160"/>
      <c r="S203" s="115"/>
      <c r="T203" s="149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</row>
    <row r="204" spans="1:36" ht="19.5" customHeight="1" x14ac:dyDescent="0.3">
      <c r="A204" s="94"/>
      <c r="B204" s="167"/>
      <c r="C204" s="168"/>
      <c r="D204" s="180"/>
      <c r="E204" s="169"/>
      <c r="F204" s="110"/>
      <c r="G204" s="110"/>
      <c r="H204" s="157"/>
      <c r="I204" s="145"/>
      <c r="J204" s="112"/>
      <c r="K204" s="156"/>
      <c r="L204" s="156"/>
      <c r="M204" s="156"/>
      <c r="N204" s="158"/>
      <c r="O204" s="159"/>
      <c r="P204" s="159"/>
      <c r="Q204" s="159"/>
      <c r="R204" s="160"/>
      <c r="S204" s="115"/>
      <c r="T204" s="149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</row>
    <row r="205" spans="1:36" ht="19.5" customHeight="1" x14ac:dyDescent="0.3">
      <c r="A205" s="94"/>
      <c r="B205" s="167"/>
      <c r="C205" s="168"/>
      <c r="D205" s="180"/>
      <c r="E205" s="169"/>
      <c r="F205" s="110"/>
      <c r="G205" s="110"/>
      <c r="H205" s="157"/>
      <c r="I205" s="145"/>
      <c r="J205" s="112"/>
      <c r="K205" s="156"/>
      <c r="L205" s="156"/>
      <c r="M205" s="156"/>
      <c r="N205" s="158"/>
      <c r="O205" s="159"/>
      <c r="P205" s="159"/>
      <c r="Q205" s="159"/>
      <c r="R205" s="160"/>
      <c r="S205" s="115"/>
      <c r="T205" s="149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</row>
    <row r="206" spans="1:36" ht="19.5" customHeight="1" x14ac:dyDescent="0.3">
      <c r="A206" s="94"/>
      <c r="B206" s="167"/>
      <c r="C206" s="168"/>
      <c r="D206" s="180"/>
      <c r="E206" s="169"/>
      <c r="F206" s="110"/>
      <c r="G206" s="110"/>
      <c r="H206" s="157"/>
      <c r="I206" s="145"/>
      <c r="J206" s="112"/>
      <c r="K206" s="156"/>
      <c r="L206" s="156"/>
      <c r="M206" s="156"/>
      <c r="N206" s="158"/>
      <c r="O206" s="159"/>
      <c r="P206" s="159"/>
      <c r="Q206" s="159"/>
      <c r="R206" s="160"/>
      <c r="S206" s="115"/>
      <c r="T206" s="149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</row>
    <row r="207" spans="1:36" ht="19.5" customHeight="1" x14ac:dyDescent="0.3">
      <c r="A207" s="94"/>
      <c r="B207" s="167"/>
      <c r="C207" s="168"/>
      <c r="D207" s="180"/>
      <c r="E207" s="169"/>
      <c r="F207" s="110"/>
      <c r="G207" s="110"/>
      <c r="H207" s="157"/>
      <c r="I207" s="145"/>
      <c r="J207" s="112"/>
      <c r="K207" s="156"/>
      <c r="L207" s="156"/>
      <c r="M207" s="156"/>
      <c r="N207" s="158"/>
      <c r="O207" s="159"/>
      <c r="P207" s="159"/>
      <c r="Q207" s="159"/>
      <c r="R207" s="160"/>
      <c r="S207" s="115"/>
      <c r="T207" s="149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</row>
    <row r="208" spans="1:36" ht="19.5" customHeight="1" x14ac:dyDescent="0.3">
      <c r="A208" s="94"/>
      <c r="B208" s="167"/>
      <c r="C208" s="168"/>
      <c r="D208" s="180"/>
      <c r="E208" s="169"/>
      <c r="F208" s="110"/>
      <c r="G208" s="110"/>
      <c r="H208" s="157"/>
      <c r="I208" s="145"/>
      <c r="J208" s="112"/>
      <c r="K208" s="156"/>
      <c r="L208" s="156"/>
      <c r="M208" s="156"/>
      <c r="N208" s="158"/>
      <c r="O208" s="159"/>
      <c r="P208" s="159"/>
      <c r="Q208" s="159"/>
      <c r="R208" s="160"/>
      <c r="S208" s="115"/>
      <c r="T208" s="149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</row>
    <row r="209" spans="1:36" ht="19.5" customHeight="1" x14ac:dyDescent="0.3">
      <c r="A209" s="94"/>
      <c r="B209" s="167"/>
      <c r="C209" s="168"/>
      <c r="D209" s="180"/>
      <c r="E209" s="169"/>
      <c r="F209" s="110"/>
      <c r="G209" s="110"/>
      <c r="H209" s="157"/>
      <c r="I209" s="145"/>
      <c r="J209" s="112"/>
      <c r="K209" s="156"/>
      <c r="L209" s="156"/>
      <c r="M209" s="156"/>
      <c r="N209" s="158"/>
      <c r="O209" s="159"/>
      <c r="P209" s="159"/>
      <c r="Q209" s="159"/>
      <c r="R209" s="160"/>
      <c r="S209" s="115"/>
      <c r="T209" s="149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</row>
    <row r="210" spans="1:36" ht="19.5" customHeight="1" x14ac:dyDescent="0.3">
      <c r="A210" s="94"/>
      <c r="B210" s="167"/>
      <c r="C210" s="168"/>
      <c r="D210" s="180"/>
      <c r="E210" s="169"/>
      <c r="F210" s="110"/>
      <c r="G210" s="110"/>
      <c r="H210" s="157"/>
      <c r="I210" s="145"/>
      <c r="J210" s="112"/>
      <c r="K210" s="156"/>
      <c r="L210" s="156"/>
      <c r="M210" s="156"/>
      <c r="N210" s="158"/>
      <c r="O210" s="159"/>
      <c r="P210" s="159"/>
      <c r="Q210" s="159"/>
      <c r="R210" s="160"/>
      <c r="S210" s="115"/>
      <c r="T210" s="149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</row>
    <row r="211" spans="1:36" ht="19.5" customHeight="1" x14ac:dyDescent="0.3">
      <c r="A211" s="94"/>
      <c r="B211" s="167"/>
      <c r="C211" s="168"/>
      <c r="D211" s="180"/>
      <c r="E211" s="169"/>
      <c r="F211" s="110"/>
      <c r="G211" s="110"/>
      <c r="H211" s="157"/>
      <c r="I211" s="145"/>
      <c r="J211" s="112"/>
      <c r="K211" s="156"/>
      <c r="L211" s="156"/>
      <c r="M211" s="156"/>
      <c r="N211" s="158"/>
      <c r="O211" s="159"/>
      <c r="P211" s="159"/>
      <c r="Q211" s="159"/>
      <c r="R211" s="160"/>
      <c r="S211" s="115"/>
      <c r="T211" s="149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</row>
    <row r="212" spans="1:36" ht="19.5" customHeight="1" x14ac:dyDescent="0.3">
      <c r="A212" s="94"/>
      <c r="B212" s="167"/>
      <c r="C212" s="168"/>
      <c r="D212" s="180"/>
      <c r="E212" s="169"/>
      <c r="F212" s="110"/>
      <c r="G212" s="110"/>
      <c r="H212" s="157"/>
      <c r="I212" s="145"/>
      <c r="J212" s="112"/>
      <c r="K212" s="156"/>
      <c r="L212" s="156"/>
      <c r="M212" s="156"/>
      <c r="N212" s="158"/>
      <c r="O212" s="159"/>
      <c r="P212" s="159"/>
      <c r="Q212" s="159"/>
      <c r="R212" s="160"/>
      <c r="S212" s="115"/>
      <c r="T212" s="149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</row>
    <row r="213" spans="1:36" ht="19.5" customHeight="1" x14ac:dyDescent="0.3">
      <c r="A213" s="94"/>
      <c r="B213" s="167"/>
      <c r="C213" s="168"/>
      <c r="D213" s="180"/>
      <c r="E213" s="169"/>
      <c r="F213" s="110"/>
      <c r="G213" s="110"/>
      <c r="H213" s="157"/>
      <c r="I213" s="145"/>
      <c r="J213" s="112"/>
      <c r="K213" s="156"/>
      <c r="L213" s="156"/>
      <c r="M213" s="156"/>
      <c r="N213" s="158"/>
      <c r="O213" s="159"/>
      <c r="P213" s="159"/>
      <c r="Q213" s="159"/>
      <c r="R213" s="160"/>
      <c r="S213" s="115"/>
      <c r="T213" s="149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</row>
    <row r="214" spans="1:36" ht="19.5" customHeight="1" x14ac:dyDescent="0.3">
      <c r="A214" s="94"/>
      <c r="B214" s="167"/>
      <c r="C214" s="168"/>
      <c r="D214" s="180"/>
      <c r="E214" s="169"/>
      <c r="F214" s="110"/>
      <c r="G214" s="110"/>
      <c r="H214" s="157"/>
      <c r="I214" s="145"/>
      <c r="J214" s="112"/>
      <c r="K214" s="156"/>
      <c r="L214" s="156"/>
      <c r="M214" s="156"/>
      <c r="N214" s="158"/>
      <c r="O214" s="159"/>
      <c r="P214" s="159"/>
      <c r="Q214" s="159"/>
      <c r="R214" s="160"/>
      <c r="S214" s="115"/>
      <c r="T214" s="149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</row>
    <row r="215" spans="1:36" ht="19.5" customHeight="1" x14ac:dyDescent="0.3">
      <c r="A215" s="94"/>
      <c r="B215" s="167"/>
      <c r="C215" s="168"/>
      <c r="D215" s="180"/>
      <c r="E215" s="169"/>
      <c r="F215" s="110"/>
      <c r="G215" s="110"/>
      <c r="H215" s="157"/>
      <c r="I215" s="145"/>
      <c r="J215" s="112"/>
      <c r="K215" s="156"/>
      <c r="L215" s="156"/>
      <c r="M215" s="156"/>
      <c r="N215" s="158"/>
      <c r="O215" s="159"/>
      <c r="P215" s="159"/>
      <c r="Q215" s="159"/>
      <c r="R215" s="160"/>
      <c r="S215" s="115"/>
      <c r="T215" s="149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</row>
    <row r="216" spans="1:36" ht="19.5" customHeight="1" x14ac:dyDescent="0.3">
      <c r="A216" s="94"/>
      <c r="B216" s="167"/>
      <c r="C216" s="168"/>
      <c r="D216" s="180"/>
      <c r="E216" s="169"/>
      <c r="F216" s="110"/>
      <c r="G216" s="110"/>
      <c r="H216" s="157"/>
      <c r="I216" s="145"/>
      <c r="J216" s="112"/>
      <c r="K216" s="156"/>
      <c r="L216" s="156"/>
      <c r="M216" s="156"/>
      <c r="N216" s="158"/>
      <c r="O216" s="159"/>
      <c r="P216" s="159"/>
      <c r="Q216" s="159"/>
      <c r="R216" s="160"/>
      <c r="S216" s="115"/>
      <c r="T216" s="149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</row>
    <row r="217" spans="1:36" ht="19.5" customHeight="1" x14ac:dyDescent="0.3">
      <c r="A217" s="94"/>
      <c r="B217" s="167"/>
      <c r="C217" s="168"/>
      <c r="D217" s="180"/>
      <c r="E217" s="169"/>
      <c r="F217" s="110"/>
      <c r="G217" s="110"/>
      <c r="H217" s="157"/>
      <c r="I217" s="145"/>
      <c r="J217" s="112"/>
      <c r="K217" s="156"/>
      <c r="L217" s="156"/>
      <c r="M217" s="156"/>
      <c r="N217" s="158"/>
      <c r="O217" s="159"/>
      <c r="P217" s="159"/>
      <c r="Q217" s="159"/>
      <c r="R217" s="160"/>
      <c r="S217" s="115"/>
      <c r="T217" s="149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</row>
    <row r="218" spans="1:36" ht="19.5" customHeight="1" x14ac:dyDescent="0.3">
      <c r="A218" s="94"/>
      <c r="B218" s="167"/>
      <c r="C218" s="168"/>
      <c r="D218" s="180"/>
      <c r="E218" s="169"/>
      <c r="F218" s="110"/>
      <c r="G218" s="157"/>
      <c r="H218" s="157"/>
      <c r="I218" s="145"/>
      <c r="J218" s="112"/>
      <c r="K218" s="156"/>
      <c r="L218" s="156"/>
      <c r="M218" s="156"/>
      <c r="N218" s="158"/>
      <c r="O218" s="159"/>
      <c r="P218" s="159"/>
      <c r="Q218" s="159"/>
      <c r="R218" s="160"/>
      <c r="S218" s="115"/>
      <c r="T218" s="149"/>
      <c r="U218" s="70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</row>
    <row r="219" spans="1:36" ht="19.5" customHeight="1" x14ac:dyDescent="0.3">
      <c r="A219" s="94"/>
      <c r="B219" s="171"/>
      <c r="C219" s="172"/>
      <c r="D219" s="191"/>
      <c r="E219" s="172"/>
      <c r="F219" s="174"/>
      <c r="G219" s="157"/>
      <c r="H219" s="157"/>
      <c r="I219" s="145"/>
      <c r="J219" s="112"/>
      <c r="K219" s="156"/>
      <c r="L219" s="156"/>
      <c r="M219" s="156"/>
      <c r="N219" s="158"/>
      <c r="O219" s="159"/>
      <c r="P219" s="159"/>
      <c r="Q219" s="159"/>
      <c r="R219" s="160"/>
      <c r="S219" s="115"/>
      <c r="T219" s="149"/>
      <c r="U219" s="70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</row>
    <row r="220" spans="1:36" ht="19.5" customHeight="1" x14ac:dyDescent="0.3">
      <c r="A220" s="94"/>
      <c r="B220" s="171"/>
      <c r="C220" s="172"/>
      <c r="D220" s="191"/>
      <c r="E220" s="172"/>
      <c r="F220" s="174"/>
      <c r="G220" s="157"/>
      <c r="H220" s="157"/>
      <c r="I220" s="145"/>
      <c r="J220" s="112"/>
      <c r="K220" s="156"/>
      <c r="L220" s="156"/>
      <c r="M220" s="156"/>
      <c r="N220" s="158"/>
      <c r="O220" s="159"/>
      <c r="P220" s="159"/>
      <c r="Q220" s="159"/>
      <c r="R220" s="160"/>
      <c r="S220" s="115"/>
      <c r="T220" s="149"/>
      <c r="U220" s="70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</row>
    <row r="221" spans="1:36" ht="19.5" customHeight="1" x14ac:dyDescent="0.3">
      <c r="A221" s="94"/>
      <c r="B221" s="167"/>
      <c r="C221" s="167"/>
      <c r="D221" s="180"/>
      <c r="E221" s="169"/>
      <c r="F221" s="110"/>
      <c r="G221" s="157"/>
      <c r="H221" s="157"/>
      <c r="I221" s="145"/>
      <c r="J221" s="112"/>
      <c r="K221" s="156"/>
      <c r="L221" s="156"/>
      <c r="M221" s="156"/>
      <c r="N221" s="158"/>
      <c r="O221" s="159"/>
      <c r="P221" s="159"/>
      <c r="Q221" s="159"/>
      <c r="R221" s="160"/>
      <c r="S221" s="115"/>
      <c r="T221" s="149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</row>
    <row r="222" spans="1:36" ht="19.5" customHeight="1" x14ac:dyDescent="0.3">
      <c r="A222" s="94"/>
      <c r="B222" s="167"/>
      <c r="C222" s="168"/>
      <c r="D222" s="180"/>
      <c r="E222" s="169"/>
      <c r="F222" s="110"/>
      <c r="G222" s="157"/>
      <c r="H222" s="157"/>
      <c r="I222" s="145"/>
      <c r="J222" s="112"/>
      <c r="K222" s="156"/>
      <c r="L222" s="156"/>
      <c r="M222" s="156"/>
      <c r="N222" s="158"/>
      <c r="O222" s="159"/>
      <c r="P222" s="159"/>
      <c r="Q222" s="159"/>
      <c r="R222" s="160"/>
      <c r="S222" s="115"/>
      <c r="T222" s="149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</row>
    <row r="223" spans="1:36" ht="19.5" customHeight="1" x14ac:dyDescent="0.3">
      <c r="A223" s="94"/>
      <c r="B223" s="167"/>
      <c r="C223" s="168"/>
      <c r="D223" s="180"/>
      <c r="E223" s="169"/>
      <c r="F223" s="110"/>
      <c r="G223" s="157"/>
      <c r="H223" s="157"/>
      <c r="I223" s="145"/>
      <c r="J223" s="112"/>
      <c r="K223" s="156"/>
      <c r="L223" s="156"/>
      <c r="M223" s="156"/>
      <c r="N223" s="158"/>
      <c r="O223" s="159"/>
      <c r="P223" s="159"/>
      <c r="Q223" s="159"/>
      <c r="R223" s="160"/>
      <c r="S223" s="115"/>
      <c r="T223" s="149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</row>
    <row r="224" spans="1:36" s="142" customFormat="1" ht="19.5" customHeight="1" x14ac:dyDescent="0.3">
      <c r="A224" s="132"/>
      <c r="B224" s="133"/>
      <c r="C224" s="133"/>
      <c r="D224" s="137"/>
      <c r="E224" s="152"/>
      <c r="F224" s="152"/>
      <c r="G224" s="152"/>
      <c r="H224" s="152"/>
      <c r="I224" s="136"/>
      <c r="J224" s="137"/>
      <c r="K224" s="137"/>
      <c r="L224" s="137"/>
      <c r="M224" s="137"/>
      <c r="N224" s="153"/>
      <c r="O224" s="139"/>
      <c r="P224" s="139"/>
      <c r="Q224" s="139"/>
      <c r="R224" s="140"/>
      <c r="S224" s="141"/>
      <c r="T224" s="149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</row>
    <row r="225" spans="1:36" ht="19.5" customHeight="1" x14ac:dyDescent="0.3">
      <c r="A225" s="94"/>
      <c r="B225" s="167"/>
      <c r="C225" s="168"/>
      <c r="D225" s="180"/>
      <c r="E225" s="169"/>
      <c r="F225" s="110"/>
      <c r="G225" s="157"/>
      <c r="H225" s="157"/>
      <c r="I225" s="145"/>
      <c r="J225" s="112"/>
      <c r="K225" s="156"/>
      <c r="L225" s="156"/>
      <c r="M225" s="156"/>
      <c r="N225" s="158"/>
      <c r="O225" s="159"/>
      <c r="P225" s="159"/>
      <c r="Q225" s="159"/>
      <c r="R225" s="160"/>
      <c r="S225" s="115"/>
      <c r="T225" s="149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</row>
    <row r="226" spans="1:36" ht="19.5" customHeight="1" x14ac:dyDescent="0.3">
      <c r="A226" s="94"/>
      <c r="B226" s="167"/>
      <c r="C226" s="168"/>
      <c r="D226" s="180"/>
      <c r="E226" s="169"/>
      <c r="F226" s="110"/>
      <c r="G226" s="157"/>
      <c r="H226" s="157"/>
      <c r="I226" s="145"/>
      <c r="J226" s="112"/>
      <c r="K226" s="156"/>
      <c r="L226" s="156"/>
      <c r="M226" s="156"/>
      <c r="N226" s="158"/>
      <c r="O226" s="159"/>
      <c r="P226" s="159"/>
      <c r="Q226" s="159"/>
      <c r="R226" s="160"/>
      <c r="S226" s="115"/>
      <c r="T226" s="149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</row>
    <row r="227" spans="1:36" ht="19.5" customHeight="1" x14ac:dyDescent="0.3">
      <c r="A227" s="94"/>
      <c r="B227" s="167"/>
      <c r="C227" s="168"/>
      <c r="D227" s="180"/>
      <c r="E227" s="169"/>
      <c r="F227" s="110"/>
      <c r="G227" s="157"/>
      <c r="H227" s="157"/>
      <c r="I227" s="145"/>
      <c r="J227" s="112"/>
      <c r="K227" s="156"/>
      <c r="L227" s="156"/>
      <c r="M227" s="156"/>
      <c r="N227" s="158"/>
      <c r="O227" s="159"/>
      <c r="P227" s="159"/>
      <c r="Q227" s="159"/>
      <c r="R227" s="160"/>
      <c r="S227" s="115"/>
      <c r="T227" s="149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</row>
    <row r="228" spans="1:36" ht="19.5" customHeight="1" x14ac:dyDescent="0.3">
      <c r="A228" s="94"/>
      <c r="B228" s="167"/>
      <c r="C228" s="168"/>
      <c r="D228" s="180"/>
      <c r="E228" s="169"/>
      <c r="F228" s="110"/>
      <c r="G228" s="157"/>
      <c r="H228" s="157"/>
      <c r="I228" s="145"/>
      <c r="J228" s="112"/>
      <c r="K228" s="156"/>
      <c r="L228" s="156"/>
      <c r="M228" s="156"/>
      <c r="N228" s="158"/>
      <c r="O228" s="159"/>
      <c r="P228" s="159"/>
      <c r="Q228" s="159"/>
      <c r="R228" s="160"/>
      <c r="S228" s="115"/>
      <c r="T228" s="149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</row>
    <row r="229" spans="1:36" ht="19.5" customHeight="1" x14ac:dyDescent="0.3">
      <c r="A229" s="94"/>
      <c r="B229" s="167"/>
      <c r="C229" s="168"/>
      <c r="D229" s="180"/>
      <c r="E229" s="169"/>
      <c r="F229" s="110"/>
      <c r="G229" s="157"/>
      <c r="H229" s="157"/>
      <c r="I229" s="145"/>
      <c r="J229" s="112"/>
      <c r="K229" s="156"/>
      <c r="L229" s="156"/>
      <c r="M229" s="156"/>
      <c r="N229" s="158"/>
      <c r="O229" s="159"/>
      <c r="P229" s="159"/>
      <c r="Q229" s="159"/>
      <c r="R229" s="160"/>
      <c r="S229" s="115"/>
      <c r="T229" s="149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</row>
    <row r="230" spans="1:36" ht="19.5" customHeight="1" x14ac:dyDescent="0.3">
      <c r="A230" s="94"/>
      <c r="B230" s="167"/>
      <c r="C230" s="168"/>
      <c r="D230" s="180"/>
      <c r="E230" s="169"/>
      <c r="F230" s="110"/>
      <c r="G230" s="192"/>
      <c r="H230" s="157"/>
      <c r="I230" s="145"/>
      <c r="J230" s="112"/>
      <c r="K230" s="156"/>
      <c r="L230" s="156"/>
      <c r="M230" s="156"/>
      <c r="N230" s="158"/>
      <c r="O230" s="159"/>
      <c r="P230" s="159"/>
      <c r="Q230" s="159"/>
      <c r="R230" s="160"/>
      <c r="S230" s="115"/>
      <c r="T230" s="149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</row>
    <row r="231" spans="1:36" ht="19.5" customHeight="1" x14ac:dyDescent="0.3">
      <c r="A231" s="94"/>
      <c r="B231" s="167"/>
      <c r="C231" s="168"/>
      <c r="D231" s="180"/>
      <c r="E231" s="169"/>
      <c r="F231" s="110"/>
      <c r="G231" s="157"/>
      <c r="H231" s="157"/>
      <c r="I231" s="145"/>
      <c r="J231" s="112"/>
      <c r="K231" s="156"/>
      <c r="L231" s="156"/>
      <c r="M231" s="156"/>
      <c r="N231" s="158"/>
      <c r="O231" s="159"/>
      <c r="P231" s="159"/>
      <c r="Q231" s="159"/>
      <c r="R231" s="160"/>
      <c r="S231" s="115"/>
      <c r="T231" s="149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</row>
    <row r="232" spans="1:36" ht="19.5" customHeight="1" x14ac:dyDescent="0.3">
      <c r="A232" s="94"/>
      <c r="B232" s="167"/>
      <c r="C232" s="168"/>
      <c r="D232" s="180"/>
      <c r="E232" s="169"/>
      <c r="F232" s="110"/>
      <c r="G232" s="192"/>
      <c r="H232" s="157"/>
      <c r="I232" s="145"/>
      <c r="J232" s="112"/>
      <c r="K232" s="156"/>
      <c r="L232" s="156"/>
      <c r="M232" s="156"/>
      <c r="N232" s="158"/>
      <c r="O232" s="159"/>
      <c r="P232" s="159"/>
      <c r="Q232" s="159"/>
      <c r="R232" s="160"/>
      <c r="S232" s="115"/>
      <c r="T232" s="149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</row>
    <row r="233" spans="1:36" ht="19.5" customHeight="1" x14ac:dyDescent="0.3">
      <c r="A233" s="94"/>
      <c r="B233" s="167"/>
      <c r="C233" s="168"/>
      <c r="D233" s="180"/>
      <c r="E233" s="169"/>
      <c r="F233" s="110"/>
      <c r="G233" s="157"/>
      <c r="H233" s="157"/>
      <c r="I233" s="145"/>
      <c r="J233" s="112"/>
      <c r="K233" s="156"/>
      <c r="L233" s="156"/>
      <c r="M233" s="156"/>
      <c r="N233" s="158"/>
      <c r="O233" s="159"/>
      <c r="P233" s="159"/>
      <c r="Q233" s="159"/>
      <c r="R233" s="160"/>
      <c r="S233" s="115"/>
      <c r="T233" s="149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</row>
    <row r="234" spans="1:36" ht="19.5" customHeight="1" x14ac:dyDescent="0.3">
      <c r="A234" s="94"/>
      <c r="B234" s="167"/>
      <c r="C234" s="168"/>
      <c r="D234" s="180"/>
      <c r="E234" s="169"/>
      <c r="F234" s="110"/>
      <c r="G234" s="192"/>
      <c r="H234" s="157"/>
      <c r="I234" s="145"/>
      <c r="J234" s="112"/>
      <c r="K234" s="156"/>
      <c r="L234" s="156"/>
      <c r="M234" s="156"/>
      <c r="N234" s="158"/>
      <c r="O234" s="159"/>
      <c r="P234" s="159"/>
      <c r="Q234" s="159"/>
      <c r="R234" s="160"/>
      <c r="S234" s="115"/>
      <c r="T234" s="149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</row>
    <row r="235" spans="1:36" ht="19.5" customHeight="1" x14ac:dyDescent="0.3">
      <c r="A235" s="94"/>
      <c r="B235" s="167"/>
      <c r="C235" s="168"/>
      <c r="D235" s="180"/>
      <c r="E235" s="169"/>
      <c r="F235" s="110"/>
      <c r="G235" s="157"/>
      <c r="H235" s="157"/>
      <c r="I235" s="145"/>
      <c r="J235" s="112"/>
      <c r="K235" s="156"/>
      <c r="L235" s="156"/>
      <c r="M235" s="156"/>
      <c r="N235" s="158"/>
      <c r="O235" s="159"/>
      <c r="P235" s="159"/>
      <c r="Q235" s="159"/>
      <c r="R235" s="160"/>
      <c r="S235" s="115"/>
      <c r="T235" s="149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</row>
    <row r="236" spans="1:36" ht="19.5" customHeight="1" x14ac:dyDescent="0.3">
      <c r="A236" s="94"/>
      <c r="B236" s="167"/>
      <c r="C236" s="168"/>
      <c r="D236" s="180"/>
      <c r="E236" s="169"/>
      <c r="F236" s="110"/>
      <c r="G236" s="157"/>
      <c r="H236" s="157"/>
      <c r="I236" s="145"/>
      <c r="J236" s="112"/>
      <c r="K236" s="156"/>
      <c r="L236" s="156"/>
      <c r="M236" s="156"/>
      <c r="N236" s="158"/>
      <c r="O236" s="159"/>
      <c r="P236" s="159"/>
      <c r="Q236" s="159"/>
      <c r="R236" s="160"/>
      <c r="S236" s="115"/>
      <c r="T236" s="149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</row>
    <row r="237" spans="1:36" ht="19.5" customHeight="1" x14ac:dyDescent="0.3">
      <c r="A237" s="94"/>
      <c r="B237" s="167"/>
      <c r="C237" s="168"/>
      <c r="D237" s="180"/>
      <c r="E237" s="169"/>
      <c r="F237" s="110"/>
      <c r="G237" s="157"/>
      <c r="H237" s="157"/>
      <c r="I237" s="145"/>
      <c r="J237" s="112"/>
      <c r="K237" s="156"/>
      <c r="L237" s="156"/>
      <c r="M237" s="156"/>
      <c r="N237" s="158"/>
      <c r="O237" s="159"/>
      <c r="P237" s="159"/>
      <c r="Q237" s="159"/>
      <c r="R237" s="160"/>
      <c r="S237" s="115"/>
      <c r="T237" s="149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</row>
    <row r="238" spans="1:36" ht="19.5" customHeight="1" x14ac:dyDescent="0.3">
      <c r="A238" s="94"/>
      <c r="B238" s="167"/>
      <c r="C238" s="168"/>
      <c r="D238" s="180"/>
      <c r="E238" s="169"/>
      <c r="F238" s="110"/>
      <c r="G238" s="157"/>
      <c r="H238" s="157"/>
      <c r="I238" s="145"/>
      <c r="J238" s="112"/>
      <c r="K238" s="156"/>
      <c r="L238" s="156"/>
      <c r="M238" s="156"/>
      <c r="N238" s="158"/>
      <c r="O238" s="159"/>
      <c r="P238" s="159"/>
      <c r="Q238" s="159"/>
      <c r="R238" s="160"/>
      <c r="S238" s="115"/>
      <c r="T238" s="149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</row>
    <row r="239" spans="1:36" ht="19.5" customHeight="1" x14ac:dyDescent="0.3">
      <c r="A239" s="94"/>
      <c r="B239" s="167"/>
      <c r="C239" s="168"/>
      <c r="D239" s="180"/>
      <c r="E239" s="169"/>
      <c r="F239" s="110"/>
      <c r="G239" s="157"/>
      <c r="H239" s="157"/>
      <c r="I239" s="145"/>
      <c r="J239" s="112"/>
      <c r="K239" s="156"/>
      <c r="L239" s="156"/>
      <c r="M239" s="156"/>
      <c r="N239" s="158"/>
      <c r="O239" s="159"/>
      <c r="P239" s="159"/>
      <c r="Q239" s="159"/>
      <c r="R239" s="160"/>
      <c r="S239" s="115"/>
      <c r="T239" s="149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</row>
    <row r="240" spans="1:36" ht="19.5" customHeight="1" x14ac:dyDescent="0.3">
      <c r="A240" s="94"/>
      <c r="B240" s="167"/>
      <c r="C240" s="168"/>
      <c r="D240" s="180"/>
      <c r="E240" s="169"/>
      <c r="F240" s="110"/>
      <c r="G240" s="157"/>
      <c r="H240" s="157"/>
      <c r="I240" s="145"/>
      <c r="J240" s="112"/>
      <c r="K240" s="156"/>
      <c r="L240" s="156"/>
      <c r="M240" s="156"/>
      <c r="N240" s="158"/>
      <c r="O240" s="159"/>
      <c r="P240" s="159"/>
      <c r="Q240" s="159"/>
      <c r="R240" s="160"/>
      <c r="S240" s="115"/>
      <c r="T240" s="149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</row>
    <row r="241" spans="1:36" s="183" customFormat="1" ht="19.5" customHeight="1" x14ac:dyDescent="0.3">
      <c r="A241" s="94"/>
      <c r="B241" s="193"/>
      <c r="C241" s="193"/>
      <c r="D241" s="193"/>
      <c r="E241" s="194"/>
      <c r="F241" s="194"/>
      <c r="G241" s="194"/>
      <c r="H241" s="194"/>
      <c r="I241" s="195"/>
      <c r="J241" s="196"/>
      <c r="K241" s="196"/>
      <c r="L241" s="196"/>
      <c r="M241" s="196"/>
      <c r="N241" s="197"/>
      <c r="O241" s="198"/>
      <c r="P241" s="198"/>
      <c r="Q241" s="198"/>
      <c r="R241" s="199"/>
      <c r="S241" s="200"/>
      <c r="T241" s="201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</row>
    <row r="242" spans="1:36" s="142" customFormat="1" ht="19.5" customHeight="1" x14ac:dyDescent="0.3">
      <c r="A242" s="132"/>
      <c r="B242" s="133"/>
      <c r="C242" s="134"/>
      <c r="D242" s="134"/>
      <c r="E242" s="135"/>
      <c r="F242" s="135"/>
      <c r="G242" s="135"/>
      <c r="H242" s="135"/>
      <c r="I242" s="136"/>
      <c r="J242" s="137"/>
      <c r="K242" s="134"/>
      <c r="L242" s="134"/>
      <c r="M242" s="134"/>
      <c r="N242" s="153"/>
      <c r="O242" s="154"/>
      <c r="P242" s="154"/>
      <c r="Q242" s="154"/>
      <c r="R242" s="155"/>
      <c r="S242" s="141"/>
      <c r="T242" s="149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</row>
    <row r="243" spans="1:36" ht="19.5" customHeight="1" x14ac:dyDescent="0.3">
      <c r="A243" s="70"/>
      <c r="B243" s="164"/>
      <c r="C243" s="165"/>
      <c r="D243" s="156"/>
      <c r="E243" s="165"/>
      <c r="F243" s="110"/>
      <c r="G243" s="110"/>
      <c r="H243" s="157"/>
      <c r="I243" s="145"/>
      <c r="J243" s="121"/>
      <c r="K243" s="156"/>
      <c r="L243" s="156"/>
      <c r="M243" s="156"/>
      <c r="N243" s="158"/>
      <c r="O243" s="159"/>
      <c r="P243" s="159"/>
      <c r="Q243" s="159"/>
      <c r="R243" s="160"/>
      <c r="S243" s="77"/>
      <c r="T243" s="149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spans="1:36" ht="19.5" customHeight="1" x14ac:dyDescent="0.3">
      <c r="A244" s="70"/>
      <c r="B244" s="164"/>
      <c r="C244" s="165"/>
      <c r="D244" s="156"/>
      <c r="E244" s="165"/>
      <c r="F244" s="110"/>
      <c r="G244" s="110"/>
      <c r="H244" s="157"/>
      <c r="I244" s="145"/>
      <c r="J244" s="121"/>
      <c r="K244" s="156"/>
      <c r="L244" s="156"/>
      <c r="M244" s="156"/>
      <c r="N244" s="158"/>
      <c r="O244" s="159"/>
      <c r="P244" s="159"/>
      <c r="Q244" s="159"/>
      <c r="R244" s="160"/>
      <c r="S244" s="77"/>
      <c r="T244" s="149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spans="1:36" ht="32.25" customHeight="1" x14ac:dyDescent="0.3">
      <c r="A245" s="70"/>
      <c r="B245" s="164"/>
      <c r="C245" s="165"/>
      <c r="D245" s="156"/>
      <c r="E245" s="165"/>
      <c r="F245" s="110"/>
      <c r="G245" s="110"/>
      <c r="H245" s="157"/>
      <c r="I245" s="145"/>
      <c r="J245" s="121"/>
      <c r="K245" s="156"/>
      <c r="L245" s="156"/>
      <c r="M245" s="156"/>
      <c r="N245" s="158"/>
      <c r="O245" s="159"/>
      <c r="P245" s="159"/>
      <c r="Q245" s="159"/>
      <c r="R245" s="160"/>
      <c r="S245" s="77"/>
      <c r="T245" s="149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spans="1:36" ht="19.5" customHeight="1" x14ac:dyDescent="0.3">
      <c r="A246" s="70"/>
      <c r="B246" s="164"/>
      <c r="C246" s="165"/>
      <c r="D246" s="156"/>
      <c r="E246" s="165"/>
      <c r="F246" s="110"/>
      <c r="G246" s="110"/>
      <c r="H246" s="157"/>
      <c r="I246" s="145"/>
      <c r="J246" s="121"/>
      <c r="K246" s="156"/>
      <c r="L246" s="156"/>
      <c r="M246" s="156"/>
      <c r="N246" s="158"/>
      <c r="O246" s="159"/>
      <c r="P246" s="159"/>
      <c r="Q246" s="159"/>
      <c r="R246" s="160"/>
      <c r="S246" s="77"/>
      <c r="T246" s="149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spans="1:36" ht="19.5" customHeight="1" x14ac:dyDescent="0.3">
      <c r="A247" s="70"/>
      <c r="B247" s="164"/>
      <c r="C247" s="165"/>
      <c r="D247" s="156"/>
      <c r="E247" s="165"/>
      <c r="F247" s="110"/>
      <c r="G247" s="110"/>
      <c r="H247" s="157"/>
      <c r="I247" s="145"/>
      <c r="J247" s="121"/>
      <c r="K247" s="156"/>
      <c r="L247" s="156"/>
      <c r="M247" s="156"/>
      <c r="N247" s="158"/>
      <c r="O247" s="159"/>
      <c r="P247" s="159"/>
      <c r="Q247" s="159"/>
      <c r="R247" s="160"/>
      <c r="S247" s="77"/>
      <c r="T247" s="149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spans="1:36" ht="19.5" customHeight="1" x14ac:dyDescent="0.3">
      <c r="A248" s="70"/>
      <c r="B248" s="164"/>
      <c r="C248" s="165"/>
      <c r="D248" s="156"/>
      <c r="E248" s="165"/>
      <c r="F248" s="110"/>
      <c r="G248" s="110"/>
      <c r="H248" s="157"/>
      <c r="I248" s="145"/>
      <c r="J248" s="121"/>
      <c r="K248" s="156"/>
      <c r="L248" s="156"/>
      <c r="M248" s="156"/>
      <c r="N248" s="158"/>
      <c r="O248" s="159"/>
      <c r="P248" s="159"/>
      <c r="Q248" s="159"/>
      <c r="R248" s="160"/>
      <c r="S248" s="77"/>
      <c r="T248" s="149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spans="1:36" ht="19.5" customHeight="1" x14ac:dyDescent="0.3">
      <c r="A249" s="70"/>
      <c r="B249" s="164"/>
      <c r="C249" s="165"/>
      <c r="D249" s="156"/>
      <c r="E249" s="165"/>
      <c r="F249" s="110"/>
      <c r="G249" s="110"/>
      <c r="H249" s="157"/>
      <c r="I249" s="145"/>
      <c r="J249" s="121"/>
      <c r="K249" s="156"/>
      <c r="L249" s="156"/>
      <c r="M249" s="156"/>
      <c r="N249" s="158"/>
      <c r="O249" s="159"/>
      <c r="P249" s="159"/>
      <c r="Q249" s="159"/>
      <c r="R249" s="160"/>
      <c r="S249" s="77"/>
      <c r="T249" s="149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spans="1:36" ht="19.5" customHeight="1" x14ac:dyDescent="0.3">
      <c r="A250" s="70"/>
      <c r="B250" s="156"/>
      <c r="C250" s="156"/>
      <c r="D250" s="156"/>
      <c r="E250" s="157"/>
      <c r="F250" s="110"/>
      <c r="G250" s="157"/>
      <c r="H250" s="157"/>
      <c r="I250" s="145"/>
      <c r="J250" s="121"/>
      <c r="K250" s="156"/>
      <c r="L250" s="156"/>
      <c r="M250" s="156"/>
      <c r="N250" s="158"/>
      <c r="O250" s="159"/>
      <c r="P250" s="159"/>
      <c r="Q250" s="159"/>
      <c r="R250" s="160"/>
      <c r="S250" s="77"/>
      <c r="T250" s="149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spans="1:36" s="142" customFormat="1" ht="19.5" customHeight="1" x14ac:dyDescent="0.3">
      <c r="A251" s="132"/>
      <c r="B251" s="133"/>
      <c r="C251" s="134"/>
      <c r="D251" s="134"/>
      <c r="E251" s="135"/>
      <c r="F251" s="135"/>
      <c r="G251" s="135"/>
      <c r="H251" s="135"/>
      <c r="I251" s="136"/>
      <c r="J251" s="137"/>
      <c r="K251" s="134"/>
      <c r="L251" s="134"/>
      <c r="M251" s="134"/>
      <c r="N251" s="153"/>
      <c r="O251" s="154"/>
      <c r="P251" s="154"/>
      <c r="Q251" s="154"/>
      <c r="R251" s="155"/>
      <c r="S251" s="141"/>
      <c r="T251" s="149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</row>
    <row r="252" spans="1:36" ht="19.5" customHeight="1" x14ac:dyDescent="0.3">
      <c r="A252" s="70"/>
      <c r="B252" s="164"/>
      <c r="C252" s="165"/>
      <c r="D252" s="156"/>
      <c r="E252" s="202"/>
      <c r="F252" s="110"/>
      <c r="G252" s="110"/>
      <c r="H252" s="157"/>
      <c r="I252" s="145"/>
      <c r="J252" s="121"/>
      <c r="K252" s="156"/>
      <c r="L252" s="156"/>
      <c r="M252" s="156"/>
      <c r="N252" s="158"/>
      <c r="O252" s="159"/>
      <c r="P252" s="159"/>
      <c r="Q252" s="159"/>
      <c r="R252" s="160"/>
      <c r="S252" s="77"/>
      <c r="T252" s="149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spans="1:36" ht="19.5" customHeight="1" x14ac:dyDescent="0.3">
      <c r="A253" s="70"/>
      <c r="B253" s="164"/>
      <c r="C253" s="165"/>
      <c r="D253" s="156"/>
      <c r="E253" s="202"/>
      <c r="F253" s="110"/>
      <c r="G253" s="110"/>
      <c r="H253" s="157"/>
      <c r="I253" s="145"/>
      <c r="J253" s="121"/>
      <c r="K253" s="156"/>
      <c r="L253" s="156"/>
      <c r="M253" s="156"/>
      <c r="N253" s="158"/>
      <c r="O253" s="159"/>
      <c r="P253" s="159"/>
      <c r="Q253" s="159"/>
      <c r="R253" s="160"/>
      <c r="S253" s="77"/>
      <c r="T253" s="149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spans="1:36" ht="19.5" customHeight="1" x14ac:dyDescent="0.3">
      <c r="A254" s="70"/>
      <c r="B254" s="164"/>
      <c r="C254" s="165"/>
      <c r="D254" s="156"/>
      <c r="E254" s="202"/>
      <c r="F254" s="110"/>
      <c r="G254" s="110"/>
      <c r="H254" s="157"/>
      <c r="I254" s="145"/>
      <c r="J254" s="121"/>
      <c r="K254" s="156"/>
      <c r="L254" s="156"/>
      <c r="M254" s="156"/>
      <c r="N254" s="158"/>
      <c r="O254" s="159"/>
      <c r="P254" s="159"/>
      <c r="Q254" s="159"/>
      <c r="R254" s="160"/>
      <c r="S254" s="77"/>
      <c r="T254" s="149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spans="1:36" ht="19.5" customHeight="1" x14ac:dyDescent="0.3">
      <c r="A255" s="70"/>
      <c r="B255" s="164"/>
      <c r="C255" s="165"/>
      <c r="D255" s="156"/>
      <c r="E255" s="202"/>
      <c r="F255" s="110"/>
      <c r="G255" s="110"/>
      <c r="H255" s="157"/>
      <c r="I255" s="145"/>
      <c r="J255" s="121"/>
      <c r="K255" s="156"/>
      <c r="L255" s="156"/>
      <c r="M255" s="156"/>
      <c r="N255" s="158"/>
      <c r="O255" s="159"/>
      <c r="P255" s="159"/>
      <c r="Q255" s="159"/>
      <c r="R255" s="160"/>
      <c r="S255" s="77"/>
      <c r="T255" s="149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spans="1:36" ht="19.5" customHeight="1" x14ac:dyDescent="0.3">
      <c r="A256" s="70"/>
      <c r="B256" s="164"/>
      <c r="C256" s="165"/>
      <c r="D256" s="156"/>
      <c r="E256" s="202"/>
      <c r="F256" s="110"/>
      <c r="G256" s="110"/>
      <c r="H256" s="157"/>
      <c r="I256" s="145"/>
      <c r="J256" s="121"/>
      <c r="K256" s="156"/>
      <c r="L256" s="156"/>
      <c r="M256" s="156"/>
      <c r="N256" s="158"/>
      <c r="O256" s="159"/>
      <c r="P256" s="159"/>
      <c r="Q256" s="159"/>
      <c r="R256" s="160"/>
      <c r="S256" s="77"/>
      <c r="T256" s="149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spans="1:36" ht="19.5" customHeight="1" x14ac:dyDescent="0.3">
      <c r="A257" s="70"/>
      <c r="B257" s="164"/>
      <c r="C257" s="165"/>
      <c r="D257" s="156"/>
      <c r="E257" s="202"/>
      <c r="F257" s="110"/>
      <c r="G257" s="110"/>
      <c r="H257" s="157"/>
      <c r="I257" s="145"/>
      <c r="J257" s="121"/>
      <c r="K257" s="156"/>
      <c r="L257" s="156"/>
      <c r="M257" s="156"/>
      <c r="N257" s="158"/>
      <c r="O257" s="159"/>
      <c r="P257" s="159"/>
      <c r="Q257" s="159"/>
      <c r="R257" s="160"/>
      <c r="S257" s="77"/>
      <c r="T257" s="149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spans="1:36" ht="19.5" customHeight="1" x14ac:dyDescent="0.3">
      <c r="A258" s="70"/>
      <c r="B258" s="164"/>
      <c r="C258" s="165"/>
      <c r="D258" s="156"/>
      <c r="E258" s="202"/>
      <c r="F258" s="110"/>
      <c r="G258" s="110"/>
      <c r="H258" s="157"/>
      <c r="I258" s="145"/>
      <c r="J258" s="121"/>
      <c r="K258" s="156"/>
      <c r="L258" s="156"/>
      <c r="M258" s="156"/>
      <c r="N258" s="158"/>
      <c r="O258" s="159"/>
      <c r="P258" s="159"/>
      <c r="Q258" s="159"/>
      <c r="R258" s="160"/>
      <c r="S258" s="77"/>
      <c r="T258" s="149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spans="1:36" ht="19.5" customHeight="1" x14ac:dyDescent="0.3">
      <c r="A259" s="70"/>
      <c r="B259" s="164"/>
      <c r="C259" s="165"/>
      <c r="D259" s="156"/>
      <c r="E259" s="202"/>
      <c r="F259" s="110"/>
      <c r="G259" s="110"/>
      <c r="H259" s="157"/>
      <c r="I259" s="145"/>
      <c r="J259" s="121"/>
      <c r="K259" s="156"/>
      <c r="L259" s="156"/>
      <c r="M259" s="156"/>
      <c r="N259" s="158"/>
      <c r="O259" s="159"/>
      <c r="P259" s="159"/>
      <c r="Q259" s="159"/>
      <c r="R259" s="160"/>
      <c r="S259" s="77"/>
      <c r="T259" s="149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spans="1:36" ht="19.5" customHeight="1" x14ac:dyDescent="0.3">
      <c r="A260" s="70"/>
      <c r="B260" s="164"/>
      <c r="C260" s="165"/>
      <c r="D260" s="156"/>
      <c r="E260" s="202"/>
      <c r="F260" s="110"/>
      <c r="G260" s="110"/>
      <c r="H260" s="157"/>
      <c r="I260" s="145"/>
      <c r="J260" s="121"/>
      <c r="K260" s="156"/>
      <c r="L260" s="156"/>
      <c r="M260" s="156"/>
      <c r="N260" s="158"/>
      <c r="O260" s="159"/>
      <c r="P260" s="159"/>
      <c r="Q260" s="159"/>
      <c r="R260" s="160"/>
      <c r="S260" s="77"/>
      <c r="T260" s="149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spans="1:36" ht="19.5" customHeight="1" x14ac:dyDescent="0.3">
      <c r="A261" s="70"/>
      <c r="B261" s="164"/>
      <c r="C261" s="165"/>
      <c r="D261" s="156"/>
      <c r="E261" s="202"/>
      <c r="F261" s="110"/>
      <c r="G261" s="110"/>
      <c r="H261" s="157"/>
      <c r="I261" s="145"/>
      <c r="J261" s="121"/>
      <c r="K261" s="156"/>
      <c r="L261" s="156"/>
      <c r="M261" s="156"/>
      <c r="N261" s="158"/>
      <c r="O261" s="159"/>
      <c r="P261" s="159"/>
      <c r="Q261" s="159"/>
      <c r="R261" s="160"/>
      <c r="S261" s="77"/>
      <c r="T261" s="149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spans="1:36" ht="19.5" customHeight="1" x14ac:dyDescent="0.3">
      <c r="A262" s="70"/>
      <c r="B262" s="164"/>
      <c r="C262" s="165"/>
      <c r="D262" s="156"/>
      <c r="E262" s="202"/>
      <c r="F262" s="110"/>
      <c r="G262" s="110"/>
      <c r="H262" s="157"/>
      <c r="I262" s="145"/>
      <c r="J262" s="121"/>
      <c r="K262" s="156"/>
      <c r="L262" s="156"/>
      <c r="M262" s="156"/>
      <c r="N262" s="158"/>
      <c r="O262" s="159"/>
      <c r="P262" s="159"/>
      <c r="Q262" s="159"/>
      <c r="R262" s="160"/>
      <c r="S262" s="77"/>
      <c r="T262" s="149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spans="1:36" ht="19.5" customHeight="1" x14ac:dyDescent="0.3">
      <c r="A263" s="70"/>
      <c r="B263" s="164"/>
      <c r="C263" s="165"/>
      <c r="D263" s="156"/>
      <c r="E263" s="202"/>
      <c r="F263" s="110"/>
      <c r="G263" s="110"/>
      <c r="H263" s="157"/>
      <c r="I263" s="145"/>
      <c r="J263" s="121"/>
      <c r="K263" s="156"/>
      <c r="L263" s="156"/>
      <c r="M263" s="156"/>
      <c r="N263" s="158"/>
      <c r="O263" s="159"/>
      <c r="P263" s="159"/>
      <c r="Q263" s="159"/>
      <c r="R263" s="160"/>
      <c r="S263" s="77"/>
      <c r="T263" s="149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spans="1:36" ht="19.5" customHeight="1" x14ac:dyDescent="0.3">
      <c r="A264" s="70"/>
      <c r="B264" s="164"/>
      <c r="C264" s="165"/>
      <c r="D264" s="156"/>
      <c r="E264" s="202"/>
      <c r="F264" s="110"/>
      <c r="G264" s="110"/>
      <c r="H264" s="157"/>
      <c r="I264" s="145"/>
      <c r="J264" s="121"/>
      <c r="K264" s="156"/>
      <c r="L264" s="156"/>
      <c r="M264" s="156"/>
      <c r="N264" s="158"/>
      <c r="O264" s="159"/>
      <c r="P264" s="159"/>
      <c r="Q264" s="159"/>
      <c r="R264" s="160"/>
      <c r="S264" s="77"/>
      <c r="T264" s="149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spans="1:36" ht="19.5" customHeight="1" x14ac:dyDescent="0.3">
      <c r="A265" s="70"/>
      <c r="B265" s="164"/>
      <c r="C265" s="165"/>
      <c r="D265" s="156"/>
      <c r="E265" s="202"/>
      <c r="F265" s="110"/>
      <c r="G265" s="110"/>
      <c r="H265" s="157"/>
      <c r="I265" s="145"/>
      <c r="J265" s="121"/>
      <c r="K265" s="156"/>
      <c r="L265" s="156"/>
      <c r="M265" s="156"/>
      <c r="N265" s="158"/>
      <c r="O265" s="159"/>
      <c r="P265" s="159"/>
      <c r="Q265" s="159"/>
      <c r="R265" s="160"/>
      <c r="S265" s="77"/>
      <c r="T265" s="149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spans="1:36" ht="19.5" customHeight="1" x14ac:dyDescent="0.3">
      <c r="A266" s="70"/>
      <c r="B266" s="164"/>
      <c r="C266" s="165"/>
      <c r="D266" s="156"/>
      <c r="E266" s="202"/>
      <c r="F266" s="110"/>
      <c r="G266" s="110"/>
      <c r="H266" s="157"/>
      <c r="I266" s="145"/>
      <c r="J266" s="121"/>
      <c r="K266" s="156"/>
      <c r="L266" s="156"/>
      <c r="M266" s="156"/>
      <c r="N266" s="158"/>
      <c r="O266" s="159"/>
      <c r="P266" s="159"/>
      <c r="Q266" s="159"/>
      <c r="R266" s="160"/>
      <c r="S266" s="77"/>
      <c r="T266" s="149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spans="1:36" ht="19.5" customHeight="1" x14ac:dyDescent="0.3">
      <c r="A267" s="70"/>
      <c r="B267" s="164"/>
      <c r="C267" s="165"/>
      <c r="D267" s="156"/>
      <c r="E267" s="202"/>
      <c r="F267" s="110"/>
      <c r="G267" s="110"/>
      <c r="H267" s="157"/>
      <c r="I267" s="145"/>
      <c r="J267" s="121"/>
      <c r="K267" s="156"/>
      <c r="L267" s="156"/>
      <c r="M267" s="156"/>
      <c r="N267" s="158"/>
      <c r="O267" s="159"/>
      <c r="P267" s="159"/>
      <c r="Q267" s="159"/>
      <c r="R267" s="160"/>
      <c r="S267" s="77"/>
      <c r="T267" s="149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spans="1:36" ht="19.5" customHeight="1" x14ac:dyDescent="0.3">
      <c r="A268" s="70"/>
      <c r="B268" s="164"/>
      <c r="C268" s="165"/>
      <c r="D268" s="156"/>
      <c r="E268" s="202"/>
      <c r="F268" s="164"/>
      <c r="G268" s="110"/>
      <c r="H268" s="157"/>
      <c r="I268" s="145"/>
      <c r="J268" s="121"/>
      <c r="K268" s="156"/>
      <c r="L268" s="156"/>
      <c r="M268" s="156"/>
      <c r="N268" s="158"/>
      <c r="O268" s="159"/>
      <c r="P268" s="159"/>
      <c r="Q268" s="159"/>
      <c r="R268" s="160"/>
      <c r="S268" s="77"/>
      <c r="T268" s="149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spans="1:36" s="142" customFormat="1" ht="19.5" customHeight="1" x14ac:dyDescent="0.3">
      <c r="A269" s="132"/>
      <c r="B269" s="133"/>
      <c r="C269" s="134"/>
      <c r="D269" s="134"/>
      <c r="E269" s="135"/>
      <c r="F269" s="135"/>
      <c r="G269" s="135"/>
      <c r="H269" s="135"/>
      <c r="I269" s="136"/>
      <c r="J269" s="137"/>
      <c r="K269" s="134"/>
      <c r="L269" s="134"/>
      <c r="M269" s="134"/>
      <c r="N269" s="138"/>
      <c r="O269" s="139"/>
      <c r="P269" s="139"/>
      <c r="Q269" s="139"/>
      <c r="R269" s="140"/>
      <c r="S269" s="141"/>
      <c r="T269" s="149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</row>
    <row r="270" spans="1:36" ht="19.5" customHeight="1" x14ac:dyDescent="0.3">
      <c r="A270" s="70"/>
      <c r="B270" s="164"/>
      <c r="C270" s="165"/>
      <c r="D270" s="156"/>
      <c r="E270" s="165"/>
      <c r="F270" s="110"/>
      <c r="G270" s="110"/>
      <c r="H270" s="157"/>
      <c r="I270" s="145"/>
      <c r="J270" s="121"/>
      <c r="K270" s="156"/>
      <c r="L270" s="156"/>
      <c r="M270" s="156"/>
      <c r="N270" s="158"/>
      <c r="O270" s="159"/>
      <c r="P270" s="159"/>
      <c r="Q270" s="159"/>
      <c r="R270" s="160"/>
      <c r="S270" s="77"/>
      <c r="T270" s="149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spans="1:36" ht="19.5" customHeight="1" x14ac:dyDescent="0.3">
      <c r="A271" s="70"/>
      <c r="B271" s="164"/>
      <c r="C271" s="165"/>
      <c r="D271" s="156"/>
      <c r="E271" s="165"/>
      <c r="F271" s="110"/>
      <c r="G271" s="110"/>
      <c r="H271" s="157"/>
      <c r="I271" s="145"/>
      <c r="J271" s="121"/>
      <c r="K271" s="156"/>
      <c r="L271" s="156"/>
      <c r="M271" s="156"/>
      <c r="N271" s="158"/>
      <c r="O271" s="159"/>
      <c r="P271" s="159"/>
      <c r="Q271" s="159"/>
      <c r="R271" s="160"/>
      <c r="S271" s="77"/>
      <c r="T271" s="149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spans="1:36" ht="19.5" customHeight="1" x14ac:dyDescent="0.3">
      <c r="A272" s="70"/>
      <c r="B272" s="164"/>
      <c r="C272" s="165"/>
      <c r="D272" s="156"/>
      <c r="E272" s="165"/>
      <c r="F272" s="110"/>
      <c r="G272" s="110"/>
      <c r="H272" s="157"/>
      <c r="I272" s="145"/>
      <c r="J272" s="121"/>
      <c r="K272" s="156"/>
      <c r="L272" s="156"/>
      <c r="M272" s="156"/>
      <c r="N272" s="158"/>
      <c r="O272" s="159"/>
      <c r="P272" s="159"/>
      <c r="Q272" s="159"/>
      <c r="R272" s="160"/>
      <c r="S272" s="77"/>
      <c r="T272" s="149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pans="1:36" ht="19.5" customHeight="1" x14ac:dyDescent="0.3">
      <c r="A273" s="70"/>
      <c r="B273" s="164"/>
      <c r="C273" s="165"/>
      <c r="D273" s="156"/>
      <c r="E273" s="165"/>
      <c r="F273" s="110"/>
      <c r="G273" s="110"/>
      <c r="H273" s="157"/>
      <c r="I273" s="145"/>
      <c r="J273" s="121"/>
      <c r="K273" s="156"/>
      <c r="L273" s="156"/>
      <c r="M273" s="156"/>
      <c r="N273" s="158"/>
      <c r="O273" s="159"/>
      <c r="P273" s="159"/>
      <c r="Q273" s="159"/>
      <c r="R273" s="160"/>
      <c r="S273" s="77"/>
      <c r="T273" s="149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pans="1:36" ht="19.5" customHeight="1" x14ac:dyDescent="0.3">
      <c r="A274" s="70"/>
      <c r="B274" s="164"/>
      <c r="C274" s="165"/>
      <c r="D274" s="156"/>
      <c r="E274" s="165"/>
      <c r="F274" s="110"/>
      <c r="G274" s="110"/>
      <c r="H274" s="157"/>
      <c r="I274" s="145"/>
      <c r="J274" s="121"/>
      <c r="K274" s="156"/>
      <c r="L274" s="156"/>
      <c r="M274" s="156"/>
      <c r="N274" s="158"/>
      <c r="O274" s="159"/>
      <c r="P274" s="159"/>
      <c r="Q274" s="159"/>
      <c r="R274" s="160"/>
      <c r="S274" s="77"/>
      <c r="T274" s="149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pans="1:36" ht="19.5" customHeight="1" x14ac:dyDescent="0.3">
      <c r="A275" s="70"/>
      <c r="B275" s="156"/>
      <c r="C275" s="156"/>
      <c r="D275" s="156"/>
      <c r="E275" s="157"/>
      <c r="F275" s="110"/>
      <c r="G275" s="157"/>
      <c r="H275" s="157"/>
      <c r="I275" s="145"/>
      <c r="J275" s="121"/>
      <c r="K275" s="156"/>
      <c r="L275" s="156"/>
      <c r="M275" s="156"/>
      <c r="N275" s="158"/>
      <c r="O275" s="159"/>
      <c r="P275" s="159"/>
      <c r="Q275" s="159"/>
      <c r="R275" s="160"/>
      <c r="S275" s="77"/>
      <c r="T275" s="149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pans="1:36" s="142" customFormat="1" ht="19.5" customHeight="1" x14ac:dyDescent="0.3">
      <c r="A276" s="132"/>
      <c r="B276" s="133"/>
      <c r="C276" s="134"/>
      <c r="D276" s="134"/>
      <c r="E276" s="135"/>
      <c r="F276" s="135"/>
      <c r="G276" s="135"/>
      <c r="H276" s="135"/>
      <c r="I276" s="136"/>
      <c r="J276" s="137"/>
      <c r="K276" s="134"/>
      <c r="L276" s="134"/>
      <c r="M276" s="134"/>
      <c r="N276" s="138"/>
      <c r="O276" s="139"/>
      <c r="P276" s="139"/>
      <c r="Q276" s="139"/>
      <c r="R276" s="140"/>
      <c r="S276" s="141"/>
      <c r="T276" s="149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</row>
    <row r="277" spans="1:36" ht="19.5" customHeight="1" x14ac:dyDescent="0.3">
      <c r="A277" s="70"/>
      <c r="B277" s="164"/>
      <c r="C277" s="165"/>
      <c r="D277" s="156"/>
      <c r="E277" s="165"/>
      <c r="F277" s="110"/>
      <c r="G277" s="110"/>
      <c r="H277" s="157"/>
      <c r="I277" s="145"/>
      <c r="J277" s="121"/>
      <c r="K277" s="156"/>
      <c r="L277" s="156"/>
      <c r="M277" s="156"/>
      <c r="N277" s="158"/>
      <c r="O277" s="159"/>
      <c r="P277" s="159"/>
      <c r="Q277" s="159"/>
      <c r="R277" s="160"/>
      <c r="S277" s="77"/>
      <c r="T277" s="149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pans="1:36" ht="19.5" customHeight="1" x14ac:dyDescent="0.3">
      <c r="A278" s="70"/>
      <c r="B278" s="164"/>
      <c r="C278" s="165"/>
      <c r="D278" s="156"/>
      <c r="E278" s="165"/>
      <c r="F278" s="110"/>
      <c r="G278" s="110"/>
      <c r="H278" s="157"/>
      <c r="I278" s="145"/>
      <c r="J278" s="121"/>
      <c r="K278" s="156"/>
      <c r="L278" s="156"/>
      <c r="M278" s="156"/>
      <c r="N278" s="158"/>
      <c r="O278" s="159"/>
      <c r="P278" s="159"/>
      <c r="Q278" s="159"/>
      <c r="R278" s="160"/>
      <c r="S278" s="77"/>
      <c r="T278" s="149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pans="1:36" ht="19.5" customHeight="1" x14ac:dyDescent="0.3">
      <c r="A279" s="70"/>
      <c r="B279" s="164"/>
      <c r="C279" s="165"/>
      <c r="D279" s="156"/>
      <c r="E279" s="165"/>
      <c r="F279" s="110"/>
      <c r="G279" s="110"/>
      <c r="H279" s="157"/>
      <c r="I279" s="145"/>
      <c r="J279" s="121"/>
      <c r="K279" s="156"/>
      <c r="L279" s="156"/>
      <c r="M279" s="156"/>
      <c r="N279" s="158"/>
      <c r="O279" s="159"/>
      <c r="P279" s="159"/>
      <c r="Q279" s="159"/>
      <c r="R279" s="160"/>
      <c r="S279" s="77"/>
      <c r="T279" s="149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spans="1:36" ht="19.5" customHeight="1" x14ac:dyDescent="0.3">
      <c r="A280" s="70"/>
      <c r="B280" s="164"/>
      <c r="C280" s="165"/>
      <c r="D280" s="156"/>
      <c r="E280" s="165"/>
      <c r="F280" s="110"/>
      <c r="G280" s="110"/>
      <c r="H280" s="157"/>
      <c r="I280" s="145"/>
      <c r="J280" s="121"/>
      <c r="K280" s="156"/>
      <c r="L280" s="156"/>
      <c r="M280" s="156"/>
      <c r="N280" s="158"/>
      <c r="O280" s="159"/>
      <c r="P280" s="159"/>
      <c r="Q280" s="159"/>
      <c r="R280" s="160"/>
      <c r="S280" s="77"/>
      <c r="T280" s="149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spans="1:36" ht="19.5" customHeight="1" x14ac:dyDescent="0.3">
      <c r="A281" s="70"/>
      <c r="B281" s="164"/>
      <c r="C281" s="165"/>
      <c r="D281" s="156"/>
      <c r="E281" s="165"/>
      <c r="F281" s="110"/>
      <c r="G281" s="110"/>
      <c r="H281" s="157"/>
      <c r="I281" s="145"/>
      <c r="J281" s="121"/>
      <c r="K281" s="156"/>
      <c r="L281" s="156"/>
      <c r="M281" s="156"/>
      <c r="N281" s="158"/>
      <c r="O281" s="159"/>
      <c r="P281" s="159"/>
      <c r="Q281" s="159"/>
      <c r="R281" s="160"/>
      <c r="S281" s="77"/>
      <c r="T281" s="149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spans="1:36" ht="19.5" customHeight="1" x14ac:dyDescent="0.3">
      <c r="A282" s="70"/>
      <c r="B282" s="164"/>
      <c r="C282" s="165"/>
      <c r="D282" s="156"/>
      <c r="E282" s="165"/>
      <c r="F282" s="110"/>
      <c r="G282" s="110"/>
      <c r="H282" s="157"/>
      <c r="I282" s="145"/>
      <c r="J282" s="121"/>
      <c r="K282" s="156"/>
      <c r="L282" s="156"/>
      <c r="M282" s="156"/>
      <c r="N282" s="158"/>
      <c r="O282" s="159"/>
      <c r="P282" s="159"/>
      <c r="Q282" s="159"/>
      <c r="R282" s="160"/>
      <c r="S282" s="77"/>
      <c r="T282" s="149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spans="1:36" ht="19.5" customHeight="1" x14ac:dyDescent="0.3">
      <c r="A283" s="70"/>
      <c r="B283" s="164"/>
      <c r="C283" s="165"/>
      <c r="D283" s="156"/>
      <c r="E283" s="165"/>
      <c r="F283" s="110"/>
      <c r="G283" s="110"/>
      <c r="H283" s="157"/>
      <c r="I283" s="145"/>
      <c r="J283" s="121"/>
      <c r="K283" s="156"/>
      <c r="L283" s="156"/>
      <c r="M283" s="156"/>
      <c r="N283" s="158"/>
      <c r="O283" s="159"/>
      <c r="P283" s="159"/>
      <c r="Q283" s="159"/>
      <c r="R283" s="160"/>
      <c r="S283" s="77"/>
      <c r="T283" s="149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spans="1:36" ht="19.5" customHeight="1" x14ac:dyDescent="0.3">
      <c r="A284" s="70"/>
      <c r="B284" s="164"/>
      <c r="C284" s="165"/>
      <c r="D284" s="156"/>
      <c r="E284" s="165"/>
      <c r="F284" s="110"/>
      <c r="G284" s="110"/>
      <c r="H284" s="157"/>
      <c r="I284" s="145"/>
      <c r="J284" s="121"/>
      <c r="K284" s="156"/>
      <c r="L284" s="156"/>
      <c r="M284" s="156"/>
      <c r="N284" s="158"/>
      <c r="O284" s="159"/>
      <c r="P284" s="159"/>
      <c r="Q284" s="159"/>
      <c r="R284" s="160"/>
      <c r="S284" s="77"/>
      <c r="T284" s="149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spans="1:36" ht="19.5" customHeight="1" x14ac:dyDescent="0.3">
      <c r="A285" s="70"/>
      <c r="B285" s="166"/>
      <c r="C285" s="203"/>
      <c r="D285" s="156"/>
      <c r="E285" s="203"/>
      <c r="F285" s="110"/>
      <c r="G285" s="110"/>
      <c r="H285" s="157"/>
      <c r="I285" s="145"/>
      <c r="J285" s="121"/>
      <c r="K285" s="156"/>
      <c r="L285" s="156"/>
      <c r="M285" s="156"/>
      <c r="N285" s="158"/>
      <c r="O285" s="159"/>
      <c r="P285" s="159"/>
      <c r="Q285" s="159"/>
      <c r="R285" s="160"/>
      <c r="S285" s="77"/>
      <c r="T285" s="149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spans="1:36" s="142" customFormat="1" ht="19.5" customHeight="1" x14ac:dyDescent="0.3">
      <c r="A286" s="132"/>
      <c r="B286" s="133"/>
      <c r="C286" s="133"/>
      <c r="D286" s="134"/>
      <c r="E286" s="135"/>
      <c r="F286" s="135"/>
      <c r="G286" s="135"/>
      <c r="H286" s="135"/>
      <c r="I286" s="136"/>
      <c r="J286" s="137"/>
      <c r="K286" s="134"/>
      <c r="L286" s="134"/>
      <c r="M286" s="134"/>
      <c r="N286" s="138"/>
      <c r="O286" s="139"/>
      <c r="P286" s="139"/>
      <c r="Q286" s="139"/>
      <c r="R286" s="140"/>
      <c r="S286" s="141"/>
      <c r="T286" s="149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</row>
    <row r="287" spans="1:36" ht="19.5" customHeight="1" x14ac:dyDescent="0.3">
      <c r="A287" s="70"/>
      <c r="B287" s="178"/>
      <c r="C287" s="179"/>
      <c r="D287" s="156"/>
      <c r="E287" s="179"/>
      <c r="F287" s="110"/>
      <c r="G287" s="110"/>
      <c r="H287" s="157"/>
      <c r="I287" s="145"/>
      <c r="J287" s="121"/>
      <c r="K287" s="156"/>
      <c r="L287" s="156"/>
      <c r="M287" s="156"/>
      <c r="N287" s="158"/>
      <c r="O287" s="159"/>
      <c r="P287" s="159"/>
      <c r="Q287" s="159"/>
      <c r="R287" s="160"/>
      <c r="S287" s="77"/>
      <c r="T287" s="149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  <row r="288" spans="1:36" ht="19.5" customHeight="1" x14ac:dyDescent="0.3">
      <c r="A288" s="70"/>
      <c r="B288" s="178"/>
      <c r="C288" s="179"/>
      <c r="D288" s="156"/>
      <c r="E288" s="179"/>
      <c r="F288" s="110"/>
      <c r="G288" s="110"/>
      <c r="H288" s="157"/>
      <c r="I288" s="145"/>
      <c r="J288" s="121"/>
      <c r="K288" s="156"/>
      <c r="L288" s="156"/>
      <c r="M288" s="156"/>
      <c r="N288" s="158"/>
      <c r="O288" s="159"/>
      <c r="P288" s="159"/>
      <c r="Q288" s="159"/>
      <c r="R288" s="160"/>
      <c r="S288" s="77"/>
      <c r="T288" s="149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spans="1:36" ht="19.5" customHeight="1" x14ac:dyDescent="0.3">
      <c r="A289" s="70"/>
      <c r="B289" s="178"/>
      <c r="C289" s="179"/>
      <c r="D289" s="156"/>
      <c r="E289" s="179"/>
      <c r="F289" s="110"/>
      <c r="G289" s="110"/>
      <c r="H289" s="157"/>
      <c r="I289" s="145"/>
      <c r="J289" s="121"/>
      <c r="K289" s="156"/>
      <c r="L289" s="156"/>
      <c r="M289" s="156"/>
      <c r="N289" s="158"/>
      <c r="O289" s="159"/>
      <c r="P289" s="159"/>
      <c r="Q289" s="159"/>
      <c r="R289" s="160"/>
      <c r="S289" s="77"/>
      <c r="T289" s="149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spans="1:36" ht="19.5" customHeight="1" x14ac:dyDescent="0.3">
      <c r="A290" s="70"/>
      <c r="B290" s="178"/>
      <c r="C290" s="179"/>
      <c r="D290" s="156"/>
      <c r="E290" s="179"/>
      <c r="F290" s="110"/>
      <c r="G290" s="110"/>
      <c r="H290" s="157"/>
      <c r="I290" s="145"/>
      <c r="J290" s="121"/>
      <c r="K290" s="156"/>
      <c r="L290" s="156"/>
      <c r="M290" s="156"/>
      <c r="N290" s="158"/>
      <c r="O290" s="159"/>
      <c r="P290" s="159"/>
      <c r="Q290" s="159"/>
      <c r="R290" s="160"/>
      <c r="S290" s="77"/>
      <c r="T290" s="149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spans="1:36" ht="19.5" customHeight="1" x14ac:dyDescent="0.3">
      <c r="A291" s="70"/>
      <c r="B291" s="178"/>
      <c r="C291" s="179"/>
      <c r="D291" s="156"/>
      <c r="E291" s="179"/>
      <c r="F291" s="110"/>
      <c r="G291" s="110"/>
      <c r="H291" s="157"/>
      <c r="I291" s="145"/>
      <c r="J291" s="121"/>
      <c r="K291" s="156"/>
      <c r="L291" s="156"/>
      <c r="M291" s="156"/>
      <c r="N291" s="158"/>
      <c r="O291" s="159"/>
      <c r="P291" s="159"/>
      <c r="Q291" s="159"/>
      <c r="R291" s="160"/>
      <c r="S291" s="77"/>
      <c r="T291" s="149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spans="1:36" ht="19.5" customHeight="1" x14ac:dyDescent="0.3">
      <c r="A292" s="70"/>
      <c r="B292" s="178"/>
      <c r="C292" s="179"/>
      <c r="D292" s="156"/>
      <c r="E292" s="179"/>
      <c r="F292" s="110"/>
      <c r="G292" s="110"/>
      <c r="H292" s="157"/>
      <c r="I292" s="145"/>
      <c r="J292" s="121"/>
      <c r="K292" s="156"/>
      <c r="L292" s="156"/>
      <c r="M292" s="156"/>
      <c r="N292" s="158"/>
      <c r="O292" s="159"/>
      <c r="P292" s="159"/>
      <c r="Q292" s="159"/>
      <c r="R292" s="160"/>
      <c r="S292" s="77"/>
      <c r="T292" s="149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spans="1:36" ht="19.5" customHeight="1" x14ac:dyDescent="0.3">
      <c r="A293" s="70"/>
      <c r="B293" s="178"/>
      <c r="C293" s="179"/>
      <c r="D293" s="156"/>
      <c r="E293" s="179"/>
      <c r="F293" s="110"/>
      <c r="G293" s="110"/>
      <c r="H293" s="157"/>
      <c r="I293" s="145"/>
      <c r="J293" s="121"/>
      <c r="K293" s="156"/>
      <c r="L293" s="156"/>
      <c r="M293" s="156"/>
      <c r="N293" s="158"/>
      <c r="O293" s="159"/>
      <c r="P293" s="159"/>
      <c r="Q293" s="159"/>
      <c r="R293" s="160"/>
      <c r="S293" s="77"/>
      <c r="T293" s="149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spans="1:36" ht="19.5" customHeight="1" x14ac:dyDescent="0.3">
      <c r="A294" s="70"/>
      <c r="B294" s="178"/>
      <c r="C294" s="179"/>
      <c r="D294" s="156"/>
      <c r="E294" s="179"/>
      <c r="F294" s="110"/>
      <c r="G294" s="110"/>
      <c r="H294" s="157"/>
      <c r="I294" s="145"/>
      <c r="J294" s="121"/>
      <c r="K294" s="156"/>
      <c r="L294" s="156"/>
      <c r="M294" s="156"/>
      <c r="N294" s="158"/>
      <c r="O294" s="159"/>
      <c r="P294" s="159"/>
      <c r="Q294" s="159"/>
      <c r="R294" s="160"/>
      <c r="S294" s="77"/>
      <c r="T294" s="149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spans="1:36" ht="19.5" customHeight="1" x14ac:dyDescent="0.3">
      <c r="A295" s="70"/>
      <c r="B295" s="178"/>
      <c r="C295" s="179"/>
      <c r="D295" s="156"/>
      <c r="E295" s="179"/>
      <c r="F295" s="110"/>
      <c r="G295" s="110"/>
      <c r="H295" s="157"/>
      <c r="I295" s="145"/>
      <c r="J295" s="121"/>
      <c r="K295" s="156"/>
      <c r="L295" s="156"/>
      <c r="M295" s="156"/>
      <c r="N295" s="158"/>
      <c r="O295" s="159"/>
      <c r="P295" s="159"/>
      <c r="Q295" s="159"/>
      <c r="R295" s="160"/>
      <c r="S295" s="77"/>
      <c r="T295" s="149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spans="1:36" ht="19.5" customHeight="1" x14ac:dyDescent="0.3">
      <c r="A296" s="70"/>
      <c r="B296" s="178"/>
      <c r="C296" s="179"/>
      <c r="D296" s="156"/>
      <c r="E296" s="179"/>
      <c r="F296" s="110"/>
      <c r="G296" s="110"/>
      <c r="H296" s="157"/>
      <c r="I296" s="145"/>
      <c r="J296" s="121"/>
      <c r="K296" s="156"/>
      <c r="L296" s="156"/>
      <c r="M296" s="156"/>
      <c r="N296" s="158"/>
      <c r="O296" s="159"/>
      <c r="P296" s="159"/>
      <c r="Q296" s="159"/>
      <c r="R296" s="160"/>
      <c r="S296" s="77"/>
      <c r="T296" s="149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spans="1:36" ht="19.5" customHeight="1" x14ac:dyDescent="0.3">
      <c r="A297" s="70"/>
      <c r="B297" s="178"/>
      <c r="C297" s="179"/>
      <c r="D297" s="156"/>
      <c r="E297" s="179"/>
      <c r="F297" s="110"/>
      <c r="G297" s="110"/>
      <c r="H297" s="157"/>
      <c r="I297" s="145"/>
      <c r="J297" s="121"/>
      <c r="K297" s="156"/>
      <c r="L297" s="156"/>
      <c r="M297" s="156"/>
      <c r="N297" s="158"/>
      <c r="O297" s="159"/>
      <c r="P297" s="159"/>
      <c r="Q297" s="159"/>
      <c r="R297" s="160"/>
      <c r="S297" s="77"/>
      <c r="T297" s="149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spans="1:36" ht="19.5" customHeight="1" x14ac:dyDescent="0.3">
      <c r="A298" s="70"/>
      <c r="B298" s="178"/>
      <c r="C298" s="179"/>
      <c r="D298" s="156"/>
      <c r="E298" s="179"/>
      <c r="F298" s="110"/>
      <c r="G298" s="110"/>
      <c r="H298" s="157"/>
      <c r="I298" s="145"/>
      <c r="J298" s="121"/>
      <c r="K298" s="156"/>
      <c r="L298" s="156"/>
      <c r="M298" s="156"/>
      <c r="N298" s="158"/>
      <c r="O298" s="159"/>
      <c r="P298" s="159"/>
      <c r="Q298" s="159"/>
      <c r="R298" s="160"/>
      <c r="S298" s="77"/>
      <c r="T298" s="149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spans="1:36" s="142" customFormat="1" ht="19.5" customHeight="1" x14ac:dyDescent="0.3">
      <c r="A299" s="132"/>
      <c r="B299" s="133"/>
      <c r="C299" s="133"/>
      <c r="D299" s="204"/>
      <c r="E299" s="205"/>
      <c r="F299" s="205"/>
      <c r="G299" s="205"/>
      <c r="H299" s="205"/>
      <c r="I299" s="136"/>
      <c r="J299" s="137"/>
      <c r="K299" s="134"/>
      <c r="L299" s="134"/>
      <c r="M299" s="134"/>
      <c r="N299" s="138"/>
      <c r="O299" s="139"/>
      <c r="P299" s="139"/>
      <c r="Q299" s="139"/>
      <c r="R299" s="140"/>
      <c r="S299" s="141"/>
      <c r="T299" s="149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</row>
    <row r="300" spans="1:36" ht="19.5" customHeight="1" x14ac:dyDescent="0.3">
      <c r="A300" s="70"/>
      <c r="B300" s="178"/>
      <c r="C300" s="179"/>
      <c r="D300" s="156"/>
      <c r="E300" s="179"/>
      <c r="F300" s="110"/>
      <c r="G300" s="110"/>
      <c r="H300" s="157"/>
      <c r="I300" s="145"/>
      <c r="J300" s="121"/>
      <c r="K300" s="156"/>
      <c r="L300" s="156"/>
      <c r="M300" s="156"/>
      <c r="N300" s="158"/>
      <c r="O300" s="159"/>
      <c r="P300" s="159"/>
      <c r="Q300" s="159"/>
      <c r="R300" s="160"/>
      <c r="S300" s="77"/>
      <c r="T300" s="149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spans="1:36" ht="19.5" customHeight="1" x14ac:dyDescent="0.3">
      <c r="A301" s="70"/>
      <c r="B301" s="178"/>
      <c r="C301" s="179"/>
      <c r="D301" s="156"/>
      <c r="E301" s="179"/>
      <c r="F301" s="110"/>
      <c r="G301" s="110"/>
      <c r="H301" s="157"/>
      <c r="I301" s="145"/>
      <c r="J301" s="121"/>
      <c r="K301" s="156"/>
      <c r="L301" s="156"/>
      <c r="M301" s="156"/>
      <c r="N301" s="158"/>
      <c r="O301" s="159"/>
      <c r="P301" s="159"/>
      <c r="Q301" s="159"/>
      <c r="R301" s="160"/>
      <c r="S301" s="77"/>
      <c r="T301" s="149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spans="1:36" ht="19.5" customHeight="1" x14ac:dyDescent="0.3">
      <c r="A302" s="70"/>
      <c r="B302" s="178"/>
      <c r="C302" s="179"/>
      <c r="D302" s="156"/>
      <c r="E302" s="179"/>
      <c r="F302" s="110"/>
      <c r="G302" s="110"/>
      <c r="H302" s="157"/>
      <c r="I302" s="145"/>
      <c r="J302" s="121"/>
      <c r="K302" s="156"/>
      <c r="L302" s="156"/>
      <c r="M302" s="156"/>
      <c r="N302" s="158"/>
      <c r="O302" s="159"/>
      <c r="P302" s="159"/>
      <c r="Q302" s="159"/>
      <c r="R302" s="160"/>
      <c r="S302" s="77"/>
      <c r="T302" s="149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spans="1:36" ht="12.75" customHeight="1" x14ac:dyDescent="0.3">
      <c r="A303" s="70"/>
      <c r="B303" s="178"/>
      <c r="C303" s="179"/>
      <c r="D303" s="156"/>
      <c r="E303" s="179"/>
      <c r="F303" s="110"/>
      <c r="G303" s="110"/>
      <c r="H303" s="157"/>
      <c r="I303" s="145"/>
      <c r="J303" s="121"/>
      <c r="K303" s="156"/>
      <c r="L303" s="156"/>
      <c r="M303" s="156"/>
      <c r="N303" s="158"/>
      <c r="O303" s="159"/>
      <c r="P303" s="159"/>
      <c r="Q303" s="159"/>
      <c r="R303" s="160"/>
      <c r="S303" s="77"/>
      <c r="T303" s="149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spans="1:36" ht="12.75" customHeight="1" x14ac:dyDescent="0.3">
      <c r="A304" s="70"/>
      <c r="B304" s="178"/>
      <c r="C304" s="179"/>
      <c r="D304" s="156"/>
      <c r="E304" s="179"/>
      <c r="F304" s="110"/>
      <c r="G304" s="110"/>
      <c r="H304" s="157"/>
      <c r="I304" s="145"/>
      <c r="J304" s="121"/>
      <c r="K304" s="156"/>
      <c r="L304" s="156"/>
      <c r="M304" s="156"/>
      <c r="N304" s="158"/>
      <c r="O304" s="159"/>
      <c r="P304" s="159"/>
      <c r="Q304" s="159"/>
      <c r="R304" s="160"/>
      <c r="S304" s="77"/>
      <c r="T304" s="149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spans="2:20" ht="15" customHeight="1" x14ac:dyDescent="0.3">
      <c r="B305" s="178"/>
      <c r="C305" s="179"/>
      <c r="D305" s="206"/>
      <c r="E305" s="179"/>
      <c r="F305" s="110"/>
      <c r="G305" s="110"/>
      <c r="H305" s="157"/>
      <c r="I305" s="145"/>
      <c r="J305" s="177"/>
      <c r="K305" s="156"/>
      <c r="L305" s="156"/>
      <c r="M305" s="156"/>
      <c r="N305" s="158"/>
      <c r="O305" s="159"/>
      <c r="P305" s="159"/>
      <c r="Q305" s="159"/>
      <c r="R305" s="160"/>
      <c r="T305" s="149"/>
    </row>
  </sheetData>
  <mergeCells count="18">
    <mergeCell ref="C4:D4"/>
    <mergeCell ref="L4:M4"/>
    <mergeCell ref="N4:O4"/>
    <mergeCell ref="C5:D5"/>
    <mergeCell ref="L5:M5"/>
    <mergeCell ref="N5:O5"/>
    <mergeCell ref="R7:R8"/>
    <mergeCell ref="B7:B8"/>
    <mergeCell ref="C7:C8"/>
    <mergeCell ref="D7:D8"/>
    <mergeCell ref="E7:E8"/>
    <mergeCell ref="K7:K8"/>
    <mergeCell ref="L7:L8"/>
    <mergeCell ref="M7:M8"/>
    <mergeCell ref="N7:N8"/>
    <mergeCell ref="O7:O8"/>
    <mergeCell ref="P7:P8"/>
    <mergeCell ref="Q7:Q8"/>
  </mergeCells>
  <conditionalFormatting sqref="J2:J3 J6:J304">
    <cfRule type="cellIs" dxfId="176" priority="1" operator="equal">
      <formula>"Disc"</formula>
    </cfRule>
  </conditionalFormatting>
  <conditionalFormatting sqref="T15:T17 T20:T28 T103:T132">
    <cfRule type="expression" dxfId="175" priority="15">
      <formula>T15:T246&gt;30%</formula>
    </cfRule>
  </conditionalFormatting>
  <conditionalFormatting sqref="T18:T19 T94:T100">
    <cfRule type="expression" dxfId="174" priority="13">
      <formula>T18:T250&gt;30%</formula>
    </cfRule>
  </conditionalFormatting>
  <conditionalFormatting sqref="T29:T35 T66:T81">
    <cfRule type="expression" dxfId="173" priority="2">
      <formula>T29:T268&gt;30%</formula>
    </cfRule>
  </conditionalFormatting>
  <conditionalFormatting sqref="T36:T42">
    <cfRule type="expression" dxfId="172" priority="17">
      <formula>T36:T274&gt;30%</formula>
    </cfRule>
  </conditionalFormatting>
  <conditionalFormatting sqref="T43:T49 T60:T63">
    <cfRule type="expression" dxfId="171" priority="18">
      <formula>T43:T285&gt;30%</formula>
    </cfRule>
  </conditionalFormatting>
  <conditionalFormatting sqref="T50:T54">
    <cfRule type="expression" dxfId="170" priority="3">
      <formula>T50:T286&gt;30%</formula>
    </cfRule>
  </conditionalFormatting>
  <conditionalFormatting sqref="T55:T58">
    <cfRule type="expression" dxfId="169" priority="14">
      <formula>T55:T299&gt;30%</formula>
    </cfRule>
  </conditionalFormatting>
  <conditionalFormatting sqref="T59">
    <cfRule type="expression" dxfId="168" priority="6">
      <formula>T59:T302&gt;30%</formula>
    </cfRule>
  </conditionalFormatting>
  <conditionalFormatting sqref="T64:T65">
    <cfRule type="expression" dxfId="167" priority="11">
      <formula>T64:T305&gt;30%</formula>
    </cfRule>
  </conditionalFormatting>
  <conditionalFormatting sqref="T82:T93 T101:T102">
    <cfRule type="expression" dxfId="166" priority="12">
      <formula>T82:T315&gt;30%</formula>
    </cfRule>
  </conditionalFormatting>
  <conditionalFormatting sqref="T133:T134 T143:T168">
    <cfRule type="expression" dxfId="165" priority="21">
      <formula>T133:T363&gt;30%</formula>
    </cfRule>
  </conditionalFormatting>
  <conditionalFormatting sqref="T135">
    <cfRule type="expression" dxfId="164" priority="5">
      <formula>T135:T369&gt;30%</formula>
    </cfRule>
  </conditionalFormatting>
  <conditionalFormatting sqref="T136:T142">
    <cfRule type="expression" dxfId="163" priority="7">
      <formula>T136:T371&gt;30%</formula>
    </cfRule>
  </conditionalFormatting>
  <conditionalFormatting sqref="T169:T189">
    <cfRule type="expression" dxfId="162" priority="22">
      <formula>T169:T398&gt;30%</formula>
    </cfRule>
  </conditionalFormatting>
  <conditionalFormatting sqref="T190">
    <cfRule type="expression" dxfId="161" priority="4">
      <formula>T190:T412&gt;30%</formula>
    </cfRule>
  </conditionalFormatting>
  <conditionalFormatting sqref="T191:T239">
    <cfRule type="expression" dxfId="160" priority="23">
      <formula>T191:T405&gt;30%</formula>
    </cfRule>
  </conditionalFormatting>
  <conditionalFormatting sqref="T240">
    <cfRule type="expression" dxfId="159" priority="9">
      <formula>T240:T455&gt;30%</formula>
    </cfRule>
  </conditionalFormatting>
  <conditionalFormatting sqref="T241:T267">
    <cfRule type="expression" dxfId="158" priority="19">
      <formula>T241:T438&gt;30%</formula>
    </cfRule>
  </conditionalFormatting>
  <conditionalFormatting sqref="T268">
    <cfRule type="expression" dxfId="157" priority="16">
      <formula>T268:T463&gt;30%</formula>
    </cfRule>
  </conditionalFormatting>
  <conditionalFormatting sqref="T269:T285">
    <cfRule type="expression" dxfId="156" priority="20">
      <formula>T269:T458&gt;30%</formula>
    </cfRule>
  </conditionalFormatting>
  <conditionalFormatting sqref="T286:T298">
    <cfRule type="expression" dxfId="155" priority="10">
      <formula>T286:T477&gt;30%</formula>
    </cfRule>
  </conditionalFormatting>
  <conditionalFormatting sqref="T299:T305">
    <cfRule type="expression" dxfId="154" priority="8">
      <formula>T299:T482&gt;30%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I229"/>
  <sheetViews>
    <sheetView zoomScale="74" zoomScaleNormal="74" workbookViewId="0">
      <pane xSplit="3" ySplit="11" topLeftCell="D12" activePane="bottomRight" state="frozen"/>
      <selection pane="topRight" activeCell="D1" sqref="D1"/>
      <selection pane="bottomLeft" activeCell="A11" sqref="A11"/>
      <selection pane="bottomRight" activeCell="D44" sqref="D44"/>
    </sheetView>
  </sheetViews>
  <sheetFormatPr defaultColWidth="8.7265625" defaultRowHeight="12.5" outlineLevelCol="1" x14ac:dyDescent="0.35"/>
  <cols>
    <col min="1" max="1" width="1.7265625" style="1" customWidth="1"/>
    <col min="2" max="2" width="12.7265625" style="1" customWidth="1"/>
    <col min="3" max="3" width="35.7265625" style="1" customWidth="1"/>
    <col min="4" max="5" width="20.7265625" style="1" customWidth="1"/>
    <col min="6" max="6" width="9" style="2" customWidth="1"/>
    <col min="7" max="7" width="19.1796875" style="3" customWidth="1" outlineLevel="1"/>
    <col min="8" max="8" width="1.54296875" style="4" customWidth="1"/>
    <col min="9" max="11" width="15.7265625" style="20" customWidth="1"/>
    <col min="12" max="12" width="1.7265625" style="1" customWidth="1"/>
    <col min="13" max="16384" width="8.7265625" style="1"/>
  </cols>
  <sheetData>
    <row r="1" spans="1:165" ht="5.15" customHeight="1" x14ac:dyDescent="0.35"/>
    <row r="2" spans="1:165" s="5" customFormat="1" ht="25.15" customHeight="1" x14ac:dyDescent="0.35">
      <c r="B2" s="6" t="s">
        <v>342</v>
      </c>
      <c r="C2" s="7"/>
      <c r="F2" s="8"/>
      <c r="G2" s="9"/>
      <c r="H2" s="10"/>
      <c r="I2" s="67"/>
      <c r="J2" s="67"/>
      <c r="K2" s="67"/>
    </row>
    <row r="3" spans="1:165" s="11" customFormat="1" ht="35.15" customHeight="1" x14ac:dyDescent="0.35">
      <c r="B3" s="12" t="s">
        <v>0</v>
      </c>
      <c r="C3" s="13"/>
      <c r="F3" s="14"/>
      <c r="G3" s="9"/>
      <c r="H3" s="15"/>
      <c r="I3" s="68"/>
      <c r="J3" s="68"/>
      <c r="K3" s="68"/>
    </row>
    <row r="4" spans="1:165" s="11" customFormat="1" ht="10.15" customHeight="1" x14ac:dyDescent="0.35">
      <c r="B4" s="12"/>
      <c r="C4" s="13"/>
      <c r="F4" s="14"/>
      <c r="G4" s="9"/>
      <c r="H4" s="15"/>
      <c r="I4" s="68"/>
      <c r="J4" s="68"/>
      <c r="K4" s="68"/>
    </row>
    <row r="5" spans="1:165" ht="30" customHeight="1" x14ac:dyDescent="0.35">
      <c r="B5" s="58" t="s">
        <v>336</v>
      </c>
      <c r="C5" s="60">
        <v>45073</v>
      </c>
      <c r="D5" s="17"/>
      <c r="E5" s="17"/>
      <c r="F5" s="59" t="s">
        <v>337</v>
      </c>
      <c r="G5" s="62" t="s">
        <v>344</v>
      </c>
      <c r="I5" s="16"/>
    </row>
    <row r="6" spans="1:165" ht="30" customHeight="1" x14ac:dyDescent="0.35">
      <c r="B6" s="58" t="s">
        <v>10</v>
      </c>
      <c r="C6" s="61">
        <v>150000000</v>
      </c>
      <c r="D6" s="17"/>
      <c r="E6" s="17"/>
      <c r="F6" s="59" t="s">
        <v>9</v>
      </c>
      <c r="G6" s="62">
        <f>C6/310000</f>
        <v>483.87096774193549</v>
      </c>
      <c r="I6" s="501" t="s">
        <v>343</v>
      </c>
      <c r="J6" s="502"/>
      <c r="K6" s="63">
        <v>1.2</v>
      </c>
    </row>
    <row r="7" spans="1:165" ht="5.15" customHeight="1" x14ac:dyDescent="0.35"/>
    <row r="8" spans="1:165" s="19" customFormat="1" ht="20.149999999999999" customHeight="1" x14ac:dyDescent="0.35">
      <c r="B8" s="506" t="s">
        <v>1</v>
      </c>
      <c r="C8" s="508" t="s">
        <v>2</v>
      </c>
      <c r="D8" s="503" t="s">
        <v>345</v>
      </c>
      <c r="E8" s="503" t="s">
        <v>338</v>
      </c>
      <c r="F8" s="503" t="s">
        <v>3</v>
      </c>
      <c r="G8" s="505" t="s">
        <v>4</v>
      </c>
      <c r="H8" s="21"/>
      <c r="I8" s="57"/>
      <c r="J8" s="57"/>
      <c r="K8" s="57"/>
    </row>
    <row r="9" spans="1:165" s="25" customFormat="1" ht="30" customHeight="1" x14ac:dyDescent="0.35">
      <c r="A9" s="22"/>
      <c r="B9" s="507"/>
      <c r="C9" s="509"/>
      <c r="D9" s="504"/>
      <c r="E9" s="504"/>
      <c r="F9" s="504"/>
      <c r="G9" s="505"/>
      <c r="H9" s="24"/>
      <c r="I9" s="23" t="s">
        <v>339</v>
      </c>
      <c r="J9" s="23" t="s">
        <v>340</v>
      </c>
      <c r="K9" s="23" t="s">
        <v>341</v>
      </c>
    </row>
    <row r="10" spans="1:165" s="19" customFormat="1" ht="5.15" customHeight="1" x14ac:dyDescent="0.35">
      <c r="B10" s="26"/>
      <c r="C10" s="27"/>
      <c r="D10" s="26"/>
      <c r="E10" s="26"/>
      <c r="F10" s="26"/>
      <c r="G10" s="28"/>
      <c r="H10" s="29"/>
      <c r="I10" s="57"/>
      <c r="J10" s="57"/>
      <c r="K10" s="57"/>
    </row>
    <row r="11" spans="1:165" s="30" customFormat="1" ht="20.149999999999999" customHeight="1" x14ac:dyDescent="0.35">
      <c r="B11" s="39" t="s">
        <v>7</v>
      </c>
      <c r="C11" s="40"/>
      <c r="D11" s="39"/>
      <c r="E11" s="39"/>
      <c r="F11" s="41"/>
      <c r="G11" s="42" t="e">
        <f>G13+G172+G225</f>
        <v>#REF!</v>
      </c>
      <c r="H11" s="31"/>
      <c r="I11" s="66">
        <v>0.37</v>
      </c>
      <c r="J11" s="66"/>
      <c r="K11" s="66">
        <v>0.63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</row>
    <row r="12" spans="1:165" s="30" customFormat="1" ht="5.15" customHeight="1" x14ac:dyDescent="0.35">
      <c r="B12" s="43"/>
      <c r="C12" s="34"/>
      <c r="D12" s="43"/>
      <c r="E12" s="43"/>
      <c r="F12" s="44"/>
      <c r="G12" s="45"/>
      <c r="H12" s="31"/>
      <c r="I12" s="32"/>
      <c r="J12" s="32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</row>
    <row r="13" spans="1:165" s="18" customFormat="1" ht="20.149999999999999" customHeight="1" x14ac:dyDescent="0.35">
      <c r="B13" s="46" t="s">
        <v>11</v>
      </c>
      <c r="C13" s="47"/>
      <c r="D13" s="47"/>
      <c r="E13" s="47"/>
      <c r="F13" s="48"/>
      <c r="G13" s="49" t="e">
        <f>#REF!</f>
        <v>#REF!</v>
      </c>
      <c r="H13" s="33"/>
      <c r="I13" s="20"/>
      <c r="J13" s="20"/>
      <c r="K13" s="20"/>
    </row>
    <row r="14" spans="1:165" s="30" customFormat="1" ht="5.15" customHeight="1" x14ac:dyDescent="0.35">
      <c r="B14" s="43"/>
      <c r="C14" s="34"/>
      <c r="D14" s="43"/>
      <c r="E14" s="43"/>
      <c r="F14" s="44"/>
      <c r="G14" s="45"/>
      <c r="H14" s="31"/>
      <c r="I14" s="32"/>
      <c r="J14" s="32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</row>
    <row r="15" spans="1:165" s="18" customFormat="1" ht="20.149999999999999" customHeight="1" x14ac:dyDescent="0.35">
      <c r="B15" s="38" t="s">
        <v>143</v>
      </c>
      <c r="C15" s="50"/>
      <c r="D15" s="50"/>
      <c r="E15" s="50"/>
      <c r="F15" s="51"/>
      <c r="G15" s="52" t="e">
        <f>#REF!</f>
        <v>#REF!</v>
      </c>
      <c r="H15" s="33"/>
      <c r="I15" s="64"/>
      <c r="J15" s="64"/>
      <c r="K15" s="64"/>
    </row>
    <row r="16" spans="1:165" ht="20.149999999999999" customHeight="1" x14ac:dyDescent="0.35">
      <c r="A16" s="1">
        <v>1</v>
      </c>
      <c r="B16" s="34" t="s">
        <v>19</v>
      </c>
      <c r="C16" s="34" t="s">
        <v>20</v>
      </c>
      <c r="D16" s="34"/>
      <c r="E16" s="34"/>
      <c r="F16" s="53" t="s">
        <v>21</v>
      </c>
      <c r="G16" s="35" t="e">
        <f>#REF!</f>
        <v>#REF!</v>
      </c>
      <c r="I16" s="65" t="e">
        <f t="shared" ref="I16:K22" si="0">ROUNDUP($G16*100/$G$6*I$11*$K$6,0)</f>
        <v>#REF!</v>
      </c>
      <c r="J16" s="65" t="e">
        <f t="shared" si="0"/>
        <v>#REF!</v>
      </c>
      <c r="K16" s="65" t="e">
        <f t="shared" si="0"/>
        <v>#REF!</v>
      </c>
    </row>
    <row r="17" spans="1:11" ht="20.149999999999999" customHeight="1" x14ac:dyDescent="0.35">
      <c r="A17" s="1">
        <f>A16+1</f>
        <v>2</v>
      </c>
      <c r="B17" s="34" t="s">
        <v>22</v>
      </c>
      <c r="C17" s="34" t="s">
        <v>23</v>
      </c>
      <c r="D17" s="54"/>
      <c r="E17" s="54"/>
      <c r="F17" s="53" t="s">
        <v>21</v>
      </c>
      <c r="G17" s="35" t="e">
        <f>#REF!</f>
        <v>#REF!</v>
      </c>
      <c r="I17" s="65" t="e">
        <f t="shared" si="0"/>
        <v>#REF!</v>
      </c>
      <c r="J17" s="65" t="e">
        <f t="shared" si="0"/>
        <v>#REF!</v>
      </c>
      <c r="K17" s="65" t="e">
        <f t="shared" si="0"/>
        <v>#REF!</v>
      </c>
    </row>
    <row r="18" spans="1:11" ht="20.149999999999999" customHeight="1" x14ac:dyDescent="0.35">
      <c r="A18" s="1">
        <f t="shared" ref="A18:A27" si="1">A17+1</f>
        <v>3</v>
      </c>
      <c r="B18" s="34" t="s">
        <v>24</v>
      </c>
      <c r="C18" s="34" t="s">
        <v>25</v>
      </c>
      <c r="D18" s="54"/>
      <c r="E18" s="54"/>
      <c r="F18" s="53" t="s">
        <v>21</v>
      </c>
      <c r="G18" s="35" t="e">
        <f>#REF!</f>
        <v>#REF!</v>
      </c>
      <c r="I18" s="65" t="e">
        <f t="shared" si="0"/>
        <v>#REF!</v>
      </c>
      <c r="J18" s="65" t="e">
        <f t="shared" si="0"/>
        <v>#REF!</v>
      </c>
      <c r="K18" s="65" t="e">
        <f t="shared" si="0"/>
        <v>#REF!</v>
      </c>
    </row>
    <row r="19" spans="1:11" ht="20.149999999999999" customHeight="1" x14ac:dyDescent="0.35">
      <c r="A19" s="1">
        <f t="shared" si="1"/>
        <v>4</v>
      </c>
      <c r="B19" s="34" t="s">
        <v>26</v>
      </c>
      <c r="C19" s="34" t="s">
        <v>27</v>
      </c>
      <c r="D19" s="34"/>
      <c r="E19" s="34"/>
      <c r="F19" s="55" t="s">
        <v>28</v>
      </c>
      <c r="G19" s="35" t="e">
        <f>#REF!</f>
        <v>#REF!</v>
      </c>
      <c r="I19" s="65" t="e">
        <f t="shared" si="0"/>
        <v>#REF!</v>
      </c>
      <c r="J19" s="65" t="e">
        <f t="shared" si="0"/>
        <v>#REF!</v>
      </c>
      <c r="K19" s="65" t="e">
        <f t="shared" si="0"/>
        <v>#REF!</v>
      </c>
    </row>
    <row r="20" spans="1:11" ht="20.149999999999999" customHeight="1" x14ac:dyDescent="0.35">
      <c r="A20" s="1">
        <f>A13+1</f>
        <v>1</v>
      </c>
      <c r="B20" s="34"/>
      <c r="C20" s="34"/>
      <c r="D20" s="34"/>
      <c r="E20" s="34"/>
      <c r="F20" s="55"/>
      <c r="G20" s="35" t="e">
        <f>#REF!</f>
        <v>#REF!</v>
      </c>
      <c r="I20" s="65" t="e">
        <f t="shared" si="0"/>
        <v>#REF!</v>
      </c>
      <c r="J20" s="65" t="e">
        <f t="shared" si="0"/>
        <v>#REF!</v>
      </c>
      <c r="K20" s="65" t="e">
        <f t="shared" si="0"/>
        <v>#REF!</v>
      </c>
    </row>
    <row r="21" spans="1:11" ht="20.149999999999999" customHeight="1" x14ac:dyDescent="0.35">
      <c r="A21" s="1">
        <f>A19+1</f>
        <v>5</v>
      </c>
      <c r="B21" s="34"/>
      <c r="C21" s="34"/>
      <c r="D21" s="34"/>
      <c r="E21" s="34"/>
      <c r="F21" s="55"/>
      <c r="G21" s="35" t="e">
        <f>#REF!</f>
        <v>#REF!</v>
      </c>
      <c r="I21" s="65" t="e">
        <f t="shared" si="0"/>
        <v>#REF!</v>
      </c>
      <c r="J21" s="65" t="e">
        <f t="shared" si="0"/>
        <v>#REF!</v>
      </c>
      <c r="K21" s="65" t="e">
        <f t="shared" si="0"/>
        <v>#REF!</v>
      </c>
    </row>
    <row r="22" spans="1:11" ht="20.149999999999999" customHeight="1" x14ac:dyDescent="0.35">
      <c r="A22" s="1">
        <f t="shared" si="1"/>
        <v>6</v>
      </c>
      <c r="B22" s="34"/>
      <c r="C22" s="34"/>
      <c r="D22" s="34"/>
      <c r="E22" s="34"/>
      <c r="F22" s="55"/>
      <c r="G22" s="35" t="e">
        <f>#REF!</f>
        <v>#REF!</v>
      </c>
      <c r="I22" s="65" t="e">
        <f t="shared" si="0"/>
        <v>#REF!</v>
      </c>
      <c r="J22" s="65" t="e">
        <f t="shared" si="0"/>
        <v>#REF!</v>
      </c>
      <c r="K22" s="65" t="e">
        <f t="shared" si="0"/>
        <v>#REF!</v>
      </c>
    </row>
    <row r="23" spans="1:11" s="18" customFormat="1" ht="20.149999999999999" customHeight="1" x14ac:dyDescent="0.35">
      <c r="B23" s="38" t="s">
        <v>29</v>
      </c>
      <c r="C23" s="50"/>
      <c r="D23" s="50"/>
      <c r="E23" s="50"/>
      <c r="F23" s="51"/>
      <c r="G23" s="52" t="e">
        <f>#REF!</f>
        <v>#REF!</v>
      </c>
      <c r="H23" s="33"/>
      <c r="I23" s="65"/>
      <c r="J23" s="65"/>
      <c r="K23" s="65"/>
    </row>
    <row r="24" spans="1:11" ht="20.149999999999999" customHeight="1" x14ac:dyDescent="0.35">
      <c r="A24" s="1" t="e">
        <f>#REF!+1</f>
        <v>#REF!</v>
      </c>
      <c r="B24" s="34" t="s">
        <v>30</v>
      </c>
      <c r="C24" s="34" t="s">
        <v>31</v>
      </c>
      <c r="D24" s="34"/>
      <c r="E24" s="34"/>
      <c r="F24" s="55" t="s">
        <v>32</v>
      </c>
      <c r="G24" s="35" t="e">
        <f>#REF!</f>
        <v>#REF!</v>
      </c>
      <c r="I24" s="65" t="e">
        <f t="shared" ref="I24:K31" si="2">ROUNDUP($G24*100/$G$6*I$11*$K$6,0)</f>
        <v>#REF!</v>
      </c>
      <c r="J24" s="65" t="e">
        <f t="shared" si="2"/>
        <v>#REF!</v>
      </c>
      <c r="K24" s="65" t="e">
        <f t="shared" si="2"/>
        <v>#REF!</v>
      </c>
    </row>
    <row r="25" spans="1:11" ht="20.149999999999999" customHeight="1" x14ac:dyDescent="0.35">
      <c r="A25" s="1" t="e">
        <f t="shared" si="1"/>
        <v>#REF!</v>
      </c>
      <c r="B25" s="34" t="s">
        <v>33</v>
      </c>
      <c r="C25" s="34" t="s">
        <v>34</v>
      </c>
      <c r="D25" s="34"/>
      <c r="E25" s="34"/>
      <c r="F25" s="55" t="s">
        <v>32</v>
      </c>
      <c r="G25" s="35" t="e">
        <f>#REF!</f>
        <v>#REF!</v>
      </c>
      <c r="I25" s="65" t="e">
        <f t="shared" si="2"/>
        <v>#REF!</v>
      </c>
      <c r="J25" s="65" t="e">
        <f t="shared" si="2"/>
        <v>#REF!</v>
      </c>
      <c r="K25" s="65" t="e">
        <f t="shared" si="2"/>
        <v>#REF!</v>
      </c>
    </row>
    <row r="26" spans="1:11" ht="20.149999999999999" customHeight="1" x14ac:dyDescent="0.35">
      <c r="A26" s="1" t="e">
        <f t="shared" si="1"/>
        <v>#REF!</v>
      </c>
      <c r="B26" s="34" t="s">
        <v>35</v>
      </c>
      <c r="C26" s="34" t="s">
        <v>36</v>
      </c>
      <c r="D26" s="34"/>
      <c r="E26" s="34"/>
      <c r="F26" s="55" t="s">
        <v>37</v>
      </c>
      <c r="G26" s="35" t="e">
        <f>#REF!</f>
        <v>#REF!</v>
      </c>
      <c r="I26" s="65" t="e">
        <f t="shared" si="2"/>
        <v>#REF!</v>
      </c>
      <c r="J26" s="65" t="e">
        <f t="shared" si="2"/>
        <v>#REF!</v>
      </c>
      <c r="K26" s="65" t="e">
        <f t="shared" si="2"/>
        <v>#REF!</v>
      </c>
    </row>
    <row r="27" spans="1:11" ht="20.149999999999999" customHeight="1" x14ac:dyDescent="0.35">
      <c r="A27" s="1" t="e">
        <f t="shared" si="1"/>
        <v>#REF!</v>
      </c>
      <c r="B27" s="34" t="s">
        <v>38</v>
      </c>
      <c r="C27" s="34" t="s">
        <v>39</v>
      </c>
      <c r="D27" s="34"/>
      <c r="E27" s="34"/>
      <c r="F27" s="55" t="s">
        <v>32</v>
      </c>
      <c r="G27" s="35" t="e">
        <f>#REF!</f>
        <v>#REF!</v>
      </c>
      <c r="I27" s="65" t="e">
        <f t="shared" si="2"/>
        <v>#REF!</v>
      </c>
      <c r="J27" s="65" t="e">
        <f t="shared" si="2"/>
        <v>#REF!</v>
      </c>
      <c r="K27" s="65" t="e">
        <f t="shared" si="2"/>
        <v>#REF!</v>
      </c>
    </row>
    <row r="28" spans="1:11" ht="20.149999999999999" customHeight="1" x14ac:dyDescent="0.35">
      <c r="B28" s="34" t="s">
        <v>40</v>
      </c>
      <c r="C28" s="34" t="s">
        <v>41</v>
      </c>
      <c r="D28" s="34"/>
      <c r="E28" s="34"/>
      <c r="F28" s="55" t="s">
        <v>42</v>
      </c>
      <c r="G28" s="35" t="e">
        <f>#REF!</f>
        <v>#REF!</v>
      </c>
      <c r="I28" s="65" t="e">
        <f t="shared" si="2"/>
        <v>#REF!</v>
      </c>
      <c r="J28" s="65" t="e">
        <f t="shared" si="2"/>
        <v>#REF!</v>
      </c>
      <c r="K28" s="65" t="e">
        <f t="shared" si="2"/>
        <v>#REF!</v>
      </c>
    </row>
    <row r="29" spans="1:11" ht="20.149999999999999" customHeight="1" x14ac:dyDescent="0.35">
      <c r="B29" s="34" t="s">
        <v>43</v>
      </c>
      <c r="C29" s="34" t="s">
        <v>44</v>
      </c>
      <c r="D29" s="34"/>
      <c r="E29" s="34"/>
      <c r="F29" s="55" t="s">
        <v>45</v>
      </c>
      <c r="G29" s="35" t="e">
        <f>#REF!</f>
        <v>#REF!</v>
      </c>
      <c r="I29" s="65" t="e">
        <f t="shared" si="2"/>
        <v>#REF!</v>
      </c>
      <c r="J29" s="65" t="e">
        <f t="shared" si="2"/>
        <v>#REF!</v>
      </c>
      <c r="K29" s="65" t="e">
        <f t="shared" si="2"/>
        <v>#REF!</v>
      </c>
    </row>
    <row r="30" spans="1:11" ht="20.149999999999999" customHeight="1" x14ac:dyDescent="0.35">
      <c r="B30" s="34"/>
      <c r="C30" s="34"/>
      <c r="D30" s="34"/>
      <c r="E30" s="34"/>
      <c r="F30" s="55"/>
      <c r="G30" s="35" t="e">
        <f>#REF!</f>
        <v>#REF!</v>
      </c>
      <c r="I30" s="65" t="e">
        <f t="shared" si="2"/>
        <v>#REF!</v>
      </c>
      <c r="J30" s="65" t="e">
        <f t="shared" si="2"/>
        <v>#REF!</v>
      </c>
      <c r="K30" s="65" t="e">
        <f t="shared" si="2"/>
        <v>#REF!</v>
      </c>
    </row>
    <row r="31" spans="1:11" ht="20.149999999999999" customHeight="1" x14ac:dyDescent="0.35">
      <c r="B31" s="34"/>
      <c r="C31" s="34"/>
      <c r="D31" s="34"/>
      <c r="E31" s="34"/>
      <c r="F31" s="55"/>
      <c r="G31" s="35" t="e">
        <f>#REF!</f>
        <v>#REF!</v>
      </c>
      <c r="I31" s="65" t="e">
        <f t="shared" si="2"/>
        <v>#REF!</v>
      </c>
      <c r="J31" s="65" t="e">
        <f t="shared" si="2"/>
        <v>#REF!</v>
      </c>
      <c r="K31" s="65" t="e">
        <f t="shared" si="2"/>
        <v>#REF!</v>
      </c>
    </row>
    <row r="32" spans="1:11" s="18" customFormat="1" ht="20.149999999999999" customHeight="1" x14ac:dyDescent="0.35">
      <c r="B32" s="38" t="s">
        <v>46</v>
      </c>
      <c r="C32" s="50"/>
      <c r="D32" s="50"/>
      <c r="E32" s="50"/>
      <c r="F32" s="51"/>
      <c r="G32" s="52" t="e">
        <f>#REF!</f>
        <v>#REF!</v>
      </c>
      <c r="H32" s="33"/>
      <c r="I32" s="65"/>
      <c r="J32" s="65"/>
      <c r="K32" s="65"/>
    </row>
    <row r="33" spans="1:11" ht="20.149999999999999" customHeight="1" x14ac:dyDescent="0.35">
      <c r="A33" s="1">
        <v>1</v>
      </c>
      <c r="B33" s="34" t="s">
        <v>47</v>
      </c>
      <c r="C33" s="34" t="s">
        <v>48</v>
      </c>
      <c r="D33" s="34"/>
      <c r="E33" s="34"/>
      <c r="F33" s="55" t="s">
        <v>21</v>
      </c>
      <c r="G33" s="35" t="e">
        <f>#REF!</f>
        <v>#REF!</v>
      </c>
      <c r="I33" s="65" t="e">
        <f t="shared" ref="I33:K40" si="3">ROUNDUP($G33*100/$G$6*I$11*$K$6,0)</f>
        <v>#REF!</v>
      </c>
      <c r="J33" s="65" t="e">
        <f t="shared" si="3"/>
        <v>#REF!</v>
      </c>
      <c r="K33" s="65" t="e">
        <f t="shared" si="3"/>
        <v>#REF!</v>
      </c>
    </row>
    <row r="34" spans="1:11" ht="20.149999999999999" customHeight="1" x14ac:dyDescent="0.35">
      <c r="A34" s="1">
        <f t="shared" ref="A34:A39" si="4">A33+1</f>
        <v>2</v>
      </c>
      <c r="B34" s="34" t="s">
        <v>49</v>
      </c>
      <c r="C34" s="34" t="s">
        <v>50</v>
      </c>
      <c r="D34" s="34"/>
      <c r="E34" s="34"/>
      <c r="F34" s="55" t="s">
        <v>45</v>
      </c>
      <c r="G34" s="35" t="e">
        <f>#REF!</f>
        <v>#REF!</v>
      </c>
      <c r="I34" s="65" t="e">
        <f t="shared" si="3"/>
        <v>#REF!</v>
      </c>
      <c r="J34" s="65" t="e">
        <f t="shared" si="3"/>
        <v>#REF!</v>
      </c>
      <c r="K34" s="65" t="e">
        <f t="shared" si="3"/>
        <v>#REF!</v>
      </c>
    </row>
    <row r="35" spans="1:11" ht="20.149999999999999" customHeight="1" x14ac:dyDescent="0.35">
      <c r="A35" s="1">
        <f t="shared" si="4"/>
        <v>3</v>
      </c>
      <c r="B35" s="34" t="s">
        <v>51</v>
      </c>
      <c r="C35" s="34" t="s">
        <v>52</v>
      </c>
      <c r="D35" s="34"/>
      <c r="E35" s="34"/>
      <c r="F35" s="55" t="s">
        <v>21</v>
      </c>
      <c r="G35" s="35" t="e">
        <f>#REF!</f>
        <v>#REF!</v>
      </c>
      <c r="I35" s="65" t="e">
        <f t="shared" si="3"/>
        <v>#REF!</v>
      </c>
      <c r="J35" s="65" t="e">
        <f t="shared" si="3"/>
        <v>#REF!</v>
      </c>
      <c r="K35" s="65" t="e">
        <f t="shared" si="3"/>
        <v>#REF!</v>
      </c>
    </row>
    <row r="36" spans="1:11" ht="20.149999999999999" customHeight="1" x14ac:dyDescent="0.35">
      <c r="A36" s="1">
        <f t="shared" si="4"/>
        <v>4</v>
      </c>
      <c r="B36" s="34" t="s">
        <v>53</v>
      </c>
      <c r="C36" s="34" t="s">
        <v>54</v>
      </c>
      <c r="D36" s="34"/>
      <c r="E36" s="34"/>
      <c r="F36" s="55" t="s">
        <v>21</v>
      </c>
      <c r="G36" s="35" t="e">
        <f>#REF!</f>
        <v>#REF!</v>
      </c>
      <c r="I36" s="65" t="e">
        <f t="shared" si="3"/>
        <v>#REF!</v>
      </c>
      <c r="J36" s="65" t="e">
        <f t="shared" si="3"/>
        <v>#REF!</v>
      </c>
      <c r="K36" s="65" t="e">
        <f t="shared" si="3"/>
        <v>#REF!</v>
      </c>
    </row>
    <row r="37" spans="1:11" ht="20.149999999999999" customHeight="1" x14ac:dyDescent="0.35">
      <c r="A37" s="1">
        <f t="shared" si="4"/>
        <v>5</v>
      </c>
      <c r="B37" s="34" t="s">
        <v>55</v>
      </c>
      <c r="C37" s="34" t="s">
        <v>56</v>
      </c>
      <c r="D37" s="34"/>
      <c r="E37" s="34"/>
      <c r="F37" s="55" t="s">
        <v>21</v>
      </c>
      <c r="G37" s="35" t="e">
        <f>#REF!</f>
        <v>#REF!</v>
      </c>
      <c r="I37" s="65" t="e">
        <f t="shared" si="3"/>
        <v>#REF!</v>
      </c>
      <c r="J37" s="65" t="e">
        <f t="shared" si="3"/>
        <v>#REF!</v>
      </c>
      <c r="K37" s="65" t="e">
        <f t="shared" si="3"/>
        <v>#REF!</v>
      </c>
    </row>
    <row r="38" spans="1:11" ht="20.149999999999999" customHeight="1" x14ac:dyDescent="0.35">
      <c r="A38" s="1">
        <f t="shared" si="4"/>
        <v>6</v>
      </c>
      <c r="B38" s="34" t="s">
        <v>57</v>
      </c>
      <c r="C38" s="34" t="s">
        <v>58</v>
      </c>
      <c r="D38" s="34"/>
      <c r="E38" s="34"/>
      <c r="F38" s="55" t="s">
        <v>21</v>
      </c>
      <c r="G38" s="35" t="e">
        <f>#REF!</f>
        <v>#REF!</v>
      </c>
      <c r="I38" s="65" t="e">
        <f t="shared" si="3"/>
        <v>#REF!</v>
      </c>
      <c r="J38" s="65" t="e">
        <f t="shared" si="3"/>
        <v>#REF!</v>
      </c>
      <c r="K38" s="65" t="e">
        <f t="shared" si="3"/>
        <v>#REF!</v>
      </c>
    </row>
    <row r="39" spans="1:11" ht="20.149999999999999" customHeight="1" x14ac:dyDescent="0.35">
      <c r="A39" s="1">
        <f t="shared" si="4"/>
        <v>7</v>
      </c>
      <c r="B39" s="34"/>
      <c r="C39" s="34"/>
      <c r="D39" s="34"/>
      <c r="E39" s="34"/>
      <c r="F39" s="55"/>
      <c r="G39" s="35" t="e">
        <f>#REF!</f>
        <v>#REF!</v>
      </c>
      <c r="I39" s="65" t="e">
        <f t="shared" si="3"/>
        <v>#REF!</v>
      </c>
      <c r="J39" s="65" t="e">
        <f t="shared" si="3"/>
        <v>#REF!</v>
      </c>
      <c r="K39" s="65" t="e">
        <f t="shared" si="3"/>
        <v>#REF!</v>
      </c>
    </row>
    <row r="40" spans="1:11" ht="20.149999999999999" customHeight="1" x14ac:dyDescent="0.35">
      <c r="B40" s="34"/>
      <c r="C40" s="34"/>
      <c r="D40" s="34"/>
      <c r="E40" s="34"/>
      <c r="F40" s="55"/>
      <c r="G40" s="35" t="e">
        <f>#REF!</f>
        <v>#REF!</v>
      </c>
      <c r="I40" s="65" t="e">
        <f t="shared" si="3"/>
        <v>#REF!</v>
      </c>
      <c r="J40" s="65" t="e">
        <f t="shared" si="3"/>
        <v>#REF!</v>
      </c>
      <c r="K40" s="65" t="e">
        <f t="shared" si="3"/>
        <v>#REF!</v>
      </c>
    </row>
    <row r="41" spans="1:11" s="18" customFormat="1" ht="20.149999999999999" customHeight="1" x14ac:dyDescent="0.35">
      <c r="B41" s="38" t="s">
        <v>59</v>
      </c>
      <c r="C41" s="50"/>
      <c r="D41" s="50"/>
      <c r="E41" s="50"/>
      <c r="F41" s="51"/>
      <c r="G41" s="52" t="e">
        <f>#REF!</f>
        <v>#REF!</v>
      </c>
      <c r="H41" s="33"/>
      <c r="I41" s="65"/>
      <c r="J41" s="65"/>
      <c r="K41" s="65"/>
    </row>
    <row r="42" spans="1:11" ht="20.149999999999999" customHeight="1" x14ac:dyDescent="0.35">
      <c r="A42" s="1">
        <v>1</v>
      </c>
      <c r="B42" s="34" t="s">
        <v>60</v>
      </c>
      <c r="C42" s="34" t="s">
        <v>61</v>
      </c>
      <c r="D42" s="54"/>
      <c r="E42" s="54"/>
      <c r="F42" s="55" t="s">
        <v>37</v>
      </c>
      <c r="G42" s="35" t="e">
        <f>#REF!</f>
        <v>#REF!</v>
      </c>
      <c r="I42" s="65" t="e">
        <f t="shared" ref="I42:K77" si="5">ROUNDUP($G42*100/$G$6*I$11*$K$6,0)</f>
        <v>#REF!</v>
      </c>
      <c r="J42" s="65" t="e">
        <f t="shared" si="5"/>
        <v>#REF!</v>
      </c>
      <c r="K42" s="65" t="e">
        <f t="shared" si="5"/>
        <v>#REF!</v>
      </c>
    </row>
    <row r="43" spans="1:11" ht="20.149999999999999" customHeight="1" x14ac:dyDescent="0.35">
      <c r="A43" s="1" t="e">
        <f>#REF!+1</f>
        <v>#REF!</v>
      </c>
      <c r="B43" s="34" t="s">
        <v>62</v>
      </c>
      <c r="C43" s="34" t="s">
        <v>63</v>
      </c>
      <c r="D43" s="34"/>
      <c r="E43" s="34"/>
      <c r="F43" s="55" t="s">
        <v>37</v>
      </c>
      <c r="G43" s="35" t="e">
        <f>#REF!</f>
        <v>#REF!</v>
      </c>
      <c r="I43" s="65" t="e">
        <f t="shared" si="5"/>
        <v>#REF!</v>
      </c>
      <c r="J43" s="65" t="e">
        <f t="shared" si="5"/>
        <v>#REF!</v>
      </c>
      <c r="K43" s="65" t="e">
        <f t="shared" si="5"/>
        <v>#REF!</v>
      </c>
    </row>
    <row r="44" spans="1:11" ht="20.149999999999999" customHeight="1" x14ac:dyDescent="0.35">
      <c r="A44" s="1" t="e">
        <f t="shared" ref="A44:A46" si="6">A43+1</f>
        <v>#REF!</v>
      </c>
      <c r="B44" s="34" t="s">
        <v>64</v>
      </c>
      <c r="C44" s="34" t="s">
        <v>65</v>
      </c>
      <c r="D44" s="34"/>
      <c r="E44" s="34"/>
      <c r="F44" s="55" t="s">
        <v>37</v>
      </c>
      <c r="G44" s="35" t="e">
        <f>#REF!</f>
        <v>#REF!</v>
      </c>
      <c r="I44" s="65" t="e">
        <f t="shared" si="5"/>
        <v>#REF!</v>
      </c>
      <c r="J44" s="65" t="e">
        <f t="shared" si="5"/>
        <v>#REF!</v>
      </c>
      <c r="K44" s="65" t="e">
        <f t="shared" si="5"/>
        <v>#REF!</v>
      </c>
    </row>
    <row r="45" spans="1:11" ht="20.149999999999999" customHeight="1" x14ac:dyDescent="0.35">
      <c r="A45" s="1" t="e">
        <f t="shared" si="6"/>
        <v>#REF!</v>
      </c>
      <c r="B45" s="34" t="s">
        <v>66</v>
      </c>
      <c r="C45" s="34" t="s">
        <v>67</v>
      </c>
      <c r="D45" s="34"/>
      <c r="E45" s="34"/>
      <c r="F45" s="55" t="s">
        <v>37</v>
      </c>
      <c r="G45" s="35" t="e">
        <f>#REF!</f>
        <v>#REF!</v>
      </c>
      <c r="I45" s="65" t="e">
        <f t="shared" si="5"/>
        <v>#REF!</v>
      </c>
      <c r="J45" s="65" t="e">
        <f t="shared" si="5"/>
        <v>#REF!</v>
      </c>
      <c r="K45" s="65" t="e">
        <f t="shared" si="5"/>
        <v>#REF!</v>
      </c>
    </row>
    <row r="46" spans="1:11" ht="20.149999999999999" customHeight="1" x14ac:dyDescent="0.35">
      <c r="A46" s="1" t="e">
        <f t="shared" si="6"/>
        <v>#REF!</v>
      </c>
      <c r="B46" s="34" t="s">
        <v>68</v>
      </c>
      <c r="C46" s="34" t="s">
        <v>69</v>
      </c>
      <c r="D46" s="34"/>
      <c r="E46" s="34"/>
      <c r="F46" s="55" t="s">
        <v>37</v>
      </c>
      <c r="G46" s="35" t="e">
        <f>#REF!</f>
        <v>#REF!</v>
      </c>
      <c r="I46" s="65" t="e">
        <f t="shared" si="5"/>
        <v>#REF!</v>
      </c>
      <c r="J46" s="65" t="e">
        <f t="shared" si="5"/>
        <v>#REF!</v>
      </c>
      <c r="K46" s="65" t="e">
        <f t="shared" si="5"/>
        <v>#REF!</v>
      </c>
    </row>
    <row r="47" spans="1:11" ht="20.149999999999999" customHeight="1" x14ac:dyDescent="0.35">
      <c r="A47" s="1">
        <f>A2+1</f>
        <v>1</v>
      </c>
      <c r="B47" s="34" t="s">
        <v>70</v>
      </c>
      <c r="C47" s="34" t="s">
        <v>71</v>
      </c>
      <c r="D47" s="34"/>
      <c r="E47" s="34"/>
      <c r="F47" s="55" t="s">
        <v>37</v>
      </c>
      <c r="G47" s="35" t="e">
        <f>#REF!</f>
        <v>#REF!</v>
      </c>
      <c r="I47" s="65" t="e">
        <f t="shared" si="5"/>
        <v>#REF!</v>
      </c>
      <c r="J47" s="65" t="e">
        <f t="shared" si="5"/>
        <v>#REF!</v>
      </c>
      <c r="K47" s="65" t="e">
        <f t="shared" si="5"/>
        <v>#REF!</v>
      </c>
    </row>
    <row r="48" spans="1:11" ht="20.149999999999999" customHeight="1" x14ac:dyDescent="0.35">
      <c r="A48" s="1">
        <f t="shared" ref="A48:A50" si="7">A47+1</f>
        <v>2</v>
      </c>
      <c r="B48" s="34"/>
      <c r="C48" s="34"/>
      <c r="D48" s="34"/>
      <c r="E48" s="34"/>
      <c r="F48" s="55"/>
      <c r="G48" s="35" t="e">
        <f>#REF!</f>
        <v>#REF!</v>
      </c>
      <c r="I48" s="65" t="e">
        <f t="shared" si="5"/>
        <v>#REF!</v>
      </c>
      <c r="J48" s="65" t="e">
        <f t="shared" si="5"/>
        <v>#REF!</v>
      </c>
      <c r="K48" s="65" t="e">
        <f t="shared" si="5"/>
        <v>#REF!</v>
      </c>
    </row>
    <row r="49" spans="1:11" ht="20.149999999999999" customHeight="1" x14ac:dyDescent="0.35">
      <c r="A49" s="1">
        <f t="shared" si="7"/>
        <v>3</v>
      </c>
      <c r="B49" s="34"/>
      <c r="C49" s="34"/>
      <c r="D49" s="34"/>
      <c r="E49" s="34"/>
      <c r="F49" s="55"/>
      <c r="G49" s="35" t="e">
        <f>#REF!</f>
        <v>#REF!</v>
      </c>
      <c r="I49" s="65" t="e">
        <f t="shared" si="5"/>
        <v>#REF!</v>
      </c>
      <c r="J49" s="65" t="e">
        <f t="shared" si="5"/>
        <v>#REF!</v>
      </c>
      <c r="K49" s="65" t="e">
        <f t="shared" si="5"/>
        <v>#REF!</v>
      </c>
    </row>
    <row r="50" spans="1:11" ht="20.149999999999999" customHeight="1" x14ac:dyDescent="0.35">
      <c r="A50" s="1">
        <f t="shared" si="7"/>
        <v>4</v>
      </c>
      <c r="B50" s="34" t="s">
        <v>72</v>
      </c>
      <c r="C50" s="34" t="s">
        <v>73</v>
      </c>
      <c r="D50" s="34"/>
      <c r="E50" s="34"/>
      <c r="F50" s="55" t="s">
        <v>21</v>
      </c>
      <c r="G50" s="35" t="e">
        <f>#REF!</f>
        <v>#REF!</v>
      </c>
      <c r="I50" s="65" t="e">
        <f t="shared" si="5"/>
        <v>#REF!</v>
      </c>
      <c r="J50" s="65" t="e">
        <f t="shared" si="5"/>
        <v>#REF!</v>
      </c>
      <c r="K50" s="65" t="e">
        <f t="shared" si="5"/>
        <v>#REF!</v>
      </c>
    </row>
    <row r="51" spans="1:11" ht="20.149999999999999" customHeight="1" x14ac:dyDescent="0.35">
      <c r="A51" s="1" t="e">
        <f>#REF!+1</f>
        <v>#REF!</v>
      </c>
      <c r="B51" s="34" t="s">
        <v>74</v>
      </c>
      <c r="C51" s="34" t="s">
        <v>75</v>
      </c>
      <c r="D51" s="34"/>
      <c r="E51" s="34"/>
      <c r="F51" s="55" t="s">
        <v>21</v>
      </c>
      <c r="G51" s="35" t="e">
        <f>#REF!</f>
        <v>#REF!</v>
      </c>
      <c r="I51" s="65" t="e">
        <f t="shared" si="5"/>
        <v>#REF!</v>
      </c>
      <c r="J51" s="65" t="e">
        <f t="shared" si="5"/>
        <v>#REF!</v>
      </c>
      <c r="K51" s="65" t="e">
        <f t="shared" si="5"/>
        <v>#REF!</v>
      </c>
    </row>
    <row r="52" spans="1:11" ht="20.149999999999999" customHeight="1" x14ac:dyDescent="0.35">
      <c r="A52" s="1" t="e">
        <f t="shared" ref="A52:A54" si="8">A51+1</f>
        <v>#REF!</v>
      </c>
      <c r="B52" s="34" t="s">
        <v>76</v>
      </c>
      <c r="C52" s="34" t="s">
        <v>77</v>
      </c>
      <c r="D52" s="34"/>
      <c r="E52" s="34"/>
      <c r="F52" s="55" t="s">
        <v>21</v>
      </c>
      <c r="G52" s="35" t="e">
        <f>#REF!</f>
        <v>#REF!</v>
      </c>
      <c r="I52" s="65" t="e">
        <f t="shared" si="5"/>
        <v>#REF!</v>
      </c>
      <c r="J52" s="65" t="e">
        <f t="shared" si="5"/>
        <v>#REF!</v>
      </c>
      <c r="K52" s="65" t="e">
        <f t="shared" si="5"/>
        <v>#REF!</v>
      </c>
    </row>
    <row r="53" spans="1:11" ht="20.149999999999999" customHeight="1" x14ac:dyDescent="0.35">
      <c r="A53" s="1" t="e">
        <f t="shared" si="8"/>
        <v>#REF!</v>
      </c>
      <c r="B53" s="34" t="s">
        <v>78</v>
      </c>
      <c r="C53" s="34" t="s">
        <v>79</v>
      </c>
      <c r="D53" s="34"/>
      <c r="E53" s="34"/>
      <c r="F53" s="55" t="s">
        <v>28</v>
      </c>
      <c r="G53" s="35" t="e">
        <f>#REF!</f>
        <v>#REF!</v>
      </c>
      <c r="I53" s="65" t="e">
        <f t="shared" si="5"/>
        <v>#REF!</v>
      </c>
      <c r="J53" s="65" t="e">
        <f t="shared" si="5"/>
        <v>#REF!</v>
      </c>
      <c r="K53" s="65" t="e">
        <f t="shared" si="5"/>
        <v>#REF!</v>
      </c>
    </row>
    <row r="54" spans="1:11" ht="20.149999999999999" customHeight="1" x14ac:dyDescent="0.35">
      <c r="A54" s="1" t="e">
        <f t="shared" si="8"/>
        <v>#REF!</v>
      </c>
      <c r="B54" s="34" t="s">
        <v>80</v>
      </c>
      <c r="C54" s="34" t="s">
        <v>81</v>
      </c>
      <c r="D54" s="34"/>
      <c r="E54" s="34"/>
      <c r="F54" s="55" t="s">
        <v>21</v>
      </c>
      <c r="G54" s="35" t="e">
        <f>#REF!</f>
        <v>#REF!</v>
      </c>
      <c r="I54" s="65" t="e">
        <f t="shared" si="5"/>
        <v>#REF!</v>
      </c>
      <c r="J54" s="65" t="e">
        <f t="shared" si="5"/>
        <v>#REF!</v>
      </c>
      <c r="K54" s="65" t="e">
        <f t="shared" si="5"/>
        <v>#REF!</v>
      </c>
    </row>
    <row r="55" spans="1:11" ht="20.149999999999999" customHeight="1" x14ac:dyDescent="0.35">
      <c r="A55" s="1">
        <f>A11+1</f>
        <v>1</v>
      </c>
      <c r="B55" s="34" t="s">
        <v>82</v>
      </c>
      <c r="C55" s="34" t="s">
        <v>83</v>
      </c>
      <c r="D55" s="34"/>
      <c r="E55" s="34"/>
      <c r="F55" s="55" t="s">
        <v>21</v>
      </c>
      <c r="G55" s="35" t="e">
        <f>#REF!</f>
        <v>#REF!</v>
      </c>
      <c r="I55" s="65" t="e">
        <f t="shared" si="5"/>
        <v>#REF!</v>
      </c>
      <c r="J55" s="65" t="e">
        <f t="shared" si="5"/>
        <v>#REF!</v>
      </c>
      <c r="K55" s="65" t="e">
        <f t="shared" si="5"/>
        <v>#REF!</v>
      </c>
    </row>
    <row r="56" spans="1:11" ht="20.149999999999999" customHeight="1" x14ac:dyDescent="0.35">
      <c r="A56" s="1">
        <f t="shared" ref="A56" si="9">A55+1</f>
        <v>2</v>
      </c>
      <c r="B56" s="34" t="s">
        <v>84</v>
      </c>
      <c r="C56" s="34" t="s">
        <v>85</v>
      </c>
      <c r="D56" s="34"/>
      <c r="E56" s="34"/>
      <c r="F56" s="55" t="s">
        <v>21</v>
      </c>
      <c r="G56" s="35" t="e">
        <f>#REF!</f>
        <v>#REF!</v>
      </c>
      <c r="I56" s="65" t="e">
        <f t="shared" si="5"/>
        <v>#REF!</v>
      </c>
      <c r="J56" s="65" t="e">
        <f t="shared" si="5"/>
        <v>#REF!</v>
      </c>
      <c r="K56" s="65" t="e">
        <f t="shared" si="5"/>
        <v>#REF!</v>
      </c>
    </row>
    <row r="57" spans="1:11" ht="20.149999999999999" customHeight="1" x14ac:dyDescent="0.35">
      <c r="A57" s="1" t="e">
        <f>#REF!+1</f>
        <v>#REF!</v>
      </c>
      <c r="B57" s="34" t="s">
        <v>86</v>
      </c>
      <c r="C57" s="34" t="s">
        <v>87</v>
      </c>
      <c r="D57" s="34"/>
      <c r="E57" s="34"/>
      <c r="F57" s="55" t="s">
        <v>21</v>
      </c>
      <c r="G57" s="35" t="e">
        <f>#REF!</f>
        <v>#REF!</v>
      </c>
      <c r="I57" s="65" t="e">
        <f t="shared" si="5"/>
        <v>#REF!</v>
      </c>
      <c r="J57" s="65" t="e">
        <f t="shared" si="5"/>
        <v>#REF!</v>
      </c>
      <c r="K57" s="65" t="e">
        <f t="shared" si="5"/>
        <v>#REF!</v>
      </c>
    </row>
    <row r="58" spans="1:11" ht="20.149999999999999" customHeight="1" x14ac:dyDescent="0.35">
      <c r="A58" s="1" t="e">
        <f t="shared" ref="A58:A60" si="10">A57+1</f>
        <v>#REF!</v>
      </c>
      <c r="B58" s="34" t="s">
        <v>88</v>
      </c>
      <c r="C58" s="34" t="s">
        <v>89</v>
      </c>
      <c r="D58" s="34"/>
      <c r="E58" s="34"/>
      <c r="F58" s="55" t="s">
        <v>42</v>
      </c>
      <c r="G58" s="35" t="e">
        <f>#REF!</f>
        <v>#REF!</v>
      </c>
      <c r="I58" s="65" t="e">
        <f t="shared" si="5"/>
        <v>#REF!</v>
      </c>
      <c r="J58" s="65" t="e">
        <f t="shared" si="5"/>
        <v>#REF!</v>
      </c>
      <c r="K58" s="65" t="e">
        <f t="shared" si="5"/>
        <v>#REF!</v>
      </c>
    </row>
    <row r="59" spans="1:11" ht="20.149999999999999" customHeight="1" x14ac:dyDescent="0.35">
      <c r="A59" s="1" t="e">
        <f t="shared" si="10"/>
        <v>#REF!</v>
      </c>
      <c r="B59" s="34" t="s">
        <v>90</v>
      </c>
      <c r="C59" s="34" t="s">
        <v>91</v>
      </c>
      <c r="D59" s="34"/>
      <c r="E59" s="34"/>
      <c r="F59" s="55" t="s">
        <v>21</v>
      </c>
      <c r="G59" s="35" t="e">
        <f>#REF!</f>
        <v>#REF!</v>
      </c>
      <c r="I59" s="65" t="e">
        <f t="shared" si="5"/>
        <v>#REF!</v>
      </c>
      <c r="J59" s="65" t="e">
        <f t="shared" si="5"/>
        <v>#REF!</v>
      </c>
      <c r="K59" s="65" t="e">
        <f t="shared" si="5"/>
        <v>#REF!</v>
      </c>
    </row>
    <row r="60" spans="1:11" ht="20.149999999999999" customHeight="1" x14ac:dyDescent="0.35">
      <c r="A60" s="1" t="e">
        <f t="shared" si="10"/>
        <v>#REF!</v>
      </c>
      <c r="B60" s="34" t="s">
        <v>92</v>
      </c>
      <c r="C60" s="34" t="s">
        <v>93</v>
      </c>
      <c r="D60" s="34"/>
      <c r="E60" s="34"/>
      <c r="F60" s="55" t="s">
        <v>21</v>
      </c>
      <c r="G60" s="35" t="e">
        <f>#REF!</f>
        <v>#REF!</v>
      </c>
      <c r="I60" s="65" t="e">
        <f t="shared" si="5"/>
        <v>#REF!</v>
      </c>
      <c r="J60" s="65" t="e">
        <f t="shared" si="5"/>
        <v>#REF!</v>
      </c>
      <c r="K60" s="65" t="e">
        <f t="shared" si="5"/>
        <v>#REF!</v>
      </c>
    </row>
    <row r="61" spans="1:11" ht="20.149999999999999" customHeight="1" x14ac:dyDescent="0.35">
      <c r="A61" s="1">
        <f>A17+1</f>
        <v>3</v>
      </c>
      <c r="B61" s="34" t="s">
        <v>94</v>
      </c>
      <c r="C61" s="34" t="s">
        <v>95</v>
      </c>
      <c r="D61" s="34"/>
      <c r="E61" s="34"/>
      <c r="F61" s="55" t="s">
        <v>21</v>
      </c>
      <c r="G61" s="35" t="e">
        <f>#REF!</f>
        <v>#REF!</v>
      </c>
      <c r="I61" s="65" t="e">
        <f t="shared" si="5"/>
        <v>#REF!</v>
      </c>
      <c r="J61" s="65" t="e">
        <f t="shared" si="5"/>
        <v>#REF!</v>
      </c>
      <c r="K61" s="65" t="e">
        <f t="shared" si="5"/>
        <v>#REF!</v>
      </c>
    </row>
    <row r="62" spans="1:11" ht="20.149999999999999" customHeight="1" x14ac:dyDescent="0.35">
      <c r="A62" s="1">
        <f t="shared" ref="A62:A64" si="11">A61+1</f>
        <v>4</v>
      </c>
      <c r="B62" s="34" t="s">
        <v>96</v>
      </c>
      <c r="C62" s="34" t="s">
        <v>97</v>
      </c>
      <c r="D62" s="34"/>
      <c r="E62" s="34"/>
      <c r="F62" s="55" t="s">
        <v>21</v>
      </c>
      <c r="G62" s="35" t="e">
        <f>#REF!</f>
        <v>#REF!</v>
      </c>
      <c r="I62" s="65" t="e">
        <f t="shared" si="5"/>
        <v>#REF!</v>
      </c>
      <c r="J62" s="65" t="e">
        <f t="shared" si="5"/>
        <v>#REF!</v>
      </c>
      <c r="K62" s="65" t="e">
        <f t="shared" si="5"/>
        <v>#REF!</v>
      </c>
    </row>
    <row r="63" spans="1:11" ht="20.149999999999999" customHeight="1" x14ac:dyDescent="0.35">
      <c r="A63" s="1">
        <f t="shared" si="11"/>
        <v>5</v>
      </c>
      <c r="B63" s="34" t="s">
        <v>98</v>
      </c>
      <c r="C63" s="34" t="s">
        <v>99</v>
      </c>
      <c r="D63" s="34"/>
      <c r="E63" s="34"/>
      <c r="F63" s="55" t="s">
        <v>21</v>
      </c>
      <c r="G63" s="35" t="e">
        <f>#REF!</f>
        <v>#REF!</v>
      </c>
      <c r="I63" s="65" t="e">
        <f t="shared" si="5"/>
        <v>#REF!</v>
      </c>
      <c r="J63" s="65" t="e">
        <f t="shared" si="5"/>
        <v>#REF!</v>
      </c>
      <c r="K63" s="65" t="e">
        <f t="shared" si="5"/>
        <v>#REF!</v>
      </c>
    </row>
    <row r="64" spans="1:11" ht="20.149999999999999" customHeight="1" x14ac:dyDescent="0.35">
      <c r="A64" s="1">
        <f t="shared" si="11"/>
        <v>6</v>
      </c>
      <c r="B64" s="34" t="s">
        <v>100</v>
      </c>
      <c r="C64" s="34" t="s">
        <v>101</v>
      </c>
      <c r="D64" s="34"/>
      <c r="E64" s="34"/>
      <c r="F64" s="55" t="s">
        <v>21</v>
      </c>
      <c r="G64" s="35" t="e">
        <f>#REF!</f>
        <v>#REF!</v>
      </c>
      <c r="I64" s="65" t="e">
        <f t="shared" si="5"/>
        <v>#REF!</v>
      </c>
      <c r="J64" s="65" t="e">
        <f t="shared" si="5"/>
        <v>#REF!</v>
      </c>
      <c r="K64" s="65" t="e">
        <f t="shared" si="5"/>
        <v>#REF!</v>
      </c>
    </row>
    <row r="65" spans="1:11" ht="20.149999999999999" customHeight="1" x14ac:dyDescent="0.35">
      <c r="A65" s="1" t="e">
        <f>#REF!+1</f>
        <v>#REF!</v>
      </c>
      <c r="B65" s="34" t="s">
        <v>102</v>
      </c>
      <c r="C65" s="34" t="s">
        <v>103</v>
      </c>
      <c r="D65" s="34"/>
      <c r="E65" s="34"/>
      <c r="F65" s="55" t="s">
        <v>21</v>
      </c>
      <c r="G65" s="35" t="e">
        <f>#REF!</f>
        <v>#REF!</v>
      </c>
      <c r="I65" s="65" t="e">
        <f t="shared" si="5"/>
        <v>#REF!</v>
      </c>
      <c r="J65" s="65" t="e">
        <f t="shared" si="5"/>
        <v>#REF!</v>
      </c>
      <c r="K65" s="65" t="e">
        <f t="shared" si="5"/>
        <v>#REF!</v>
      </c>
    </row>
    <row r="66" spans="1:11" ht="20.149999999999999" customHeight="1" x14ac:dyDescent="0.35">
      <c r="A66" s="1" t="e">
        <f t="shared" ref="A66:A68" si="12">A65+1</f>
        <v>#REF!</v>
      </c>
      <c r="B66" s="34" t="s">
        <v>104</v>
      </c>
      <c r="C66" s="34" t="s">
        <v>105</v>
      </c>
      <c r="D66" s="34"/>
      <c r="E66" s="34"/>
      <c r="F66" s="55" t="s">
        <v>21</v>
      </c>
      <c r="G66" s="35" t="e">
        <f>#REF!</f>
        <v>#REF!</v>
      </c>
      <c r="I66" s="65" t="e">
        <f t="shared" si="5"/>
        <v>#REF!</v>
      </c>
      <c r="J66" s="65" t="e">
        <f t="shared" si="5"/>
        <v>#REF!</v>
      </c>
      <c r="K66" s="65" t="e">
        <f t="shared" si="5"/>
        <v>#REF!</v>
      </c>
    </row>
    <row r="67" spans="1:11" ht="20.149999999999999" customHeight="1" x14ac:dyDescent="0.35">
      <c r="A67" s="1" t="e">
        <f t="shared" si="12"/>
        <v>#REF!</v>
      </c>
      <c r="B67" s="34" t="s">
        <v>106</v>
      </c>
      <c r="C67" s="34" t="s">
        <v>107</v>
      </c>
      <c r="D67" s="34"/>
      <c r="E67" s="34"/>
      <c r="F67" s="55" t="s">
        <v>21</v>
      </c>
      <c r="G67" s="35" t="e">
        <f>#REF!</f>
        <v>#REF!</v>
      </c>
      <c r="I67" s="65" t="e">
        <f t="shared" si="5"/>
        <v>#REF!</v>
      </c>
      <c r="J67" s="65" t="e">
        <f t="shared" si="5"/>
        <v>#REF!</v>
      </c>
      <c r="K67" s="65" t="e">
        <f t="shared" si="5"/>
        <v>#REF!</v>
      </c>
    </row>
    <row r="68" spans="1:11" ht="20.149999999999999" customHeight="1" x14ac:dyDescent="0.35">
      <c r="A68" s="1" t="e">
        <f t="shared" si="12"/>
        <v>#REF!</v>
      </c>
      <c r="B68" s="34" t="s">
        <v>108</v>
      </c>
      <c r="C68" s="34" t="s">
        <v>109</v>
      </c>
      <c r="D68" s="34"/>
      <c r="E68" s="34"/>
      <c r="F68" s="55" t="s">
        <v>21</v>
      </c>
      <c r="G68" s="35" t="e">
        <f>#REF!</f>
        <v>#REF!</v>
      </c>
      <c r="I68" s="65" t="e">
        <f t="shared" si="5"/>
        <v>#REF!</v>
      </c>
      <c r="J68" s="65" t="e">
        <f t="shared" si="5"/>
        <v>#REF!</v>
      </c>
      <c r="K68" s="65" t="e">
        <f t="shared" si="5"/>
        <v>#REF!</v>
      </c>
    </row>
    <row r="69" spans="1:11" ht="20.149999999999999" customHeight="1" x14ac:dyDescent="0.35">
      <c r="A69" s="1" t="e">
        <f>A26+1</f>
        <v>#REF!</v>
      </c>
      <c r="B69" s="34" t="s">
        <v>110</v>
      </c>
      <c r="C69" s="34" t="s">
        <v>111</v>
      </c>
      <c r="D69" s="34"/>
      <c r="E69" s="34"/>
      <c r="F69" s="55" t="s">
        <v>21</v>
      </c>
      <c r="G69" s="35" t="e">
        <f>#REF!</f>
        <v>#REF!</v>
      </c>
      <c r="I69" s="65" t="e">
        <f t="shared" si="5"/>
        <v>#REF!</v>
      </c>
      <c r="J69" s="65" t="e">
        <f t="shared" si="5"/>
        <v>#REF!</v>
      </c>
      <c r="K69" s="65" t="e">
        <f t="shared" si="5"/>
        <v>#REF!</v>
      </c>
    </row>
    <row r="70" spans="1:11" ht="20.149999999999999" customHeight="1" x14ac:dyDescent="0.35">
      <c r="A70" s="1" t="e">
        <f t="shared" ref="A70:A72" si="13">A69+1</f>
        <v>#REF!</v>
      </c>
      <c r="B70" s="34" t="s">
        <v>112</v>
      </c>
      <c r="C70" s="34" t="s">
        <v>113</v>
      </c>
      <c r="D70" s="34"/>
      <c r="E70" s="34"/>
      <c r="F70" s="55" t="s">
        <v>21</v>
      </c>
      <c r="G70" s="35" t="e">
        <f>#REF!</f>
        <v>#REF!</v>
      </c>
      <c r="I70" s="65" t="e">
        <f t="shared" si="5"/>
        <v>#REF!</v>
      </c>
      <c r="J70" s="65" t="e">
        <f t="shared" si="5"/>
        <v>#REF!</v>
      </c>
      <c r="K70" s="65" t="e">
        <f t="shared" si="5"/>
        <v>#REF!</v>
      </c>
    </row>
    <row r="71" spans="1:11" ht="20.149999999999999" customHeight="1" x14ac:dyDescent="0.35">
      <c r="A71" s="1" t="e">
        <f t="shared" si="13"/>
        <v>#REF!</v>
      </c>
      <c r="B71" s="34" t="s">
        <v>114</v>
      </c>
      <c r="C71" s="34" t="s">
        <v>115</v>
      </c>
      <c r="D71" s="34"/>
      <c r="E71" s="34"/>
      <c r="F71" s="55" t="s">
        <v>21</v>
      </c>
      <c r="G71" s="35" t="e">
        <f>#REF!</f>
        <v>#REF!</v>
      </c>
      <c r="I71" s="65" t="e">
        <f t="shared" si="5"/>
        <v>#REF!</v>
      </c>
      <c r="J71" s="65" t="e">
        <f t="shared" si="5"/>
        <v>#REF!</v>
      </c>
      <c r="K71" s="65" t="e">
        <f t="shared" si="5"/>
        <v>#REF!</v>
      </c>
    </row>
    <row r="72" spans="1:11" ht="20.149999999999999" customHeight="1" x14ac:dyDescent="0.35">
      <c r="A72" s="1" t="e">
        <f t="shared" si="13"/>
        <v>#REF!</v>
      </c>
      <c r="B72" s="34" t="s">
        <v>116</v>
      </c>
      <c r="C72" s="34" t="s">
        <v>117</v>
      </c>
      <c r="D72" s="34"/>
      <c r="E72" s="34"/>
      <c r="F72" s="55" t="s">
        <v>21</v>
      </c>
      <c r="G72" s="35" t="e">
        <f>#REF!</f>
        <v>#REF!</v>
      </c>
      <c r="I72" s="65" t="e">
        <f t="shared" si="5"/>
        <v>#REF!</v>
      </c>
      <c r="J72" s="65" t="e">
        <f t="shared" si="5"/>
        <v>#REF!</v>
      </c>
      <c r="K72" s="65" t="e">
        <f t="shared" si="5"/>
        <v>#REF!</v>
      </c>
    </row>
    <row r="73" spans="1:11" ht="20.149999999999999" customHeight="1" x14ac:dyDescent="0.35">
      <c r="A73" s="1" t="e">
        <f>#REF!+1</f>
        <v>#REF!</v>
      </c>
      <c r="B73" s="34" t="s">
        <v>118</v>
      </c>
      <c r="C73" s="34" t="s">
        <v>119</v>
      </c>
      <c r="D73" s="34"/>
      <c r="E73" s="34"/>
      <c r="F73" s="55" t="s">
        <v>21</v>
      </c>
      <c r="G73" s="35" t="e">
        <f>#REF!</f>
        <v>#REF!</v>
      </c>
      <c r="I73" s="65" t="e">
        <f t="shared" si="5"/>
        <v>#REF!</v>
      </c>
      <c r="J73" s="65" t="e">
        <f t="shared" si="5"/>
        <v>#REF!</v>
      </c>
      <c r="K73" s="65" t="e">
        <f t="shared" si="5"/>
        <v>#REF!</v>
      </c>
    </row>
    <row r="74" spans="1:11" ht="20.149999999999999" customHeight="1" x14ac:dyDescent="0.35">
      <c r="A74" s="1" t="e">
        <f t="shared" ref="A74:A76" si="14">A73+1</f>
        <v>#REF!</v>
      </c>
      <c r="B74" s="34" t="s">
        <v>120</v>
      </c>
      <c r="C74" s="34" t="s">
        <v>121</v>
      </c>
      <c r="D74" s="34"/>
      <c r="E74" s="34"/>
      <c r="F74" s="55" t="s">
        <v>21</v>
      </c>
      <c r="G74" s="35" t="e">
        <f>#REF!</f>
        <v>#REF!</v>
      </c>
      <c r="I74" s="65" t="e">
        <f t="shared" si="5"/>
        <v>#REF!</v>
      </c>
      <c r="J74" s="65" t="e">
        <f t="shared" si="5"/>
        <v>#REF!</v>
      </c>
      <c r="K74" s="65" t="e">
        <f t="shared" si="5"/>
        <v>#REF!</v>
      </c>
    </row>
    <row r="75" spans="1:11" ht="20.149999999999999" customHeight="1" x14ac:dyDescent="0.35">
      <c r="A75" s="1" t="e">
        <f t="shared" si="14"/>
        <v>#REF!</v>
      </c>
      <c r="B75" s="34" t="s">
        <v>122</v>
      </c>
      <c r="C75" s="34" t="s">
        <v>123</v>
      </c>
      <c r="D75" s="34"/>
      <c r="E75" s="34"/>
      <c r="F75" s="55" t="s">
        <v>21</v>
      </c>
      <c r="G75" s="35" t="e">
        <f>#REF!</f>
        <v>#REF!</v>
      </c>
      <c r="I75" s="65" t="e">
        <f t="shared" si="5"/>
        <v>#REF!</v>
      </c>
      <c r="J75" s="65" t="e">
        <f t="shared" si="5"/>
        <v>#REF!</v>
      </c>
      <c r="K75" s="65" t="e">
        <f t="shared" si="5"/>
        <v>#REF!</v>
      </c>
    </row>
    <row r="76" spans="1:11" ht="20.149999999999999" customHeight="1" x14ac:dyDescent="0.35">
      <c r="A76" s="1" t="e">
        <f t="shared" si="14"/>
        <v>#REF!</v>
      </c>
      <c r="B76" s="34"/>
      <c r="C76" s="34"/>
      <c r="D76" s="34"/>
      <c r="E76" s="34"/>
      <c r="F76" s="55"/>
      <c r="G76" s="35" t="e">
        <f>#REF!</f>
        <v>#REF!</v>
      </c>
      <c r="I76" s="65" t="e">
        <f t="shared" si="5"/>
        <v>#REF!</v>
      </c>
      <c r="J76" s="65" t="e">
        <f t="shared" si="5"/>
        <v>#REF!</v>
      </c>
      <c r="K76" s="65" t="e">
        <f t="shared" si="5"/>
        <v>#REF!</v>
      </c>
    </row>
    <row r="77" spans="1:11" ht="20.149999999999999" customHeight="1" x14ac:dyDescent="0.35">
      <c r="A77" s="1">
        <f>A34+1</f>
        <v>3</v>
      </c>
      <c r="B77" s="34"/>
      <c r="C77" s="34"/>
      <c r="D77" s="34"/>
      <c r="E77" s="34"/>
      <c r="F77" s="55"/>
      <c r="G77" s="35" t="e">
        <f>#REF!</f>
        <v>#REF!</v>
      </c>
      <c r="I77" s="65" t="e">
        <f t="shared" si="5"/>
        <v>#REF!</v>
      </c>
      <c r="J77" s="65" t="e">
        <f t="shared" si="5"/>
        <v>#REF!</v>
      </c>
      <c r="K77" s="65" t="e">
        <f t="shared" si="5"/>
        <v>#REF!</v>
      </c>
    </row>
    <row r="78" spans="1:11" s="18" customFormat="1" ht="20.149999999999999" customHeight="1" x14ac:dyDescent="0.35">
      <c r="B78" s="38" t="s">
        <v>124</v>
      </c>
      <c r="C78" s="50"/>
      <c r="D78" s="50"/>
      <c r="E78" s="50"/>
      <c r="F78" s="51"/>
      <c r="G78" s="52" t="e">
        <f>#REF!</f>
        <v>#REF!</v>
      </c>
      <c r="H78" s="33"/>
      <c r="I78" s="65"/>
      <c r="J78" s="65"/>
      <c r="K78" s="65"/>
    </row>
    <row r="79" spans="1:11" ht="20.149999999999999" customHeight="1" x14ac:dyDescent="0.35">
      <c r="A79" s="1">
        <v>1</v>
      </c>
      <c r="B79" s="34" t="s">
        <v>125</v>
      </c>
      <c r="C79" s="34" t="s">
        <v>126</v>
      </c>
      <c r="D79" s="34"/>
      <c r="E79" s="34"/>
      <c r="F79" s="55" t="s">
        <v>42</v>
      </c>
      <c r="G79" s="35" t="e">
        <f>#REF!</f>
        <v>#REF!</v>
      </c>
      <c r="I79" s="65" t="e">
        <f t="shared" ref="I79:K89" si="15">ROUNDUP($G79*100/$G$6*I$11*$K$6,0)</f>
        <v>#REF!</v>
      </c>
      <c r="J79" s="65" t="e">
        <f t="shared" si="15"/>
        <v>#REF!</v>
      </c>
      <c r="K79" s="65" t="e">
        <f t="shared" si="15"/>
        <v>#REF!</v>
      </c>
    </row>
    <row r="80" spans="1:11" ht="20.149999999999999" customHeight="1" x14ac:dyDescent="0.35">
      <c r="A80" s="1" t="e">
        <f>#REF!+1</f>
        <v>#REF!</v>
      </c>
      <c r="B80" s="34" t="s">
        <v>127</v>
      </c>
      <c r="C80" s="34" t="s">
        <v>128</v>
      </c>
      <c r="D80" s="34"/>
      <c r="E80" s="34"/>
      <c r="F80" s="55" t="s">
        <v>42</v>
      </c>
      <c r="G80" s="35" t="e">
        <f>#REF!</f>
        <v>#REF!</v>
      </c>
      <c r="I80" s="65" t="e">
        <f t="shared" si="15"/>
        <v>#REF!</v>
      </c>
      <c r="J80" s="65" t="e">
        <f t="shared" si="15"/>
        <v>#REF!</v>
      </c>
      <c r="K80" s="65" t="e">
        <f t="shared" si="15"/>
        <v>#REF!</v>
      </c>
    </row>
    <row r="81" spans="1:11" ht="20.149999999999999" customHeight="1" x14ac:dyDescent="0.35">
      <c r="A81" s="1" t="e">
        <f t="shared" ref="A81:A83" si="16">A80+1</f>
        <v>#REF!</v>
      </c>
      <c r="B81" s="34" t="s">
        <v>129</v>
      </c>
      <c r="C81" s="34" t="s">
        <v>130</v>
      </c>
      <c r="D81" s="34"/>
      <c r="E81" s="34"/>
      <c r="F81" s="55" t="s">
        <v>42</v>
      </c>
      <c r="G81" s="35" t="e">
        <f>#REF!</f>
        <v>#REF!</v>
      </c>
      <c r="I81" s="65" t="e">
        <f t="shared" si="15"/>
        <v>#REF!</v>
      </c>
      <c r="J81" s="65" t="e">
        <f t="shared" si="15"/>
        <v>#REF!</v>
      </c>
      <c r="K81" s="65" t="e">
        <f t="shared" si="15"/>
        <v>#REF!</v>
      </c>
    </row>
    <row r="82" spans="1:11" ht="20.149999999999999" customHeight="1" x14ac:dyDescent="0.35">
      <c r="A82" s="1" t="e">
        <f t="shared" si="16"/>
        <v>#REF!</v>
      </c>
      <c r="B82" s="34" t="s">
        <v>131</v>
      </c>
      <c r="C82" s="34" t="s">
        <v>132</v>
      </c>
      <c r="D82" s="34"/>
      <c r="E82" s="34"/>
      <c r="F82" s="55" t="s">
        <v>21</v>
      </c>
      <c r="G82" s="35" t="e">
        <f>#REF!</f>
        <v>#REF!</v>
      </c>
      <c r="I82" s="65" t="e">
        <f t="shared" si="15"/>
        <v>#REF!</v>
      </c>
      <c r="J82" s="65" t="e">
        <f t="shared" si="15"/>
        <v>#REF!</v>
      </c>
      <c r="K82" s="65" t="e">
        <f t="shared" si="15"/>
        <v>#REF!</v>
      </c>
    </row>
    <row r="83" spans="1:11" ht="20.149999999999999" customHeight="1" x14ac:dyDescent="0.35">
      <c r="A83" s="1" t="e">
        <f t="shared" si="16"/>
        <v>#REF!</v>
      </c>
      <c r="B83" s="34" t="s">
        <v>133</v>
      </c>
      <c r="C83" s="34" t="s">
        <v>134</v>
      </c>
      <c r="D83" s="54"/>
      <c r="E83" s="54"/>
      <c r="F83" s="55" t="s">
        <v>21</v>
      </c>
      <c r="G83" s="35" t="e">
        <f>#REF!</f>
        <v>#REF!</v>
      </c>
      <c r="I83" s="65" t="e">
        <f t="shared" si="15"/>
        <v>#REF!</v>
      </c>
      <c r="J83" s="65" t="e">
        <f t="shared" si="15"/>
        <v>#REF!</v>
      </c>
      <c r="K83" s="65" t="e">
        <f t="shared" si="15"/>
        <v>#REF!</v>
      </c>
    </row>
    <row r="84" spans="1:11" ht="20.149999999999999" customHeight="1" x14ac:dyDescent="0.35">
      <c r="A84" s="1">
        <f>A79+1</f>
        <v>2</v>
      </c>
      <c r="B84" s="34" t="s">
        <v>135</v>
      </c>
      <c r="C84" s="34" t="s">
        <v>136</v>
      </c>
      <c r="D84" s="34"/>
      <c r="E84" s="34"/>
      <c r="F84" s="55" t="s">
        <v>21</v>
      </c>
      <c r="G84" s="35" t="e">
        <f>#REF!</f>
        <v>#REF!</v>
      </c>
      <c r="I84" s="65" t="e">
        <f t="shared" si="15"/>
        <v>#REF!</v>
      </c>
      <c r="J84" s="65" t="e">
        <f t="shared" si="15"/>
        <v>#REF!</v>
      </c>
      <c r="K84" s="65" t="e">
        <f t="shared" si="15"/>
        <v>#REF!</v>
      </c>
    </row>
    <row r="85" spans="1:11" ht="20.149999999999999" customHeight="1" x14ac:dyDescent="0.35">
      <c r="A85" s="1">
        <f t="shared" ref="A85:A94" si="17">A84+1</f>
        <v>3</v>
      </c>
      <c r="B85" s="34" t="s">
        <v>137</v>
      </c>
      <c r="C85" s="34" t="s">
        <v>138</v>
      </c>
      <c r="D85" s="34"/>
      <c r="E85" s="34"/>
      <c r="F85" s="55" t="s">
        <v>32</v>
      </c>
      <c r="G85" s="35" t="e">
        <f>#REF!</f>
        <v>#REF!</v>
      </c>
      <c r="I85" s="65" t="e">
        <f t="shared" si="15"/>
        <v>#REF!</v>
      </c>
      <c r="J85" s="65" t="e">
        <f t="shared" si="15"/>
        <v>#REF!</v>
      </c>
      <c r="K85" s="65" t="e">
        <f t="shared" si="15"/>
        <v>#REF!</v>
      </c>
    </row>
    <row r="86" spans="1:11" ht="20.149999999999999" customHeight="1" x14ac:dyDescent="0.35">
      <c r="A86" s="1">
        <f t="shared" si="17"/>
        <v>4</v>
      </c>
      <c r="B86" s="34" t="s">
        <v>139</v>
      </c>
      <c r="C86" s="34" t="s">
        <v>140</v>
      </c>
      <c r="D86" s="34"/>
      <c r="E86" s="34"/>
      <c r="F86" s="55" t="s">
        <v>21</v>
      </c>
      <c r="G86" s="35" t="e">
        <f>#REF!</f>
        <v>#REF!</v>
      </c>
      <c r="I86" s="65" t="e">
        <f t="shared" si="15"/>
        <v>#REF!</v>
      </c>
      <c r="J86" s="65" t="e">
        <f t="shared" si="15"/>
        <v>#REF!</v>
      </c>
      <c r="K86" s="65" t="e">
        <f t="shared" si="15"/>
        <v>#REF!</v>
      </c>
    </row>
    <row r="87" spans="1:11" ht="20.149999999999999" customHeight="1" x14ac:dyDescent="0.35">
      <c r="A87" s="1">
        <f t="shared" si="17"/>
        <v>5</v>
      </c>
      <c r="B87" s="34" t="s">
        <v>141</v>
      </c>
      <c r="C87" s="34" t="s">
        <v>142</v>
      </c>
      <c r="D87" s="54"/>
      <c r="E87" s="54"/>
      <c r="F87" s="55" t="s">
        <v>21</v>
      </c>
      <c r="G87" s="35" t="e">
        <f>#REF!</f>
        <v>#REF!</v>
      </c>
      <c r="I87" s="65" t="e">
        <f t="shared" si="15"/>
        <v>#REF!</v>
      </c>
      <c r="J87" s="65" t="e">
        <f t="shared" si="15"/>
        <v>#REF!</v>
      </c>
      <c r="K87" s="65" t="e">
        <f t="shared" si="15"/>
        <v>#REF!</v>
      </c>
    </row>
    <row r="88" spans="1:11" ht="20.149999999999999" customHeight="1" x14ac:dyDescent="0.35">
      <c r="A88" s="1">
        <f>A86+1</f>
        <v>5</v>
      </c>
      <c r="B88" s="34"/>
      <c r="C88" s="34"/>
      <c r="D88" s="34"/>
      <c r="E88" s="34"/>
      <c r="F88" s="55"/>
      <c r="G88" s="35" t="e">
        <f>#REF!</f>
        <v>#REF!</v>
      </c>
      <c r="I88" s="65" t="e">
        <f t="shared" si="15"/>
        <v>#REF!</v>
      </c>
      <c r="J88" s="65" t="e">
        <f t="shared" si="15"/>
        <v>#REF!</v>
      </c>
      <c r="K88" s="65" t="e">
        <f t="shared" si="15"/>
        <v>#REF!</v>
      </c>
    </row>
    <row r="89" spans="1:11" ht="20.149999999999999" customHeight="1" x14ac:dyDescent="0.35">
      <c r="A89" s="1">
        <f>A87+1</f>
        <v>6</v>
      </c>
      <c r="B89" s="34"/>
      <c r="C89" s="34"/>
      <c r="D89" s="34"/>
      <c r="E89" s="34"/>
      <c r="F89" s="55"/>
      <c r="G89" s="35" t="e">
        <f>#REF!</f>
        <v>#REF!</v>
      </c>
      <c r="I89" s="65" t="e">
        <f t="shared" si="15"/>
        <v>#REF!</v>
      </c>
      <c r="J89" s="65" t="e">
        <f t="shared" si="15"/>
        <v>#REF!</v>
      </c>
      <c r="K89" s="65" t="e">
        <f t="shared" si="15"/>
        <v>#REF!</v>
      </c>
    </row>
    <row r="90" spans="1:11" ht="20.149999999999999" customHeight="1" x14ac:dyDescent="0.35">
      <c r="B90" s="38" t="s">
        <v>152</v>
      </c>
      <c r="C90" s="50"/>
      <c r="D90" s="50"/>
      <c r="E90" s="50"/>
      <c r="F90" s="51"/>
      <c r="G90" s="52" t="e">
        <f>#REF!</f>
        <v>#REF!</v>
      </c>
      <c r="I90" s="65"/>
      <c r="J90" s="65"/>
      <c r="K90" s="65"/>
    </row>
    <row r="91" spans="1:11" ht="20.149999999999999" customHeight="1" x14ac:dyDescent="0.35">
      <c r="A91" s="1">
        <f>A89+1</f>
        <v>7</v>
      </c>
      <c r="B91" s="34" t="s">
        <v>144</v>
      </c>
      <c r="C91" s="34" t="s">
        <v>145</v>
      </c>
      <c r="D91" s="54"/>
      <c r="E91" s="54"/>
      <c r="F91" s="55" t="s">
        <v>32</v>
      </c>
      <c r="G91" s="35" t="e">
        <f>#REF!</f>
        <v>#REF!</v>
      </c>
      <c r="I91" s="65" t="e">
        <f t="shared" ref="I91:K96" si="18">ROUNDUP($G91*100/$G$6*I$11*$K$6,0)</f>
        <v>#REF!</v>
      </c>
      <c r="J91" s="65" t="e">
        <f t="shared" si="18"/>
        <v>#REF!</v>
      </c>
      <c r="K91" s="65" t="e">
        <f t="shared" si="18"/>
        <v>#REF!</v>
      </c>
    </row>
    <row r="92" spans="1:11" ht="20.149999999999999" customHeight="1" x14ac:dyDescent="0.35">
      <c r="A92" s="1">
        <f t="shared" si="17"/>
        <v>8</v>
      </c>
      <c r="B92" s="34" t="s">
        <v>146</v>
      </c>
      <c r="C92" s="34" t="s">
        <v>147</v>
      </c>
      <c r="D92" s="34"/>
      <c r="E92" s="34"/>
      <c r="F92" s="55" t="s">
        <v>32</v>
      </c>
      <c r="G92" s="35" t="e">
        <f>#REF!</f>
        <v>#REF!</v>
      </c>
      <c r="I92" s="65" t="e">
        <f t="shared" si="18"/>
        <v>#REF!</v>
      </c>
      <c r="J92" s="65" t="e">
        <f t="shared" si="18"/>
        <v>#REF!</v>
      </c>
      <c r="K92" s="65" t="e">
        <f t="shared" si="18"/>
        <v>#REF!</v>
      </c>
    </row>
    <row r="93" spans="1:11" ht="20.149999999999999" customHeight="1" x14ac:dyDescent="0.35">
      <c r="A93" s="1">
        <f t="shared" si="17"/>
        <v>9</v>
      </c>
      <c r="B93" s="34" t="s">
        <v>148</v>
      </c>
      <c r="C93" s="34" t="s">
        <v>149</v>
      </c>
      <c r="D93" s="34"/>
      <c r="E93" s="34"/>
      <c r="F93" s="55" t="s">
        <v>21</v>
      </c>
      <c r="G93" s="35" t="e">
        <f>#REF!</f>
        <v>#REF!</v>
      </c>
      <c r="I93" s="65" t="e">
        <f t="shared" si="18"/>
        <v>#REF!</v>
      </c>
      <c r="J93" s="65" t="e">
        <f t="shared" si="18"/>
        <v>#REF!</v>
      </c>
      <c r="K93" s="65" t="e">
        <f t="shared" si="18"/>
        <v>#REF!</v>
      </c>
    </row>
    <row r="94" spans="1:11" ht="20.149999999999999" customHeight="1" x14ac:dyDescent="0.35">
      <c r="A94" s="1">
        <f t="shared" si="17"/>
        <v>10</v>
      </c>
      <c r="B94" s="34" t="s">
        <v>150</v>
      </c>
      <c r="C94" s="34" t="s">
        <v>151</v>
      </c>
      <c r="D94" s="34"/>
      <c r="E94" s="34"/>
      <c r="F94" s="55" t="s">
        <v>37</v>
      </c>
      <c r="G94" s="35" t="e">
        <f>#REF!</f>
        <v>#REF!</v>
      </c>
      <c r="I94" s="65" t="e">
        <f t="shared" si="18"/>
        <v>#REF!</v>
      </c>
      <c r="J94" s="65" t="e">
        <f t="shared" si="18"/>
        <v>#REF!</v>
      </c>
      <c r="K94" s="65" t="e">
        <f t="shared" si="18"/>
        <v>#REF!</v>
      </c>
    </row>
    <row r="95" spans="1:11" ht="20.149999999999999" customHeight="1" x14ac:dyDescent="0.35">
      <c r="B95" s="34"/>
      <c r="C95" s="34"/>
      <c r="D95" s="34"/>
      <c r="E95" s="34"/>
      <c r="F95" s="55"/>
      <c r="G95" s="35" t="e">
        <f>#REF!</f>
        <v>#REF!</v>
      </c>
      <c r="I95" s="65" t="e">
        <f t="shared" si="18"/>
        <v>#REF!</v>
      </c>
      <c r="J95" s="65" t="e">
        <f t="shared" si="18"/>
        <v>#REF!</v>
      </c>
      <c r="K95" s="65" t="e">
        <f t="shared" si="18"/>
        <v>#REF!</v>
      </c>
    </row>
    <row r="96" spans="1:11" ht="20.149999999999999" customHeight="1" x14ac:dyDescent="0.35">
      <c r="B96" s="34"/>
      <c r="C96" s="34"/>
      <c r="D96" s="34"/>
      <c r="E96" s="34"/>
      <c r="F96" s="55"/>
      <c r="G96" s="35" t="e">
        <f>#REF!</f>
        <v>#REF!</v>
      </c>
      <c r="I96" s="65" t="e">
        <f t="shared" si="18"/>
        <v>#REF!</v>
      </c>
      <c r="J96" s="65" t="e">
        <f t="shared" si="18"/>
        <v>#REF!</v>
      </c>
      <c r="K96" s="65" t="e">
        <f t="shared" si="18"/>
        <v>#REF!</v>
      </c>
    </row>
    <row r="97" spans="1:11" s="18" customFormat="1" ht="20.149999999999999" customHeight="1" x14ac:dyDescent="0.35">
      <c r="B97" s="38" t="s">
        <v>153</v>
      </c>
      <c r="C97" s="50"/>
      <c r="D97" s="50"/>
      <c r="E97" s="50"/>
      <c r="F97" s="51"/>
      <c r="G97" s="52" t="e">
        <f>#REF!</f>
        <v>#REF!</v>
      </c>
      <c r="H97" s="33"/>
      <c r="I97" s="65"/>
      <c r="J97" s="65"/>
      <c r="K97" s="65"/>
    </row>
    <row r="98" spans="1:11" ht="20.149999999999999" customHeight="1" x14ac:dyDescent="0.35">
      <c r="A98" s="1">
        <v>1</v>
      </c>
      <c r="B98" s="34" t="s">
        <v>154</v>
      </c>
      <c r="C98" s="34" t="s">
        <v>155</v>
      </c>
      <c r="D98" s="34"/>
      <c r="E98" s="34"/>
      <c r="F98" s="55" t="s">
        <v>32</v>
      </c>
      <c r="G98" s="35" t="e">
        <f>#REF!</f>
        <v>#REF!</v>
      </c>
      <c r="I98" s="65" t="e">
        <f t="shared" ref="I98:K104" si="19">ROUNDUP($G98*100/$G$6*I$11*$K$6,0)</f>
        <v>#REF!</v>
      </c>
      <c r="J98" s="65" t="e">
        <f t="shared" si="19"/>
        <v>#REF!</v>
      </c>
      <c r="K98" s="65" t="e">
        <f t="shared" si="19"/>
        <v>#REF!</v>
      </c>
    </row>
    <row r="99" spans="1:11" ht="20.149999999999999" customHeight="1" x14ac:dyDescent="0.35">
      <c r="A99" s="1">
        <f>A98+1</f>
        <v>2</v>
      </c>
      <c r="B99" s="34" t="s">
        <v>156</v>
      </c>
      <c r="C99" s="34" t="s">
        <v>157</v>
      </c>
      <c r="D99" s="34"/>
      <c r="E99" s="34"/>
      <c r="F99" s="55" t="s">
        <v>158</v>
      </c>
      <c r="G99" s="35" t="e">
        <f>#REF!</f>
        <v>#REF!</v>
      </c>
      <c r="I99" s="65" t="e">
        <f t="shared" si="19"/>
        <v>#REF!</v>
      </c>
      <c r="J99" s="65" t="e">
        <f t="shared" si="19"/>
        <v>#REF!</v>
      </c>
      <c r="K99" s="65" t="e">
        <f t="shared" si="19"/>
        <v>#REF!</v>
      </c>
    </row>
    <row r="100" spans="1:11" ht="20.149999999999999" customHeight="1" x14ac:dyDescent="0.35">
      <c r="A100" s="1">
        <f t="shared" ref="A100:A102" si="20">A99+1</f>
        <v>3</v>
      </c>
      <c r="B100" s="34" t="s">
        <v>159</v>
      </c>
      <c r="C100" s="34" t="s">
        <v>160</v>
      </c>
      <c r="D100" s="34"/>
      <c r="E100" s="34"/>
      <c r="F100" s="55" t="s">
        <v>158</v>
      </c>
      <c r="G100" s="35" t="e">
        <f>#REF!</f>
        <v>#REF!</v>
      </c>
      <c r="I100" s="65" t="e">
        <f t="shared" si="19"/>
        <v>#REF!</v>
      </c>
      <c r="J100" s="65" t="e">
        <f t="shared" si="19"/>
        <v>#REF!</v>
      </c>
      <c r="K100" s="65" t="e">
        <f t="shared" si="19"/>
        <v>#REF!</v>
      </c>
    </row>
    <row r="101" spans="1:11" ht="20.149999999999999" customHeight="1" x14ac:dyDescent="0.35">
      <c r="A101" s="1">
        <f t="shared" si="20"/>
        <v>4</v>
      </c>
      <c r="B101" s="34" t="s">
        <v>161</v>
      </c>
      <c r="C101" s="34" t="s">
        <v>162</v>
      </c>
      <c r="D101" s="34"/>
      <c r="E101" s="34"/>
      <c r="F101" s="55" t="s">
        <v>21</v>
      </c>
      <c r="G101" s="35" t="e">
        <f>#REF!</f>
        <v>#REF!</v>
      </c>
      <c r="I101" s="65" t="e">
        <f t="shared" si="19"/>
        <v>#REF!</v>
      </c>
      <c r="J101" s="65" t="e">
        <f t="shared" si="19"/>
        <v>#REF!</v>
      </c>
      <c r="K101" s="65" t="e">
        <f t="shared" si="19"/>
        <v>#REF!</v>
      </c>
    </row>
    <row r="102" spans="1:11" ht="20.149999999999999" customHeight="1" x14ac:dyDescent="0.35">
      <c r="A102" s="1">
        <f t="shared" si="20"/>
        <v>5</v>
      </c>
      <c r="B102" s="34" t="s">
        <v>163</v>
      </c>
      <c r="C102" s="34" t="s">
        <v>164</v>
      </c>
      <c r="D102" s="34"/>
      <c r="E102" s="34"/>
      <c r="F102" s="55" t="s">
        <v>21</v>
      </c>
      <c r="G102" s="35" t="e">
        <f>#REF!</f>
        <v>#REF!</v>
      </c>
      <c r="I102" s="65" t="e">
        <f t="shared" si="19"/>
        <v>#REF!</v>
      </c>
      <c r="J102" s="65" t="e">
        <f t="shared" si="19"/>
        <v>#REF!</v>
      </c>
      <c r="K102" s="65" t="e">
        <f t="shared" si="19"/>
        <v>#REF!</v>
      </c>
    </row>
    <row r="103" spans="1:11" ht="20.149999999999999" customHeight="1" x14ac:dyDescent="0.35">
      <c r="B103" s="34"/>
      <c r="C103" s="34"/>
      <c r="D103" s="34"/>
      <c r="E103" s="34"/>
      <c r="F103" s="55"/>
      <c r="G103" s="35" t="e">
        <f>#REF!</f>
        <v>#REF!</v>
      </c>
      <c r="I103" s="65" t="e">
        <f t="shared" si="19"/>
        <v>#REF!</v>
      </c>
      <c r="J103" s="65" t="e">
        <f t="shared" si="19"/>
        <v>#REF!</v>
      </c>
      <c r="K103" s="65" t="e">
        <f t="shared" si="19"/>
        <v>#REF!</v>
      </c>
    </row>
    <row r="104" spans="1:11" ht="20.149999999999999" customHeight="1" x14ac:dyDescent="0.35">
      <c r="B104" s="34"/>
      <c r="C104" s="34"/>
      <c r="D104" s="34"/>
      <c r="E104" s="34"/>
      <c r="F104" s="55"/>
      <c r="G104" s="35" t="e">
        <f>#REF!</f>
        <v>#REF!</v>
      </c>
      <c r="I104" s="65" t="e">
        <f t="shared" si="19"/>
        <v>#REF!</v>
      </c>
      <c r="J104" s="65" t="e">
        <f t="shared" si="19"/>
        <v>#REF!</v>
      </c>
      <c r="K104" s="65" t="e">
        <f t="shared" si="19"/>
        <v>#REF!</v>
      </c>
    </row>
    <row r="105" spans="1:11" s="18" customFormat="1" ht="20.149999999999999" customHeight="1" x14ac:dyDescent="0.35">
      <c r="B105" s="38" t="s">
        <v>165</v>
      </c>
      <c r="C105" s="50"/>
      <c r="D105" s="50"/>
      <c r="E105" s="50"/>
      <c r="F105" s="51"/>
      <c r="G105" s="52" t="e">
        <f>#REF!</f>
        <v>#REF!</v>
      </c>
      <c r="H105" s="33"/>
      <c r="I105" s="65"/>
      <c r="J105" s="65"/>
      <c r="K105" s="65"/>
    </row>
    <row r="106" spans="1:11" ht="20.149999999999999" customHeight="1" x14ac:dyDescent="0.35">
      <c r="A106" s="1">
        <v>1</v>
      </c>
      <c r="B106" s="34" t="s">
        <v>166</v>
      </c>
      <c r="C106" s="34" t="s">
        <v>167</v>
      </c>
      <c r="D106" s="34"/>
      <c r="E106" s="34"/>
      <c r="F106" s="55" t="s">
        <v>32</v>
      </c>
      <c r="G106" s="35" t="e">
        <f>#REF!</f>
        <v>#REF!</v>
      </c>
      <c r="I106" s="65" t="e">
        <f t="shared" ref="I106:K137" si="21">ROUNDUP($G106*100/$G$6*I$11*$K$6,0)</f>
        <v>#REF!</v>
      </c>
      <c r="J106" s="65" t="e">
        <f t="shared" si="21"/>
        <v>#REF!</v>
      </c>
      <c r="K106" s="65" t="e">
        <f t="shared" si="21"/>
        <v>#REF!</v>
      </c>
    </row>
    <row r="107" spans="1:11" ht="20.149999999999999" customHeight="1" x14ac:dyDescent="0.35">
      <c r="A107" s="1">
        <f>A61+1</f>
        <v>4</v>
      </c>
      <c r="B107" s="34" t="s">
        <v>168</v>
      </c>
      <c r="C107" s="34" t="s">
        <v>169</v>
      </c>
      <c r="D107" s="34"/>
      <c r="E107" s="34"/>
      <c r="F107" s="55" t="s">
        <v>21</v>
      </c>
      <c r="G107" s="35" t="e">
        <f>#REF!</f>
        <v>#REF!</v>
      </c>
      <c r="I107" s="65" t="e">
        <f t="shared" si="21"/>
        <v>#REF!</v>
      </c>
      <c r="J107" s="65" t="e">
        <f t="shared" si="21"/>
        <v>#REF!</v>
      </c>
      <c r="K107" s="65" t="e">
        <f t="shared" si="21"/>
        <v>#REF!</v>
      </c>
    </row>
    <row r="108" spans="1:11" ht="20.149999999999999" customHeight="1" x14ac:dyDescent="0.35">
      <c r="A108" s="1">
        <f t="shared" ref="A108:A114" si="22">A107+1</f>
        <v>5</v>
      </c>
      <c r="B108" s="34" t="s">
        <v>170</v>
      </c>
      <c r="C108" s="34" t="s">
        <v>171</v>
      </c>
      <c r="D108" s="34"/>
      <c r="E108" s="34"/>
      <c r="F108" s="55" t="s">
        <v>21</v>
      </c>
      <c r="G108" s="35" t="e">
        <f>#REF!</f>
        <v>#REF!</v>
      </c>
      <c r="I108" s="65" t="e">
        <f t="shared" si="21"/>
        <v>#REF!</v>
      </c>
      <c r="J108" s="65" t="e">
        <f t="shared" si="21"/>
        <v>#REF!</v>
      </c>
      <c r="K108" s="65" t="e">
        <f t="shared" si="21"/>
        <v>#REF!</v>
      </c>
    </row>
    <row r="109" spans="1:11" ht="20.149999999999999" customHeight="1" x14ac:dyDescent="0.35">
      <c r="A109" s="1">
        <f t="shared" si="22"/>
        <v>6</v>
      </c>
      <c r="B109" s="34" t="s">
        <v>172</v>
      </c>
      <c r="C109" s="34" t="s">
        <v>173</v>
      </c>
      <c r="D109" s="34"/>
      <c r="E109" s="34"/>
      <c r="F109" s="55" t="s">
        <v>21</v>
      </c>
      <c r="G109" s="35" t="e">
        <f>#REF!</f>
        <v>#REF!</v>
      </c>
      <c r="I109" s="65" t="e">
        <f t="shared" si="21"/>
        <v>#REF!</v>
      </c>
      <c r="J109" s="65" t="e">
        <f t="shared" si="21"/>
        <v>#REF!</v>
      </c>
      <c r="K109" s="65" t="e">
        <f t="shared" si="21"/>
        <v>#REF!</v>
      </c>
    </row>
    <row r="110" spans="1:11" ht="20.149999999999999" customHeight="1" x14ac:dyDescent="0.35">
      <c r="A110" s="1">
        <f t="shared" si="22"/>
        <v>7</v>
      </c>
      <c r="B110" s="34" t="s">
        <v>174</v>
      </c>
      <c r="C110" s="34" t="s">
        <v>175</v>
      </c>
      <c r="D110" s="34"/>
      <c r="E110" s="34"/>
      <c r="F110" s="55" t="s">
        <v>21</v>
      </c>
      <c r="G110" s="35" t="e">
        <f>#REF!</f>
        <v>#REF!</v>
      </c>
      <c r="I110" s="65" t="e">
        <f t="shared" si="21"/>
        <v>#REF!</v>
      </c>
      <c r="J110" s="65" t="e">
        <f t="shared" si="21"/>
        <v>#REF!</v>
      </c>
      <c r="K110" s="65" t="e">
        <f t="shared" si="21"/>
        <v>#REF!</v>
      </c>
    </row>
    <row r="111" spans="1:11" ht="20.149999999999999" customHeight="1" x14ac:dyDescent="0.35">
      <c r="A111" s="1">
        <f t="shared" si="22"/>
        <v>8</v>
      </c>
      <c r="B111" s="34" t="s">
        <v>176</v>
      </c>
      <c r="C111" s="34" t="s">
        <v>177</v>
      </c>
      <c r="D111" s="34"/>
      <c r="E111" s="34"/>
      <c r="F111" s="55" t="s">
        <v>21</v>
      </c>
      <c r="G111" s="35" t="e">
        <f>#REF!</f>
        <v>#REF!</v>
      </c>
      <c r="I111" s="65" t="e">
        <f t="shared" si="21"/>
        <v>#REF!</v>
      </c>
      <c r="J111" s="65" t="e">
        <f t="shared" si="21"/>
        <v>#REF!</v>
      </c>
      <c r="K111" s="65" t="e">
        <f t="shared" si="21"/>
        <v>#REF!</v>
      </c>
    </row>
    <row r="112" spans="1:11" ht="20.149999999999999" customHeight="1" x14ac:dyDescent="0.35">
      <c r="A112" s="1">
        <f t="shared" si="22"/>
        <v>9</v>
      </c>
      <c r="B112" s="34" t="s">
        <v>178</v>
      </c>
      <c r="C112" s="34" t="s">
        <v>179</v>
      </c>
      <c r="D112" s="34"/>
      <c r="E112" s="34"/>
      <c r="F112" s="55" t="s">
        <v>32</v>
      </c>
      <c r="G112" s="35" t="e">
        <f>#REF!</f>
        <v>#REF!</v>
      </c>
      <c r="I112" s="65" t="e">
        <f t="shared" si="21"/>
        <v>#REF!</v>
      </c>
      <c r="J112" s="65" t="e">
        <f t="shared" si="21"/>
        <v>#REF!</v>
      </c>
      <c r="K112" s="65" t="e">
        <f t="shared" si="21"/>
        <v>#REF!</v>
      </c>
    </row>
    <row r="113" spans="1:11" ht="20.149999999999999" customHeight="1" x14ac:dyDescent="0.35">
      <c r="A113" s="1">
        <f t="shared" si="22"/>
        <v>10</v>
      </c>
      <c r="B113" s="34" t="s">
        <v>180</v>
      </c>
      <c r="C113" s="34" t="s">
        <v>181</v>
      </c>
      <c r="D113" s="34"/>
      <c r="E113" s="34"/>
      <c r="F113" s="55" t="s">
        <v>32</v>
      </c>
      <c r="G113" s="35" t="e">
        <f>#REF!</f>
        <v>#REF!</v>
      </c>
      <c r="I113" s="65" t="e">
        <f t="shared" si="21"/>
        <v>#REF!</v>
      </c>
      <c r="J113" s="65" t="e">
        <f t="shared" si="21"/>
        <v>#REF!</v>
      </c>
      <c r="K113" s="65" t="e">
        <f t="shared" si="21"/>
        <v>#REF!</v>
      </c>
    </row>
    <row r="114" spans="1:11" ht="20.149999999999999" customHeight="1" x14ac:dyDescent="0.35">
      <c r="A114" s="1">
        <f t="shared" si="22"/>
        <v>11</v>
      </c>
      <c r="B114" s="34" t="s">
        <v>182</v>
      </c>
      <c r="C114" s="34" t="s">
        <v>183</v>
      </c>
      <c r="D114" s="34"/>
      <c r="E114" s="34"/>
      <c r="F114" s="55" t="s">
        <v>21</v>
      </c>
      <c r="G114" s="35" t="e">
        <f>#REF!</f>
        <v>#REF!</v>
      </c>
      <c r="I114" s="65" t="e">
        <f t="shared" si="21"/>
        <v>#REF!</v>
      </c>
      <c r="J114" s="65" t="e">
        <f t="shared" si="21"/>
        <v>#REF!</v>
      </c>
      <c r="K114" s="65" t="e">
        <f t="shared" si="21"/>
        <v>#REF!</v>
      </c>
    </row>
    <row r="115" spans="1:11" ht="20.149999999999999" customHeight="1" x14ac:dyDescent="0.35">
      <c r="B115" s="34" t="s">
        <v>184</v>
      </c>
      <c r="C115" s="34" t="s">
        <v>185</v>
      </c>
      <c r="D115" s="34"/>
      <c r="E115" s="34"/>
      <c r="F115" s="55" t="s">
        <v>21</v>
      </c>
      <c r="G115" s="35" t="e">
        <f>#REF!</f>
        <v>#REF!</v>
      </c>
      <c r="I115" s="65" t="e">
        <f t="shared" si="21"/>
        <v>#REF!</v>
      </c>
      <c r="J115" s="65" t="e">
        <f t="shared" si="21"/>
        <v>#REF!</v>
      </c>
      <c r="K115" s="65" t="e">
        <f t="shared" si="21"/>
        <v>#REF!</v>
      </c>
    </row>
    <row r="116" spans="1:11" ht="20.149999999999999" customHeight="1" x14ac:dyDescent="0.35">
      <c r="B116" s="34" t="s">
        <v>186</v>
      </c>
      <c r="C116" s="34" t="s">
        <v>187</v>
      </c>
      <c r="D116" s="34"/>
      <c r="E116" s="34"/>
      <c r="F116" s="55" t="s">
        <v>45</v>
      </c>
      <c r="G116" s="35" t="e">
        <f>#REF!</f>
        <v>#REF!</v>
      </c>
      <c r="I116" s="65" t="e">
        <f t="shared" si="21"/>
        <v>#REF!</v>
      </c>
      <c r="J116" s="65" t="e">
        <f t="shared" si="21"/>
        <v>#REF!</v>
      </c>
      <c r="K116" s="65" t="e">
        <f t="shared" si="21"/>
        <v>#REF!</v>
      </c>
    </row>
    <row r="117" spans="1:11" ht="20.149999999999999" customHeight="1" x14ac:dyDescent="0.35">
      <c r="B117" s="34" t="s">
        <v>188</v>
      </c>
      <c r="C117" s="34" t="s">
        <v>189</v>
      </c>
      <c r="D117" s="34"/>
      <c r="E117" s="34"/>
      <c r="F117" s="55" t="s">
        <v>21</v>
      </c>
      <c r="G117" s="35" t="e">
        <f>#REF!</f>
        <v>#REF!</v>
      </c>
      <c r="I117" s="65" t="e">
        <f t="shared" si="21"/>
        <v>#REF!</v>
      </c>
      <c r="J117" s="65" t="e">
        <f t="shared" si="21"/>
        <v>#REF!</v>
      </c>
      <c r="K117" s="65" t="e">
        <f t="shared" si="21"/>
        <v>#REF!</v>
      </c>
    </row>
    <row r="118" spans="1:11" ht="20.149999999999999" customHeight="1" x14ac:dyDescent="0.35">
      <c r="B118" s="34" t="s">
        <v>190</v>
      </c>
      <c r="C118" s="34" t="s">
        <v>191</v>
      </c>
      <c r="D118" s="34"/>
      <c r="E118" s="34"/>
      <c r="F118" s="55" t="s">
        <v>21</v>
      </c>
      <c r="G118" s="35" t="e">
        <f>#REF!</f>
        <v>#REF!</v>
      </c>
      <c r="I118" s="65" t="e">
        <f t="shared" si="21"/>
        <v>#REF!</v>
      </c>
      <c r="J118" s="65" t="e">
        <f t="shared" si="21"/>
        <v>#REF!</v>
      </c>
      <c r="K118" s="65" t="e">
        <f t="shared" si="21"/>
        <v>#REF!</v>
      </c>
    </row>
    <row r="119" spans="1:11" ht="20.149999999999999" customHeight="1" x14ac:dyDescent="0.35">
      <c r="B119" s="34" t="s">
        <v>192</v>
      </c>
      <c r="C119" s="34" t="s">
        <v>193</v>
      </c>
      <c r="D119" s="34"/>
      <c r="E119" s="34"/>
      <c r="F119" s="55" t="s">
        <v>21</v>
      </c>
      <c r="G119" s="35" t="e">
        <f>#REF!</f>
        <v>#REF!</v>
      </c>
      <c r="I119" s="65" t="e">
        <f t="shared" si="21"/>
        <v>#REF!</v>
      </c>
      <c r="J119" s="65" t="e">
        <f t="shared" si="21"/>
        <v>#REF!</v>
      </c>
      <c r="K119" s="65" t="e">
        <f t="shared" si="21"/>
        <v>#REF!</v>
      </c>
    </row>
    <row r="120" spans="1:11" ht="20.149999999999999" customHeight="1" x14ac:dyDescent="0.35">
      <c r="B120" s="34" t="s">
        <v>194</v>
      </c>
      <c r="C120" s="34" t="s">
        <v>195</v>
      </c>
      <c r="D120" s="34"/>
      <c r="E120" s="34"/>
      <c r="F120" s="55" t="s">
        <v>32</v>
      </c>
      <c r="G120" s="35" t="e">
        <f>#REF!</f>
        <v>#REF!</v>
      </c>
      <c r="I120" s="65" t="e">
        <f t="shared" si="21"/>
        <v>#REF!</v>
      </c>
      <c r="J120" s="65" t="e">
        <f t="shared" si="21"/>
        <v>#REF!</v>
      </c>
      <c r="K120" s="65" t="e">
        <f t="shared" si="21"/>
        <v>#REF!</v>
      </c>
    </row>
    <row r="121" spans="1:11" ht="20.149999999999999" customHeight="1" x14ac:dyDescent="0.35">
      <c r="B121" s="34" t="s">
        <v>196</v>
      </c>
      <c r="C121" s="34" t="s">
        <v>197</v>
      </c>
      <c r="D121" s="34"/>
      <c r="E121" s="34"/>
      <c r="F121" s="55" t="s">
        <v>32</v>
      </c>
      <c r="G121" s="35" t="e">
        <f>#REF!</f>
        <v>#REF!</v>
      </c>
      <c r="I121" s="65" t="e">
        <f t="shared" si="21"/>
        <v>#REF!</v>
      </c>
      <c r="J121" s="65" t="e">
        <f t="shared" si="21"/>
        <v>#REF!</v>
      </c>
      <c r="K121" s="65" t="e">
        <f t="shared" si="21"/>
        <v>#REF!</v>
      </c>
    </row>
    <row r="122" spans="1:11" ht="20.149999999999999" customHeight="1" x14ac:dyDescent="0.35">
      <c r="A122" s="1" t="e">
        <f>A76+1</f>
        <v>#REF!</v>
      </c>
      <c r="B122" s="34" t="s">
        <v>198</v>
      </c>
      <c r="C122" s="34" t="s">
        <v>199</v>
      </c>
      <c r="D122" s="34"/>
      <c r="E122" s="34"/>
      <c r="F122" s="55" t="s">
        <v>32</v>
      </c>
      <c r="G122" s="35" t="e">
        <f>#REF!</f>
        <v>#REF!</v>
      </c>
      <c r="I122" s="65" t="e">
        <f t="shared" si="21"/>
        <v>#REF!</v>
      </c>
      <c r="J122" s="65" t="e">
        <f t="shared" si="21"/>
        <v>#REF!</v>
      </c>
      <c r="K122" s="65" t="e">
        <f t="shared" si="21"/>
        <v>#REF!</v>
      </c>
    </row>
    <row r="123" spans="1:11" ht="20.149999999999999" customHeight="1" x14ac:dyDescent="0.35">
      <c r="A123" s="1" t="e">
        <f t="shared" ref="A123:A129" si="23">A122+1</f>
        <v>#REF!</v>
      </c>
      <c r="B123" s="34" t="s">
        <v>200</v>
      </c>
      <c r="C123" s="34" t="s">
        <v>201</v>
      </c>
      <c r="D123" s="34"/>
      <c r="E123" s="34"/>
      <c r="F123" s="55" t="s">
        <v>32</v>
      </c>
      <c r="G123" s="35" t="e">
        <f>#REF!</f>
        <v>#REF!</v>
      </c>
      <c r="I123" s="65" t="e">
        <f t="shared" si="21"/>
        <v>#REF!</v>
      </c>
      <c r="J123" s="65" t="e">
        <f t="shared" si="21"/>
        <v>#REF!</v>
      </c>
      <c r="K123" s="65" t="e">
        <f t="shared" si="21"/>
        <v>#REF!</v>
      </c>
    </row>
    <row r="124" spans="1:11" ht="20.149999999999999" customHeight="1" x14ac:dyDescent="0.35">
      <c r="A124" s="1" t="e">
        <f t="shared" si="23"/>
        <v>#REF!</v>
      </c>
      <c r="B124" s="34" t="s">
        <v>202</v>
      </c>
      <c r="C124" s="34" t="s">
        <v>203</v>
      </c>
      <c r="D124" s="34"/>
      <c r="E124" s="34"/>
      <c r="F124" s="55" t="s">
        <v>32</v>
      </c>
      <c r="G124" s="35" t="e">
        <f>#REF!</f>
        <v>#REF!</v>
      </c>
      <c r="I124" s="65" t="e">
        <f t="shared" si="21"/>
        <v>#REF!</v>
      </c>
      <c r="J124" s="65" t="e">
        <f t="shared" si="21"/>
        <v>#REF!</v>
      </c>
      <c r="K124" s="65" t="e">
        <f t="shared" si="21"/>
        <v>#REF!</v>
      </c>
    </row>
    <row r="125" spans="1:11" ht="20.149999999999999" customHeight="1" x14ac:dyDescent="0.35">
      <c r="A125" s="1" t="e">
        <f t="shared" si="23"/>
        <v>#REF!</v>
      </c>
      <c r="B125" s="34" t="s">
        <v>204</v>
      </c>
      <c r="C125" s="34" t="s">
        <v>205</v>
      </c>
      <c r="D125" s="34"/>
      <c r="E125" s="34"/>
      <c r="F125" s="55" t="s">
        <v>32</v>
      </c>
      <c r="G125" s="35" t="e">
        <f>#REF!</f>
        <v>#REF!</v>
      </c>
      <c r="I125" s="65" t="e">
        <f t="shared" si="21"/>
        <v>#REF!</v>
      </c>
      <c r="J125" s="65" t="e">
        <f t="shared" si="21"/>
        <v>#REF!</v>
      </c>
      <c r="K125" s="65" t="e">
        <f t="shared" si="21"/>
        <v>#REF!</v>
      </c>
    </row>
    <row r="126" spans="1:11" ht="20.149999999999999" customHeight="1" x14ac:dyDescent="0.35">
      <c r="A126" s="1" t="e">
        <f t="shared" si="23"/>
        <v>#REF!</v>
      </c>
      <c r="B126" s="34" t="s">
        <v>206</v>
      </c>
      <c r="C126" s="34" t="s">
        <v>207</v>
      </c>
      <c r="D126" s="34"/>
      <c r="E126" s="34"/>
      <c r="F126" s="55" t="s">
        <v>32</v>
      </c>
      <c r="G126" s="35" t="e">
        <f>#REF!</f>
        <v>#REF!</v>
      </c>
      <c r="I126" s="65" t="e">
        <f t="shared" si="21"/>
        <v>#REF!</v>
      </c>
      <c r="J126" s="65" t="e">
        <f t="shared" si="21"/>
        <v>#REF!</v>
      </c>
      <c r="K126" s="65" t="e">
        <f t="shared" si="21"/>
        <v>#REF!</v>
      </c>
    </row>
    <row r="127" spans="1:11" ht="20.149999999999999" customHeight="1" x14ac:dyDescent="0.35">
      <c r="A127" s="1" t="e">
        <f t="shared" si="23"/>
        <v>#REF!</v>
      </c>
      <c r="B127" s="34" t="s">
        <v>208</v>
      </c>
      <c r="C127" s="34" t="s">
        <v>209</v>
      </c>
      <c r="D127" s="34"/>
      <c r="E127" s="34"/>
      <c r="F127" s="55" t="s">
        <v>158</v>
      </c>
      <c r="G127" s="35" t="e">
        <f>#REF!</f>
        <v>#REF!</v>
      </c>
      <c r="I127" s="65" t="e">
        <f t="shared" si="21"/>
        <v>#REF!</v>
      </c>
      <c r="J127" s="65" t="e">
        <f t="shared" si="21"/>
        <v>#REF!</v>
      </c>
      <c r="K127" s="65" t="e">
        <f t="shared" si="21"/>
        <v>#REF!</v>
      </c>
    </row>
    <row r="128" spans="1:11" ht="20.149999999999999" customHeight="1" x14ac:dyDescent="0.35">
      <c r="A128" s="1" t="e">
        <f t="shared" si="23"/>
        <v>#REF!</v>
      </c>
      <c r="B128" s="34" t="s">
        <v>210</v>
      </c>
      <c r="C128" s="34" t="s">
        <v>211</v>
      </c>
      <c r="D128" s="34"/>
      <c r="E128" s="34"/>
      <c r="F128" s="55" t="s">
        <v>158</v>
      </c>
      <c r="G128" s="35" t="e">
        <f>#REF!</f>
        <v>#REF!</v>
      </c>
      <c r="I128" s="65" t="e">
        <f t="shared" si="21"/>
        <v>#REF!</v>
      </c>
      <c r="J128" s="65" t="e">
        <f t="shared" si="21"/>
        <v>#REF!</v>
      </c>
      <c r="K128" s="65" t="e">
        <f t="shared" si="21"/>
        <v>#REF!</v>
      </c>
    </row>
    <row r="129" spans="1:11" ht="20.149999999999999" customHeight="1" x14ac:dyDescent="0.35">
      <c r="A129" s="1" t="e">
        <f t="shared" si="23"/>
        <v>#REF!</v>
      </c>
      <c r="B129" s="34" t="s">
        <v>212</v>
      </c>
      <c r="C129" s="34" t="s">
        <v>213</v>
      </c>
      <c r="D129" s="34"/>
      <c r="E129" s="34"/>
      <c r="F129" s="55" t="s">
        <v>32</v>
      </c>
      <c r="G129" s="35" t="e">
        <f>#REF!</f>
        <v>#REF!</v>
      </c>
      <c r="I129" s="65" t="e">
        <f t="shared" si="21"/>
        <v>#REF!</v>
      </c>
      <c r="J129" s="65" t="e">
        <f t="shared" si="21"/>
        <v>#REF!</v>
      </c>
      <c r="K129" s="65" t="e">
        <f t="shared" si="21"/>
        <v>#REF!</v>
      </c>
    </row>
    <row r="130" spans="1:11" ht="20.149999999999999" customHeight="1" x14ac:dyDescent="0.35">
      <c r="B130" s="34" t="s">
        <v>214</v>
      </c>
      <c r="C130" s="34" t="s">
        <v>215</v>
      </c>
      <c r="D130" s="34"/>
      <c r="E130" s="34"/>
      <c r="F130" s="55" t="s">
        <v>32</v>
      </c>
      <c r="G130" s="35" t="e">
        <f>#REF!</f>
        <v>#REF!</v>
      </c>
      <c r="I130" s="65" t="e">
        <f t="shared" si="21"/>
        <v>#REF!</v>
      </c>
      <c r="J130" s="65" t="e">
        <f t="shared" si="21"/>
        <v>#REF!</v>
      </c>
      <c r="K130" s="65" t="e">
        <f t="shared" si="21"/>
        <v>#REF!</v>
      </c>
    </row>
    <row r="131" spans="1:11" ht="20.149999999999999" customHeight="1" x14ac:dyDescent="0.35">
      <c r="B131" s="34" t="s">
        <v>216</v>
      </c>
      <c r="C131" s="34" t="s">
        <v>217</v>
      </c>
      <c r="D131" s="34"/>
      <c r="E131" s="34"/>
      <c r="F131" s="55" t="s">
        <v>21</v>
      </c>
      <c r="G131" s="35" t="e">
        <f>#REF!</f>
        <v>#REF!</v>
      </c>
      <c r="I131" s="65" t="e">
        <f t="shared" si="21"/>
        <v>#REF!</v>
      </c>
      <c r="J131" s="65" t="e">
        <f t="shared" si="21"/>
        <v>#REF!</v>
      </c>
      <c r="K131" s="65" t="e">
        <f t="shared" si="21"/>
        <v>#REF!</v>
      </c>
    </row>
    <row r="132" spans="1:11" ht="20.149999999999999" customHeight="1" x14ac:dyDescent="0.35">
      <c r="B132" s="34" t="s">
        <v>218</v>
      </c>
      <c r="C132" s="34" t="s">
        <v>219</v>
      </c>
      <c r="D132" s="34"/>
      <c r="E132" s="34"/>
      <c r="F132" s="55" t="s">
        <v>21</v>
      </c>
      <c r="G132" s="35" t="e">
        <f>#REF!</f>
        <v>#REF!</v>
      </c>
      <c r="I132" s="65" t="e">
        <f t="shared" si="21"/>
        <v>#REF!</v>
      </c>
      <c r="J132" s="65" t="e">
        <f t="shared" si="21"/>
        <v>#REF!</v>
      </c>
      <c r="K132" s="65" t="e">
        <f t="shared" si="21"/>
        <v>#REF!</v>
      </c>
    </row>
    <row r="133" spans="1:11" ht="20.149999999999999" customHeight="1" x14ac:dyDescent="0.35">
      <c r="B133" s="34" t="s">
        <v>220</v>
      </c>
      <c r="C133" s="34" t="s">
        <v>221</v>
      </c>
      <c r="D133" s="34"/>
      <c r="E133" s="34"/>
      <c r="F133" s="55" t="s">
        <v>21</v>
      </c>
      <c r="G133" s="35" t="e">
        <f>#REF!</f>
        <v>#REF!</v>
      </c>
      <c r="I133" s="65" t="e">
        <f t="shared" si="21"/>
        <v>#REF!</v>
      </c>
      <c r="J133" s="65" t="e">
        <f t="shared" si="21"/>
        <v>#REF!</v>
      </c>
      <c r="K133" s="65" t="e">
        <f t="shared" si="21"/>
        <v>#REF!</v>
      </c>
    </row>
    <row r="134" spans="1:11" ht="20.149999999999999" customHeight="1" x14ac:dyDescent="0.35">
      <c r="B134" s="34" t="s">
        <v>222</v>
      </c>
      <c r="C134" s="34" t="s">
        <v>223</v>
      </c>
      <c r="D134" s="34"/>
      <c r="E134" s="34"/>
      <c r="F134" s="55" t="s">
        <v>32</v>
      </c>
      <c r="G134" s="35" t="e">
        <f>#REF!</f>
        <v>#REF!</v>
      </c>
      <c r="I134" s="65" t="e">
        <f t="shared" si="21"/>
        <v>#REF!</v>
      </c>
      <c r="J134" s="65" t="e">
        <f t="shared" si="21"/>
        <v>#REF!</v>
      </c>
      <c r="K134" s="65" t="e">
        <f t="shared" si="21"/>
        <v>#REF!</v>
      </c>
    </row>
    <row r="135" spans="1:11" ht="20.149999999999999" customHeight="1" x14ac:dyDescent="0.35">
      <c r="B135" s="34" t="s">
        <v>224</v>
      </c>
      <c r="C135" s="34" t="s">
        <v>225</v>
      </c>
      <c r="D135" s="34"/>
      <c r="E135" s="34"/>
      <c r="F135" s="55" t="s">
        <v>21</v>
      </c>
      <c r="G135" s="35" t="e">
        <f>#REF!</f>
        <v>#REF!</v>
      </c>
      <c r="I135" s="65" t="e">
        <f t="shared" si="21"/>
        <v>#REF!</v>
      </c>
      <c r="J135" s="65" t="e">
        <f t="shared" si="21"/>
        <v>#REF!</v>
      </c>
      <c r="K135" s="65" t="e">
        <f t="shared" si="21"/>
        <v>#REF!</v>
      </c>
    </row>
    <row r="136" spans="1:11" ht="20.149999999999999" customHeight="1" x14ac:dyDescent="0.35">
      <c r="B136" s="34" t="s">
        <v>226</v>
      </c>
      <c r="C136" s="34" t="s">
        <v>227</v>
      </c>
      <c r="D136" s="34"/>
      <c r="E136" s="34"/>
      <c r="F136" s="55" t="s">
        <v>37</v>
      </c>
      <c r="G136" s="35" t="e">
        <f>#REF!</f>
        <v>#REF!</v>
      </c>
      <c r="I136" s="65" t="e">
        <f t="shared" si="21"/>
        <v>#REF!</v>
      </c>
      <c r="J136" s="65" t="e">
        <f t="shared" si="21"/>
        <v>#REF!</v>
      </c>
      <c r="K136" s="65" t="e">
        <f t="shared" si="21"/>
        <v>#REF!</v>
      </c>
    </row>
    <row r="137" spans="1:11" ht="20.149999999999999" customHeight="1" x14ac:dyDescent="0.35">
      <c r="A137" s="1">
        <f>A91+1</f>
        <v>8</v>
      </c>
      <c r="B137" s="34" t="s">
        <v>228</v>
      </c>
      <c r="C137" s="34" t="s">
        <v>229</v>
      </c>
      <c r="D137" s="34"/>
      <c r="E137" s="34"/>
      <c r="F137" s="55" t="s">
        <v>37</v>
      </c>
      <c r="G137" s="35" t="e">
        <f>#REF!</f>
        <v>#REF!</v>
      </c>
      <c r="I137" s="65" t="e">
        <f t="shared" si="21"/>
        <v>#REF!</v>
      </c>
      <c r="J137" s="65" t="e">
        <f t="shared" si="21"/>
        <v>#REF!</v>
      </c>
      <c r="K137" s="65" t="e">
        <f t="shared" si="21"/>
        <v>#REF!</v>
      </c>
    </row>
    <row r="138" spans="1:11" ht="20.149999999999999" customHeight="1" x14ac:dyDescent="0.35">
      <c r="A138" s="1">
        <f t="shared" ref="A138:A144" si="24">A137+1</f>
        <v>9</v>
      </c>
      <c r="B138" s="34" t="s">
        <v>230</v>
      </c>
      <c r="C138" s="34" t="s">
        <v>231</v>
      </c>
      <c r="D138" s="34"/>
      <c r="E138" s="34"/>
      <c r="F138" s="55" t="s">
        <v>37</v>
      </c>
      <c r="G138" s="35" t="e">
        <f>#REF!</f>
        <v>#REF!</v>
      </c>
      <c r="I138" s="65" t="e">
        <f t="shared" ref="I138:K161" si="25">ROUNDUP($G138*100/$G$6*I$11*$K$6,0)</f>
        <v>#REF!</v>
      </c>
      <c r="J138" s="65" t="e">
        <f t="shared" si="25"/>
        <v>#REF!</v>
      </c>
      <c r="K138" s="65" t="e">
        <f t="shared" si="25"/>
        <v>#REF!</v>
      </c>
    </row>
    <row r="139" spans="1:11" ht="20.149999999999999" customHeight="1" x14ac:dyDescent="0.35">
      <c r="A139" s="1">
        <f t="shared" si="24"/>
        <v>10</v>
      </c>
      <c r="B139" s="34" t="s">
        <v>232</v>
      </c>
      <c r="C139" s="34" t="s">
        <v>233</v>
      </c>
      <c r="D139" s="34"/>
      <c r="E139" s="34"/>
      <c r="F139" s="55" t="s">
        <v>37</v>
      </c>
      <c r="G139" s="35" t="e">
        <f>#REF!</f>
        <v>#REF!</v>
      </c>
      <c r="I139" s="65" t="e">
        <f t="shared" si="25"/>
        <v>#REF!</v>
      </c>
      <c r="J139" s="65" t="e">
        <f t="shared" si="25"/>
        <v>#REF!</v>
      </c>
      <c r="K139" s="65" t="e">
        <f t="shared" si="25"/>
        <v>#REF!</v>
      </c>
    </row>
    <row r="140" spans="1:11" ht="20.149999999999999" customHeight="1" x14ac:dyDescent="0.35">
      <c r="A140" s="1">
        <f t="shared" si="24"/>
        <v>11</v>
      </c>
      <c r="B140" s="34" t="s">
        <v>234</v>
      </c>
      <c r="C140" s="34" t="s">
        <v>235</v>
      </c>
      <c r="D140" s="34"/>
      <c r="E140" s="34"/>
      <c r="F140" s="55" t="s">
        <v>37</v>
      </c>
      <c r="G140" s="35" t="e">
        <f>#REF!</f>
        <v>#REF!</v>
      </c>
      <c r="I140" s="65" t="e">
        <f t="shared" si="25"/>
        <v>#REF!</v>
      </c>
      <c r="J140" s="65" t="e">
        <f t="shared" si="25"/>
        <v>#REF!</v>
      </c>
      <c r="K140" s="65" t="e">
        <f t="shared" si="25"/>
        <v>#REF!</v>
      </c>
    </row>
    <row r="141" spans="1:11" ht="20.149999999999999" customHeight="1" x14ac:dyDescent="0.35">
      <c r="A141" s="1">
        <f t="shared" si="24"/>
        <v>12</v>
      </c>
      <c r="B141" s="34" t="s">
        <v>236</v>
      </c>
      <c r="C141" s="34" t="s">
        <v>237</v>
      </c>
      <c r="D141" s="34"/>
      <c r="E141" s="34"/>
      <c r="F141" s="55" t="s">
        <v>37</v>
      </c>
      <c r="G141" s="35" t="e">
        <f>#REF!</f>
        <v>#REF!</v>
      </c>
      <c r="I141" s="65" t="e">
        <f t="shared" si="25"/>
        <v>#REF!</v>
      </c>
      <c r="J141" s="65" t="e">
        <f t="shared" si="25"/>
        <v>#REF!</v>
      </c>
      <c r="K141" s="65" t="e">
        <f t="shared" si="25"/>
        <v>#REF!</v>
      </c>
    </row>
    <row r="142" spans="1:11" ht="20.149999999999999" customHeight="1" x14ac:dyDescent="0.35">
      <c r="A142" s="1">
        <f t="shared" si="24"/>
        <v>13</v>
      </c>
      <c r="B142" s="34" t="s">
        <v>238</v>
      </c>
      <c r="C142" s="34" t="s">
        <v>239</v>
      </c>
      <c r="D142" s="34"/>
      <c r="E142" s="34"/>
      <c r="F142" s="55" t="s">
        <v>32</v>
      </c>
      <c r="G142" s="35" t="e">
        <f>#REF!</f>
        <v>#REF!</v>
      </c>
      <c r="I142" s="65" t="e">
        <f t="shared" si="25"/>
        <v>#REF!</v>
      </c>
      <c r="J142" s="65" t="e">
        <f t="shared" si="25"/>
        <v>#REF!</v>
      </c>
      <c r="K142" s="65" t="e">
        <f t="shared" si="25"/>
        <v>#REF!</v>
      </c>
    </row>
    <row r="143" spans="1:11" ht="20.149999999999999" customHeight="1" x14ac:dyDescent="0.35">
      <c r="A143" s="1">
        <f t="shared" si="24"/>
        <v>14</v>
      </c>
      <c r="B143" s="34" t="s">
        <v>240</v>
      </c>
      <c r="C143" s="34" t="s">
        <v>241</v>
      </c>
      <c r="D143" s="34"/>
      <c r="E143" s="34"/>
      <c r="F143" s="55" t="s">
        <v>32</v>
      </c>
      <c r="G143" s="35" t="e">
        <f>#REF!</f>
        <v>#REF!</v>
      </c>
      <c r="I143" s="65" t="e">
        <f t="shared" si="25"/>
        <v>#REF!</v>
      </c>
      <c r="J143" s="65" t="e">
        <f t="shared" si="25"/>
        <v>#REF!</v>
      </c>
      <c r="K143" s="65" t="e">
        <f t="shared" si="25"/>
        <v>#REF!</v>
      </c>
    </row>
    <row r="144" spans="1:11" ht="20.149999999999999" customHeight="1" x14ac:dyDescent="0.35">
      <c r="A144" s="1">
        <f t="shared" si="24"/>
        <v>15</v>
      </c>
      <c r="B144" s="34" t="s">
        <v>242</v>
      </c>
      <c r="C144" s="34" t="s">
        <v>243</v>
      </c>
      <c r="D144" s="34"/>
      <c r="E144" s="34"/>
      <c r="F144" s="55" t="s">
        <v>32</v>
      </c>
      <c r="G144" s="35" t="e">
        <f>#REF!</f>
        <v>#REF!</v>
      </c>
      <c r="I144" s="65" t="e">
        <f t="shared" si="25"/>
        <v>#REF!</v>
      </c>
      <c r="J144" s="65" t="e">
        <f t="shared" si="25"/>
        <v>#REF!</v>
      </c>
      <c r="K144" s="65" t="e">
        <f t="shared" si="25"/>
        <v>#REF!</v>
      </c>
    </row>
    <row r="145" spans="1:11" ht="20.149999999999999" customHeight="1" x14ac:dyDescent="0.35">
      <c r="B145" s="34" t="s">
        <v>244</v>
      </c>
      <c r="C145" s="34" t="s">
        <v>245</v>
      </c>
      <c r="D145" s="34"/>
      <c r="E145" s="34"/>
      <c r="F145" s="55" t="s">
        <v>32</v>
      </c>
      <c r="G145" s="35" t="e">
        <f>#REF!</f>
        <v>#REF!</v>
      </c>
      <c r="I145" s="65" t="e">
        <f t="shared" si="25"/>
        <v>#REF!</v>
      </c>
      <c r="J145" s="65" t="e">
        <f t="shared" si="25"/>
        <v>#REF!</v>
      </c>
      <c r="K145" s="65" t="e">
        <f t="shared" si="25"/>
        <v>#REF!</v>
      </c>
    </row>
    <row r="146" spans="1:11" ht="20.149999999999999" customHeight="1" x14ac:dyDescent="0.35">
      <c r="B146" s="34" t="s">
        <v>246</v>
      </c>
      <c r="C146" s="34" t="s">
        <v>247</v>
      </c>
      <c r="D146" s="34"/>
      <c r="E146" s="34"/>
      <c r="F146" s="55" t="s">
        <v>32</v>
      </c>
      <c r="G146" s="35" t="e">
        <f>#REF!</f>
        <v>#REF!</v>
      </c>
      <c r="I146" s="65" t="e">
        <f t="shared" si="25"/>
        <v>#REF!</v>
      </c>
      <c r="J146" s="65" t="e">
        <f t="shared" si="25"/>
        <v>#REF!</v>
      </c>
      <c r="K146" s="65" t="e">
        <f t="shared" si="25"/>
        <v>#REF!</v>
      </c>
    </row>
    <row r="147" spans="1:11" ht="20.149999999999999" customHeight="1" x14ac:dyDescent="0.35">
      <c r="B147" s="34" t="s">
        <v>248</v>
      </c>
      <c r="C147" s="34" t="s">
        <v>249</v>
      </c>
      <c r="D147" s="34"/>
      <c r="E147" s="34"/>
      <c r="F147" s="55" t="s">
        <v>32</v>
      </c>
      <c r="G147" s="35" t="e">
        <f>#REF!</f>
        <v>#REF!</v>
      </c>
      <c r="I147" s="65" t="e">
        <f t="shared" si="25"/>
        <v>#REF!</v>
      </c>
      <c r="J147" s="65" t="e">
        <f t="shared" si="25"/>
        <v>#REF!</v>
      </c>
      <c r="K147" s="65" t="e">
        <f t="shared" si="25"/>
        <v>#REF!</v>
      </c>
    </row>
    <row r="148" spans="1:11" ht="20.149999999999999" customHeight="1" x14ac:dyDescent="0.35">
      <c r="B148" s="34" t="s">
        <v>250</v>
      </c>
      <c r="C148" s="34" t="s">
        <v>251</v>
      </c>
      <c r="D148" s="34"/>
      <c r="E148" s="34"/>
      <c r="F148" s="55" t="s">
        <v>32</v>
      </c>
      <c r="G148" s="35" t="e">
        <f>#REF!</f>
        <v>#REF!</v>
      </c>
      <c r="I148" s="65" t="e">
        <f t="shared" si="25"/>
        <v>#REF!</v>
      </c>
      <c r="J148" s="65" t="e">
        <f t="shared" si="25"/>
        <v>#REF!</v>
      </c>
      <c r="K148" s="65" t="e">
        <f t="shared" si="25"/>
        <v>#REF!</v>
      </c>
    </row>
    <row r="149" spans="1:11" ht="20.149999999999999" customHeight="1" x14ac:dyDescent="0.35">
      <c r="B149" s="34" t="s">
        <v>252</v>
      </c>
      <c r="C149" s="34" t="s">
        <v>253</v>
      </c>
      <c r="D149" s="34"/>
      <c r="E149" s="34"/>
      <c r="F149" s="55" t="s">
        <v>32</v>
      </c>
      <c r="G149" s="35" t="e">
        <f>#REF!</f>
        <v>#REF!</v>
      </c>
      <c r="I149" s="65" t="e">
        <f t="shared" si="25"/>
        <v>#REF!</v>
      </c>
      <c r="J149" s="65" t="e">
        <f t="shared" si="25"/>
        <v>#REF!</v>
      </c>
      <c r="K149" s="65" t="e">
        <f t="shared" si="25"/>
        <v>#REF!</v>
      </c>
    </row>
    <row r="150" spans="1:11" ht="20.149999999999999" customHeight="1" x14ac:dyDescent="0.35">
      <c r="B150" s="34" t="s">
        <v>254</v>
      </c>
      <c r="C150" s="34" t="s">
        <v>255</v>
      </c>
      <c r="D150" s="34"/>
      <c r="E150" s="34"/>
      <c r="F150" s="55" t="s">
        <v>32</v>
      </c>
      <c r="G150" s="35" t="e">
        <f>#REF!</f>
        <v>#REF!</v>
      </c>
      <c r="I150" s="65" t="e">
        <f t="shared" si="25"/>
        <v>#REF!</v>
      </c>
      <c r="J150" s="65" t="e">
        <f t="shared" si="25"/>
        <v>#REF!</v>
      </c>
      <c r="K150" s="65" t="e">
        <f t="shared" si="25"/>
        <v>#REF!</v>
      </c>
    </row>
    <row r="151" spans="1:11" ht="20.149999999999999" customHeight="1" x14ac:dyDescent="0.35">
      <c r="B151" s="34" t="s">
        <v>256</v>
      </c>
      <c r="C151" s="34" t="s">
        <v>257</v>
      </c>
      <c r="D151" s="34"/>
      <c r="E151" s="34"/>
      <c r="F151" s="55" t="s">
        <v>32</v>
      </c>
      <c r="G151" s="35" t="e">
        <f>#REF!</f>
        <v>#REF!</v>
      </c>
      <c r="I151" s="65" t="e">
        <f t="shared" si="25"/>
        <v>#REF!</v>
      </c>
      <c r="J151" s="65" t="e">
        <f t="shared" si="25"/>
        <v>#REF!</v>
      </c>
      <c r="K151" s="65" t="e">
        <f t="shared" si="25"/>
        <v>#REF!</v>
      </c>
    </row>
    <row r="152" spans="1:11" ht="20.149999999999999" customHeight="1" x14ac:dyDescent="0.35">
      <c r="A152" s="1">
        <f>A106+1</f>
        <v>2</v>
      </c>
      <c r="B152" s="34" t="s">
        <v>258</v>
      </c>
      <c r="C152" s="34" t="s">
        <v>259</v>
      </c>
      <c r="D152" s="34"/>
      <c r="E152" s="34"/>
      <c r="F152" s="55" t="s">
        <v>32</v>
      </c>
      <c r="G152" s="35" t="e">
        <f>#REF!</f>
        <v>#REF!</v>
      </c>
      <c r="I152" s="65" t="e">
        <f t="shared" si="25"/>
        <v>#REF!</v>
      </c>
      <c r="J152" s="65" t="e">
        <f t="shared" si="25"/>
        <v>#REF!</v>
      </c>
      <c r="K152" s="65" t="e">
        <f t="shared" si="25"/>
        <v>#REF!</v>
      </c>
    </row>
    <row r="153" spans="1:11" ht="20.149999999999999" customHeight="1" x14ac:dyDescent="0.35">
      <c r="A153" s="1">
        <f t="shared" ref="A153:A159" si="26">A152+1</f>
        <v>3</v>
      </c>
      <c r="B153" s="34" t="s">
        <v>260</v>
      </c>
      <c r="C153" s="34" t="s">
        <v>261</v>
      </c>
      <c r="D153" s="34"/>
      <c r="E153" s="34"/>
      <c r="F153" s="55" t="s">
        <v>32</v>
      </c>
      <c r="G153" s="35" t="e">
        <f>#REF!</f>
        <v>#REF!</v>
      </c>
      <c r="I153" s="65" t="e">
        <f t="shared" si="25"/>
        <v>#REF!</v>
      </c>
      <c r="J153" s="65" t="e">
        <f t="shared" si="25"/>
        <v>#REF!</v>
      </c>
      <c r="K153" s="65" t="e">
        <f t="shared" si="25"/>
        <v>#REF!</v>
      </c>
    </row>
    <row r="154" spans="1:11" ht="20.149999999999999" customHeight="1" x14ac:dyDescent="0.35">
      <c r="A154" s="1">
        <f t="shared" si="26"/>
        <v>4</v>
      </c>
      <c r="B154" s="34" t="s">
        <v>262</v>
      </c>
      <c r="C154" s="34" t="s">
        <v>263</v>
      </c>
      <c r="D154" s="34"/>
      <c r="E154" s="34"/>
      <c r="F154" s="55" t="s">
        <v>32</v>
      </c>
      <c r="G154" s="35" t="e">
        <f>#REF!</f>
        <v>#REF!</v>
      </c>
      <c r="I154" s="65" t="e">
        <f t="shared" si="25"/>
        <v>#REF!</v>
      </c>
      <c r="J154" s="65" t="e">
        <f t="shared" si="25"/>
        <v>#REF!</v>
      </c>
      <c r="K154" s="65" t="e">
        <f t="shared" si="25"/>
        <v>#REF!</v>
      </c>
    </row>
    <row r="155" spans="1:11" ht="20.149999999999999" customHeight="1" x14ac:dyDescent="0.35">
      <c r="A155" s="1">
        <f t="shared" si="26"/>
        <v>5</v>
      </c>
      <c r="B155" s="34" t="s">
        <v>264</v>
      </c>
      <c r="C155" s="34" t="s">
        <v>265</v>
      </c>
      <c r="D155" s="34"/>
      <c r="E155" s="34"/>
      <c r="F155" s="55" t="s">
        <v>32</v>
      </c>
      <c r="G155" s="35" t="e">
        <f>#REF!</f>
        <v>#REF!</v>
      </c>
      <c r="I155" s="65" t="e">
        <f t="shared" si="25"/>
        <v>#REF!</v>
      </c>
      <c r="J155" s="65" t="e">
        <f t="shared" si="25"/>
        <v>#REF!</v>
      </c>
      <c r="K155" s="65" t="e">
        <f t="shared" si="25"/>
        <v>#REF!</v>
      </c>
    </row>
    <row r="156" spans="1:11" ht="20.149999999999999" customHeight="1" x14ac:dyDescent="0.35">
      <c r="A156" s="1">
        <f t="shared" si="26"/>
        <v>6</v>
      </c>
      <c r="B156" s="34" t="s">
        <v>266</v>
      </c>
      <c r="C156" s="34" t="s">
        <v>267</v>
      </c>
      <c r="D156" s="34"/>
      <c r="E156" s="34"/>
      <c r="F156" s="55" t="s">
        <v>32</v>
      </c>
      <c r="G156" s="35" t="e">
        <f>#REF!</f>
        <v>#REF!</v>
      </c>
      <c r="I156" s="65" t="e">
        <f t="shared" si="25"/>
        <v>#REF!</v>
      </c>
      <c r="J156" s="65" t="e">
        <f t="shared" si="25"/>
        <v>#REF!</v>
      </c>
      <c r="K156" s="65" t="e">
        <f t="shared" si="25"/>
        <v>#REF!</v>
      </c>
    </row>
    <row r="157" spans="1:11" ht="20.149999999999999" customHeight="1" x14ac:dyDescent="0.35">
      <c r="A157" s="1">
        <f t="shared" si="26"/>
        <v>7</v>
      </c>
      <c r="B157" s="34" t="s">
        <v>268</v>
      </c>
      <c r="C157" s="34" t="s">
        <v>269</v>
      </c>
      <c r="D157" s="34"/>
      <c r="E157" s="34"/>
      <c r="F157" s="55" t="s">
        <v>32</v>
      </c>
      <c r="G157" s="35" t="e">
        <f>#REF!</f>
        <v>#REF!</v>
      </c>
      <c r="I157" s="65" t="e">
        <f t="shared" si="25"/>
        <v>#REF!</v>
      </c>
      <c r="J157" s="65" t="e">
        <f t="shared" si="25"/>
        <v>#REF!</v>
      </c>
      <c r="K157" s="65" t="e">
        <f t="shared" si="25"/>
        <v>#REF!</v>
      </c>
    </row>
    <row r="158" spans="1:11" ht="20.149999999999999" customHeight="1" x14ac:dyDescent="0.35">
      <c r="A158" s="1">
        <f t="shared" si="26"/>
        <v>8</v>
      </c>
      <c r="B158" s="34" t="s">
        <v>270</v>
      </c>
      <c r="C158" s="34" t="s">
        <v>271</v>
      </c>
      <c r="D158" s="34"/>
      <c r="E158" s="34"/>
      <c r="F158" s="55" t="s">
        <v>21</v>
      </c>
      <c r="G158" s="35" t="e">
        <f>#REF!</f>
        <v>#REF!</v>
      </c>
      <c r="I158" s="65" t="e">
        <f t="shared" si="25"/>
        <v>#REF!</v>
      </c>
      <c r="J158" s="65" t="e">
        <f t="shared" si="25"/>
        <v>#REF!</v>
      </c>
      <c r="K158" s="65" t="e">
        <f t="shared" si="25"/>
        <v>#REF!</v>
      </c>
    </row>
    <row r="159" spans="1:11" ht="20.149999999999999" customHeight="1" x14ac:dyDescent="0.35">
      <c r="A159" s="1">
        <f t="shared" si="26"/>
        <v>9</v>
      </c>
      <c r="B159" s="34" t="s">
        <v>272</v>
      </c>
      <c r="C159" s="34" t="s">
        <v>273</v>
      </c>
      <c r="D159" s="34"/>
      <c r="E159" s="34"/>
      <c r="F159" s="55" t="s">
        <v>21</v>
      </c>
      <c r="G159" s="35" t="e">
        <f>#REF!</f>
        <v>#REF!</v>
      </c>
      <c r="I159" s="65" t="e">
        <f t="shared" si="25"/>
        <v>#REF!</v>
      </c>
      <c r="J159" s="65" t="e">
        <f t="shared" si="25"/>
        <v>#REF!</v>
      </c>
      <c r="K159" s="65" t="e">
        <f t="shared" si="25"/>
        <v>#REF!</v>
      </c>
    </row>
    <row r="160" spans="1:11" ht="20.149999999999999" customHeight="1" x14ac:dyDescent="0.35">
      <c r="B160" s="34"/>
      <c r="C160" s="34"/>
      <c r="D160" s="34"/>
      <c r="E160" s="34"/>
      <c r="F160" s="55"/>
      <c r="G160" s="35" t="e">
        <f>#REF!</f>
        <v>#REF!</v>
      </c>
      <c r="I160" s="65" t="e">
        <f t="shared" si="25"/>
        <v>#REF!</v>
      </c>
      <c r="J160" s="65" t="e">
        <f t="shared" si="25"/>
        <v>#REF!</v>
      </c>
      <c r="K160" s="65" t="e">
        <f t="shared" si="25"/>
        <v>#REF!</v>
      </c>
    </row>
    <row r="161" spans="1:165" ht="20.149999999999999" customHeight="1" x14ac:dyDescent="0.35">
      <c r="B161" s="34"/>
      <c r="C161" s="34"/>
      <c r="D161" s="34"/>
      <c r="E161" s="34"/>
      <c r="F161" s="55"/>
      <c r="G161" s="35" t="e">
        <f>#REF!</f>
        <v>#REF!</v>
      </c>
      <c r="I161" s="65" t="e">
        <f t="shared" si="25"/>
        <v>#REF!</v>
      </c>
      <c r="J161" s="65" t="e">
        <f t="shared" si="25"/>
        <v>#REF!</v>
      </c>
      <c r="K161" s="65" t="e">
        <f t="shared" si="25"/>
        <v>#REF!</v>
      </c>
    </row>
    <row r="162" spans="1:165" s="18" customFormat="1" ht="20.149999999999999" customHeight="1" x14ac:dyDescent="0.35">
      <c r="B162" s="38" t="s">
        <v>8</v>
      </c>
      <c r="C162" s="50"/>
      <c r="D162" s="50"/>
      <c r="E162" s="50"/>
      <c r="F162" s="51"/>
      <c r="G162" s="52" t="e">
        <f>#REF!</f>
        <v>#REF!</v>
      </c>
      <c r="H162" s="33"/>
      <c r="I162" s="65"/>
      <c r="J162" s="65"/>
      <c r="K162" s="65"/>
    </row>
    <row r="163" spans="1:165" ht="20.149999999999999" customHeight="1" x14ac:dyDescent="0.35">
      <c r="A163" s="1">
        <v>1</v>
      </c>
      <c r="B163" s="34" t="s">
        <v>274</v>
      </c>
      <c r="C163" s="34" t="s">
        <v>275</v>
      </c>
      <c r="D163" s="34"/>
      <c r="E163" s="34"/>
      <c r="F163" s="55" t="s">
        <v>21</v>
      </c>
      <c r="G163" s="35" t="e">
        <f>#REF!</f>
        <v>#REF!</v>
      </c>
      <c r="I163" s="65" t="e">
        <f t="shared" ref="I163:K171" si="27">ROUNDUP($G163*100/$G$6*I$11*$K$6,0)</f>
        <v>#REF!</v>
      </c>
      <c r="J163" s="65" t="e">
        <f t="shared" si="27"/>
        <v>#REF!</v>
      </c>
      <c r="K163" s="65" t="e">
        <f t="shared" si="27"/>
        <v>#REF!</v>
      </c>
    </row>
    <row r="164" spans="1:165" ht="20.149999999999999" customHeight="1" x14ac:dyDescent="0.35">
      <c r="A164" s="1">
        <f>A163+1</f>
        <v>2</v>
      </c>
      <c r="B164" s="34" t="s">
        <v>276</v>
      </c>
      <c r="C164" s="34" t="s">
        <v>277</v>
      </c>
      <c r="D164" s="34"/>
      <c r="E164" s="34"/>
      <c r="F164" s="55" t="s">
        <v>21</v>
      </c>
      <c r="G164" s="35" t="e">
        <f>#REF!</f>
        <v>#REF!</v>
      </c>
      <c r="I164" s="65" t="e">
        <f t="shared" si="27"/>
        <v>#REF!</v>
      </c>
      <c r="J164" s="65" t="e">
        <f t="shared" si="27"/>
        <v>#REF!</v>
      </c>
      <c r="K164" s="65" t="e">
        <f t="shared" si="27"/>
        <v>#REF!</v>
      </c>
    </row>
    <row r="165" spans="1:165" ht="20.149999999999999" customHeight="1" x14ac:dyDescent="0.35">
      <c r="A165" s="1">
        <f t="shared" ref="A165:A171" si="28">A164+1</f>
        <v>3</v>
      </c>
      <c r="B165" s="34" t="s">
        <v>278</v>
      </c>
      <c r="C165" s="34" t="s">
        <v>279</v>
      </c>
      <c r="D165" s="34"/>
      <c r="E165" s="34"/>
      <c r="F165" s="55" t="s">
        <v>21</v>
      </c>
      <c r="G165" s="35" t="e">
        <f>#REF!</f>
        <v>#REF!</v>
      </c>
      <c r="I165" s="65" t="e">
        <f t="shared" si="27"/>
        <v>#REF!</v>
      </c>
      <c r="J165" s="65" t="e">
        <f t="shared" si="27"/>
        <v>#REF!</v>
      </c>
      <c r="K165" s="65" t="e">
        <f t="shared" si="27"/>
        <v>#REF!</v>
      </c>
    </row>
    <row r="166" spans="1:165" ht="19.899999999999999" customHeight="1" x14ac:dyDescent="0.35">
      <c r="A166" s="1">
        <f>A163+1</f>
        <v>2</v>
      </c>
      <c r="B166" s="34" t="s">
        <v>280</v>
      </c>
      <c r="C166" s="34" t="s">
        <v>281</v>
      </c>
      <c r="D166" s="34"/>
      <c r="E166" s="34"/>
      <c r="F166" s="55" t="s">
        <v>21</v>
      </c>
      <c r="G166" s="35" t="e">
        <f>#REF!</f>
        <v>#REF!</v>
      </c>
      <c r="I166" s="65" t="e">
        <f t="shared" si="27"/>
        <v>#REF!</v>
      </c>
      <c r="J166" s="65" t="e">
        <f t="shared" si="27"/>
        <v>#REF!</v>
      </c>
      <c r="K166" s="65" t="e">
        <f t="shared" si="27"/>
        <v>#REF!</v>
      </c>
    </row>
    <row r="167" spans="1:165" ht="20.149999999999999" customHeight="1" x14ac:dyDescent="0.35">
      <c r="A167" s="1">
        <f t="shared" si="28"/>
        <v>3</v>
      </c>
      <c r="B167" s="34" t="s">
        <v>282</v>
      </c>
      <c r="C167" s="34" t="s">
        <v>283</v>
      </c>
      <c r="D167" s="34"/>
      <c r="E167" s="34"/>
      <c r="F167" s="55" t="s">
        <v>42</v>
      </c>
      <c r="G167" s="35" t="e">
        <f>#REF!</f>
        <v>#REF!</v>
      </c>
      <c r="I167" s="65" t="e">
        <f t="shared" si="27"/>
        <v>#REF!</v>
      </c>
      <c r="J167" s="65" t="e">
        <f t="shared" si="27"/>
        <v>#REF!</v>
      </c>
      <c r="K167" s="65" t="e">
        <f t="shared" si="27"/>
        <v>#REF!</v>
      </c>
    </row>
    <row r="168" spans="1:165" ht="19.899999999999999" customHeight="1" x14ac:dyDescent="0.35">
      <c r="A168" s="1">
        <f>A165+1</f>
        <v>4</v>
      </c>
      <c r="B168" s="34" t="s">
        <v>284</v>
      </c>
      <c r="C168" s="34" t="s">
        <v>285</v>
      </c>
      <c r="D168" s="34"/>
      <c r="E168" s="34"/>
      <c r="F168" s="55" t="s">
        <v>21</v>
      </c>
      <c r="G168" s="35" t="e">
        <f>#REF!</f>
        <v>#REF!</v>
      </c>
      <c r="I168" s="65" t="e">
        <f t="shared" si="27"/>
        <v>#REF!</v>
      </c>
      <c r="J168" s="65" t="e">
        <f t="shared" si="27"/>
        <v>#REF!</v>
      </c>
      <c r="K168" s="65" t="e">
        <f t="shared" si="27"/>
        <v>#REF!</v>
      </c>
    </row>
    <row r="169" spans="1:165" ht="20.149999999999999" customHeight="1" x14ac:dyDescent="0.35">
      <c r="A169" s="1">
        <f t="shared" si="28"/>
        <v>5</v>
      </c>
      <c r="B169" s="34" t="s">
        <v>286</v>
      </c>
      <c r="C169" s="34" t="s">
        <v>287</v>
      </c>
      <c r="D169" s="34"/>
      <c r="E169" s="34"/>
      <c r="F169" s="55" t="s">
        <v>21</v>
      </c>
      <c r="G169" s="35" t="e">
        <f>#REF!</f>
        <v>#REF!</v>
      </c>
      <c r="I169" s="65" t="e">
        <f t="shared" si="27"/>
        <v>#REF!</v>
      </c>
      <c r="J169" s="65" t="e">
        <f t="shared" si="27"/>
        <v>#REF!</v>
      </c>
      <c r="K169" s="65" t="e">
        <f t="shared" si="27"/>
        <v>#REF!</v>
      </c>
    </row>
    <row r="170" spans="1:165" ht="19.899999999999999" customHeight="1" x14ac:dyDescent="0.35">
      <c r="A170" s="1">
        <f>A167+1</f>
        <v>4</v>
      </c>
      <c r="B170" s="34"/>
      <c r="C170" s="34"/>
      <c r="D170" s="34"/>
      <c r="E170" s="34"/>
      <c r="F170" s="55"/>
      <c r="G170" s="35" t="e">
        <f>#REF!</f>
        <v>#REF!</v>
      </c>
      <c r="I170" s="65" t="e">
        <f t="shared" si="27"/>
        <v>#REF!</v>
      </c>
      <c r="J170" s="65" t="e">
        <f t="shared" si="27"/>
        <v>#REF!</v>
      </c>
      <c r="K170" s="65" t="e">
        <f t="shared" si="27"/>
        <v>#REF!</v>
      </c>
    </row>
    <row r="171" spans="1:165" ht="20.149999999999999" customHeight="1" x14ac:dyDescent="0.35">
      <c r="A171" s="1">
        <f t="shared" si="28"/>
        <v>5</v>
      </c>
      <c r="B171" s="34"/>
      <c r="C171" s="34"/>
      <c r="D171" s="34"/>
      <c r="E171" s="34"/>
      <c r="F171" s="55"/>
      <c r="G171" s="35" t="e">
        <f>#REF!</f>
        <v>#REF!</v>
      </c>
      <c r="I171" s="65" t="e">
        <f t="shared" si="27"/>
        <v>#REF!</v>
      </c>
      <c r="J171" s="65" t="e">
        <f t="shared" si="27"/>
        <v>#REF!</v>
      </c>
      <c r="K171" s="65" t="e">
        <f t="shared" si="27"/>
        <v>#REF!</v>
      </c>
    </row>
    <row r="172" spans="1:165" s="18" customFormat="1" ht="20.149999999999999" customHeight="1" x14ac:dyDescent="0.35">
      <c r="B172" s="46" t="s">
        <v>12</v>
      </c>
      <c r="C172" s="47"/>
      <c r="D172" s="47"/>
      <c r="E172" s="47"/>
      <c r="F172" s="48"/>
      <c r="G172" s="49" t="e">
        <f>#REF!</f>
        <v>#REF!</v>
      </c>
      <c r="H172" s="33"/>
      <c r="I172" s="20"/>
      <c r="J172" s="20"/>
      <c r="K172" s="20"/>
    </row>
    <row r="173" spans="1:165" s="30" customFormat="1" ht="5.15" customHeight="1" x14ac:dyDescent="0.35">
      <c r="B173" s="43"/>
      <c r="C173" s="34"/>
      <c r="D173" s="43"/>
      <c r="E173" s="43"/>
      <c r="F173" s="44"/>
      <c r="G173" s="45" t="e">
        <f>#REF!</f>
        <v>#REF!</v>
      </c>
      <c r="H173" s="31"/>
      <c r="I173" s="20"/>
      <c r="J173" s="20"/>
      <c r="K173" s="20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</row>
    <row r="174" spans="1:165" s="18" customFormat="1" ht="20.149999999999999" customHeight="1" x14ac:dyDescent="0.35">
      <c r="B174" s="38" t="s">
        <v>13</v>
      </c>
      <c r="C174" s="50"/>
      <c r="D174" s="50"/>
      <c r="E174" s="50"/>
      <c r="F174" s="51"/>
      <c r="G174" s="52" t="e">
        <f>#REF!</f>
        <v>#REF!</v>
      </c>
      <c r="H174" s="33"/>
      <c r="I174" s="65"/>
      <c r="J174" s="65"/>
      <c r="K174" s="65"/>
    </row>
    <row r="175" spans="1:165" ht="20.149999999999999" customHeight="1" x14ac:dyDescent="0.35">
      <c r="A175" s="1">
        <v>1</v>
      </c>
      <c r="B175" s="34" t="s">
        <v>288</v>
      </c>
      <c r="C175" s="34" t="s">
        <v>289</v>
      </c>
      <c r="D175" s="34"/>
      <c r="E175" s="34"/>
      <c r="F175" s="55" t="s">
        <v>290</v>
      </c>
      <c r="G175" s="35" t="e">
        <f>#REF!</f>
        <v>#REF!</v>
      </c>
      <c r="I175" s="65" t="e">
        <f t="shared" ref="I175:K182" si="29">ROUNDUP($G175*100/$G$6*I$11*$K$6,0)</f>
        <v>#REF!</v>
      </c>
      <c r="J175" s="65" t="e">
        <f t="shared" si="29"/>
        <v>#REF!</v>
      </c>
      <c r="K175" s="65" t="e">
        <f t="shared" si="29"/>
        <v>#REF!</v>
      </c>
    </row>
    <row r="176" spans="1:165" ht="20.149999999999999" customHeight="1" x14ac:dyDescent="0.35">
      <c r="A176" s="1">
        <f>A172+1</f>
        <v>1</v>
      </c>
      <c r="B176" s="34" t="s">
        <v>291</v>
      </c>
      <c r="C176" s="34" t="s">
        <v>292</v>
      </c>
      <c r="D176" s="34"/>
      <c r="E176" s="34"/>
      <c r="F176" s="55" t="s">
        <v>290</v>
      </c>
      <c r="G176" s="35" t="e">
        <f>#REF!</f>
        <v>#REF!</v>
      </c>
      <c r="I176" s="65" t="e">
        <f t="shared" si="29"/>
        <v>#REF!</v>
      </c>
      <c r="J176" s="65" t="e">
        <f t="shared" si="29"/>
        <v>#REF!</v>
      </c>
      <c r="K176" s="65" t="e">
        <f t="shared" si="29"/>
        <v>#REF!</v>
      </c>
    </row>
    <row r="177" spans="1:11" ht="20.149999999999999" customHeight="1" x14ac:dyDescent="0.35">
      <c r="A177" s="1">
        <f t="shared" ref="A177:A182" si="30">A173+1</f>
        <v>1</v>
      </c>
      <c r="B177" s="34" t="s">
        <v>293</v>
      </c>
      <c r="C177" s="34" t="s">
        <v>294</v>
      </c>
      <c r="D177" s="34"/>
      <c r="E177" s="34"/>
      <c r="F177" s="55" t="s">
        <v>290</v>
      </c>
      <c r="G177" s="35" t="e">
        <f>#REF!</f>
        <v>#REF!</v>
      </c>
      <c r="I177" s="65" t="e">
        <f t="shared" si="29"/>
        <v>#REF!</v>
      </c>
      <c r="J177" s="65" t="e">
        <f t="shared" si="29"/>
        <v>#REF!</v>
      </c>
      <c r="K177" s="65" t="e">
        <f t="shared" si="29"/>
        <v>#REF!</v>
      </c>
    </row>
    <row r="178" spans="1:11" ht="20.149999999999999" customHeight="1" x14ac:dyDescent="0.35">
      <c r="A178" s="1">
        <f t="shared" si="30"/>
        <v>1</v>
      </c>
      <c r="B178" s="34" t="s">
        <v>295</v>
      </c>
      <c r="C178" s="34" t="s">
        <v>296</v>
      </c>
      <c r="D178" s="34"/>
      <c r="E178" s="34"/>
      <c r="F178" s="55" t="s">
        <v>290</v>
      </c>
      <c r="G178" s="35" t="e">
        <f>#REF!</f>
        <v>#REF!</v>
      </c>
      <c r="I178" s="65" t="e">
        <f t="shared" si="29"/>
        <v>#REF!</v>
      </c>
      <c r="J178" s="65" t="e">
        <f t="shared" si="29"/>
        <v>#REF!</v>
      </c>
      <c r="K178" s="65" t="e">
        <f t="shared" si="29"/>
        <v>#REF!</v>
      </c>
    </row>
    <row r="179" spans="1:11" ht="20.149999999999999" customHeight="1" x14ac:dyDescent="0.35">
      <c r="A179" s="1">
        <f t="shared" si="30"/>
        <v>2</v>
      </c>
      <c r="B179" s="34" t="s">
        <v>297</v>
      </c>
      <c r="C179" s="34" t="s">
        <v>298</v>
      </c>
      <c r="D179" s="34"/>
      <c r="E179" s="34"/>
      <c r="F179" s="55" t="s">
        <v>290</v>
      </c>
      <c r="G179" s="35" t="e">
        <f>#REF!</f>
        <v>#REF!</v>
      </c>
      <c r="I179" s="65" t="e">
        <f t="shared" si="29"/>
        <v>#REF!</v>
      </c>
      <c r="J179" s="65" t="e">
        <f t="shared" si="29"/>
        <v>#REF!</v>
      </c>
      <c r="K179" s="65" t="e">
        <f t="shared" si="29"/>
        <v>#REF!</v>
      </c>
    </row>
    <row r="180" spans="1:11" ht="20.149999999999999" customHeight="1" x14ac:dyDescent="0.35">
      <c r="A180" s="1">
        <f t="shared" si="30"/>
        <v>2</v>
      </c>
      <c r="B180" s="34" t="s">
        <v>299</v>
      </c>
      <c r="C180" s="34" t="s">
        <v>300</v>
      </c>
      <c r="D180" s="34"/>
      <c r="E180" s="34"/>
      <c r="F180" s="55" t="s">
        <v>290</v>
      </c>
      <c r="G180" s="35" t="e">
        <f>#REF!</f>
        <v>#REF!</v>
      </c>
      <c r="I180" s="65" t="e">
        <f t="shared" si="29"/>
        <v>#REF!</v>
      </c>
      <c r="J180" s="65" t="e">
        <f t="shared" si="29"/>
        <v>#REF!</v>
      </c>
      <c r="K180" s="65" t="e">
        <f t="shared" si="29"/>
        <v>#REF!</v>
      </c>
    </row>
    <row r="181" spans="1:11" ht="20.149999999999999" customHeight="1" x14ac:dyDescent="0.35">
      <c r="A181" s="1">
        <f t="shared" si="30"/>
        <v>2</v>
      </c>
      <c r="B181" s="34"/>
      <c r="C181" s="34"/>
      <c r="D181" s="34"/>
      <c r="E181" s="34"/>
      <c r="F181" s="55"/>
      <c r="G181" s="35" t="e">
        <f>#REF!</f>
        <v>#REF!</v>
      </c>
      <c r="I181" s="65" t="e">
        <f t="shared" si="29"/>
        <v>#REF!</v>
      </c>
      <c r="J181" s="65" t="e">
        <f t="shared" si="29"/>
        <v>#REF!</v>
      </c>
      <c r="K181" s="65" t="e">
        <f t="shared" si="29"/>
        <v>#REF!</v>
      </c>
    </row>
    <row r="182" spans="1:11" ht="20.149999999999999" customHeight="1" x14ac:dyDescent="0.35">
      <c r="A182" s="1">
        <f t="shared" si="30"/>
        <v>2</v>
      </c>
      <c r="B182" s="34"/>
      <c r="C182" s="34"/>
      <c r="D182" s="34"/>
      <c r="E182" s="34"/>
      <c r="F182" s="55"/>
      <c r="G182" s="35" t="e">
        <f>#REF!</f>
        <v>#REF!</v>
      </c>
      <c r="I182" s="65" t="e">
        <f t="shared" si="29"/>
        <v>#REF!</v>
      </c>
      <c r="J182" s="65" t="e">
        <f t="shared" si="29"/>
        <v>#REF!</v>
      </c>
      <c r="K182" s="65" t="e">
        <f t="shared" si="29"/>
        <v>#REF!</v>
      </c>
    </row>
    <row r="183" spans="1:11" s="18" customFormat="1" ht="20.149999999999999" customHeight="1" x14ac:dyDescent="0.35">
      <c r="B183" s="38" t="s">
        <v>14</v>
      </c>
      <c r="C183" s="50"/>
      <c r="D183" s="50"/>
      <c r="E183" s="50"/>
      <c r="F183" s="51"/>
      <c r="G183" s="52" t="e">
        <f>#REF!</f>
        <v>#REF!</v>
      </c>
      <c r="H183" s="33"/>
      <c r="I183" s="65"/>
      <c r="J183" s="65"/>
      <c r="K183" s="65"/>
    </row>
    <row r="184" spans="1:11" ht="20.149999999999999" customHeight="1" x14ac:dyDescent="0.35">
      <c r="A184" s="1">
        <v>1</v>
      </c>
      <c r="B184" s="34" t="s">
        <v>301</v>
      </c>
      <c r="C184" s="34" t="s">
        <v>302</v>
      </c>
      <c r="D184" s="34"/>
      <c r="E184" s="34"/>
      <c r="F184" s="55" t="s">
        <v>303</v>
      </c>
      <c r="G184" s="35" t="e">
        <f>#REF!</f>
        <v>#REF!</v>
      </c>
      <c r="I184" s="65" t="e">
        <f t="shared" ref="I184:K192" si="31">ROUNDUP($G184*100/$G$6*I$11*$K$6,0)</f>
        <v>#REF!</v>
      </c>
      <c r="J184" s="65" t="e">
        <f t="shared" si="31"/>
        <v>#REF!</v>
      </c>
      <c r="K184" s="65" t="e">
        <f t="shared" si="31"/>
        <v>#REF!</v>
      </c>
    </row>
    <row r="185" spans="1:11" ht="20.149999999999999" customHeight="1" x14ac:dyDescent="0.35">
      <c r="A185" s="1">
        <f>A181+1</f>
        <v>3</v>
      </c>
      <c r="B185" s="34" t="s">
        <v>304</v>
      </c>
      <c r="C185" s="34" t="s">
        <v>305</v>
      </c>
      <c r="D185" s="34"/>
      <c r="E185" s="34"/>
      <c r="F185" s="55" t="s">
        <v>303</v>
      </c>
      <c r="G185" s="35" t="e">
        <f>#REF!</f>
        <v>#REF!</v>
      </c>
      <c r="I185" s="65" t="e">
        <f t="shared" si="31"/>
        <v>#REF!</v>
      </c>
      <c r="J185" s="65" t="e">
        <f t="shared" si="31"/>
        <v>#REF!</v>
      </c>
      <c r="K185" s="65" t="e">
        <f t="shared" si="31"/>
        <v>#REF!</v>
      </c>
    </row>
    <row r="186" spans="1:11" ht="20.149999999999999" customHeight="1" x14ac:dyDescent="0.35">
      <c r="A186" s="1">
        <f t="shared" ref="A186:A187" si="32">A185+1</f>
        <v>4</v>
      </c>
      <c r="B186" s="34" t="s">
        <v>306</v>
      </c>
      <c r="C186" s="34" t="s">
        <v>307</v>
      </c>
      <c r="D186" s="34"/>
      <c r="E186" s="34"/>
      <c r="F186" s="55" t="s">
        <v>303</v>
      </c>
      <c r="G186" s="35" t="e">
        <f>#REF!</f>
        <v>#REF!</v>
      </c>
      <c r="I186" s="65" t="e">
        <f t="shared" si="31"/>
        <v>#REF!</v>
      </c>
      <c r="J186" s="65" t="e">
        <f t="shared" si="31"/>
        <v>#REF!</v>
      </c>
      <c r="K186" s="65" t="e">
        <f t="shared" si="31"/>
        <v>#REF!</v>
      </c>
    </row>
    <row r="187" spans="1:11" ht="20.149999999999999" customHeight="1" x14ac:dyDescent="0.35">
      <c r="A187" s="1">
        <f t="shared" si="32"/>
        <v>5</v>
      </c>
      <c r="B187" s="34" t="s">
        <v>308</v>
      </c>
      <c r="C187" s="34" t="s">
        <v>309</v>
      </c>
      <c r="D187" s="34"/>
      <c r="E187" s="34"/>
      <c r="F187" s="55" t="s">
        <v>303</v>
      </c>
      <c r="G187" s="35" t="e">
        <f>#REF!</f>
        <v>#REF!</v>
      </c>
      <c r="I187" s="65" t="e">
        <f t="shared" si="31"/>
        <v>#REF!</v>
      </c>
      <c r="J187" s="65" t="e">
        <f t="shared" si="31"/>
        <v>#REF!</v>
      </c>
      <c r="K187" s="65" t="e">
        <f t="shared" si="31"/>
        <v>#REF!</v>
      </c>
    </row>
    <row r="188" spans="1:11" ht="20.149999999999999" customHeight="1" x14ac:dyDescent="0.35">
      <c r="A188" s="1">
        <f>A184+1</f>
        <v>2</v>
      </c>
      <c r="B188" s="34" t="s">
        <v>310</v>
      </c>
      <c r="C188" s="34" t="s">
        <v>311</v>
      </c>
      <c r="D188" s="34"/>
      <c r="E188" s="34"/>
      <c r="F188" s="55" t="s">
        <v>303</v>
      </c>
      <c r="G188" s="35" t="e">
        <f>#REF!</f>
        <v>#REF!</v>
      </c>
      <c r="I188" s="65" t="e">
        <f t="shared" si="31"/>
        <v>#REF!</v>
      </c>
      <c r="J188" s="65" t="e">
        <f t="shared" si="31"/>
        <v>#REF!</v>
      </c>
      <c r="K188" s="65" t="e">
        <f t="shared" si="31"/>
        <v>#REF!</v>
      </c>
    </row>
    <row r="189" spans="1:11" ht="20.149999999999999" customHeight="1" x14ac:dyDescent="0.35">
      <c r="A189" s="1">
        <f t="shared" ref="A189:A190" si="33">A188+1</f>
        <v>3</v>
      </c>
      <c r="B189" s="34" t="s">
        <v>312</v>
      </c>
      <c r="C189" s="34" t="s">
        <v>313</v>
      </c>
      <c r="D189" s="34"/>
      <c r="E189" s="34"/>
      <c r="F189" s="55" t="s">
        <v>303</v>
      </c>
      <c r="G189" s="35" t="e">
        <f>#REF!</f>
        <v>#REF!</v>
      </c>
      <c r="I189" s="65" t="e">
        <f t="shared" si="31"/>
        <v>#REF!</v>
      </c>
      <c r="J189" s="65" t="e">
        <f t="shared" si="31"/>
        <v>#REF!</v>
      </c>
      <c r="K189" s="65" t="e">
        <f t="shared" si="31"/>
        <v>#REF!</v>
      </c>
    </row>
    <row r="190" spans="1:11" ht="20.149999999999999" customHeight="1" x14ac:dyDescent="0.35">
      <c r="A190" s="1">
        <f t="shared" si="33"/>
        <v>4</v>
      </c>
      <c r="B190" s="34" t="s">
        <v>314</v>
      </c>
      <c r="C190" s="34" t="s">
        <v>315</v>
      </c>
      <c r="D190" s="34"/>
      <c r="E190" s="34"/>
      <c r="F190" s="55" t="s">
        <v>303</v>
      </c>
      <c r="G190" s="35" t="e">
        <f>#REF!</f>
        <v>#REF!</v>
      </c>
      <c r="I190" s="65" t="e">
        <f t="shared" si="31"/>
        <v>#REF!</v>
      </c>
      <c r="J190" s="65" t="e">
        <f t="shared" si="31"/>
        <v>#REF!</v>
      </c>
      <c r="K190" s="65" t="e">
        <f t="shared" si="31"/>
        <v>#REF!</v>
      </c>
    </row>
    <row r="191" spans="1:11" ht="20.149999999999999" customHeight="1" x14ac:dyDescent="0.35">
      <c r="A191" s="1">
        <f>A189+1</f>
        <v>4</v>
      </c>
      <c r="B191" s="34"/>
      <c r="C191" s="34"/>
      <c r="D191" s="34"/>
      <c r="E191" s="34"/>
      <c r="F191" s="55"/>
      <c r="G191" s="35" t="e">
        <f>#REF!</f>
        <v>#REF!</v>
      </c>
      <c r="I191" s="65" t="e">
        <f t="shared" si="31"/>
        <v>#REF!</v>
      </c>
      <c r="J191" s="65" t="e">
        <f t="shared" si="31"/>
        <v>#REF!</v>
      </c>
      <c r="K191" s="65" t="e">
        <f t="shared" si="31"/>
        <v>#REF!</v>
      </c>
    </row>
    <row r="192" spans="1:11" ht="20.149999999999999" customHeight="1" x14ac:dyDescent="0.35">
      <c r="A192" s="1">
        <f>A190+1</f>
        <v>5</v>
      </c>
      <c r="B192" s="34"/>
      <c r="C192" s="34"/>
      <c r="D192" s="34"/>
      <c r="E192" s="34"/>
      <c r="F192" s="55"/>
      <c r="G192" s="35" t="e">
        <f>#REF!</f>
        <v>#REF!</v>
      </c>
      <c r="I192" s="65" t="e">
        <f t="shared" si="31"/>
        <v>#REF!</v>
      </c>
      <c r="J192" s="65" t="e">
        <f t="shared" si="31"/>
        <v>#REF!</v>
      </c>
      <c r="K192" s="65" t="e">
        <f t="shared" si="31"/>
        <v>#REF!</v>
      </c>
    </row>
    <row r="193" spans="1:11" s="18" customFormat="1" ht="20.149999999999999" customHeight="1" x14ac:dyDescent="0.35">
      <c r="B193" s="38" t="s">
        <v>15</v>
      </c>
      <c r="C193" s="50"/>
      <c r="D193" s="50"/>
      <c r="E193" s="50"/>
      <c r="F193" s="51"/>
      <c r="G193" s="52" t="e">
        <f>#REF!</f>
        <v>#REF!</v>
      </c>
      <c r="H193" s="33"/>
      <c r="I193" s="65"/>
      <c r="J193" s="65"/>
      <c r="K193" s="65"/>
    </row>
    <row r="194" spans="1:11" ht="20.149999999999999" customHeight="1" x14ac:dyDescent="0.35">
      <c r="A194" s="1">
        <v>1</v>
      </c>
      <c r="B194" s="34" t="s">
        <v>316</v>
      </c>
      <c r="C194" s="34" t="s">
        <v>317</v>
      </c>
      <c r="D194" s="34"/>
      <c r="E194" s="34"/>
      <c r="F194" s="55" t="s">
        <v>303</v>
      </c>
      <c r="G194" s="35" t="e">
        <f>#REF!</f>
        <v>#REF!</v>
      </c>
      <c r="I194" s="65" t="e">
        <f t="shared" ref="I194:K199" si="34">ROUNDUP($G194*100/$G$6*I$11*$K$6,0)</f>
        <v>#REF!</v>
      </c>
      <c r="J194" s="65" t="e">
        <f t="shared" si="34"/>
        <v>#REF!</v>
      </c>
      <c r="K194" s="65" t="e">
        <f t="shared" si="34"/>
        <v>#REF!</v>
      </c>
    </row>
    <row r="195" spans="1:11" ht="20.149999999999999" customHeight="1" x14ac:dyDescent="0.35">
      <c r="A195" s="1" t="e">
        <f>#REF!+1</f>
        <v>#REF!</v>
      </c>
      <c r="B195" s="34" t="s">
        <v>321</v>
      </c>
      <c r="C195" s="34" t="s">
        <v>322</v>
      </c>
      <c r="D195" s="34"/>
      <c r="E195" s="34"/>
      <c r="F195" s="55" t="s">
        <v>303</v>
      </c>
      <c r="G195" s="35" t="e">
        <f>#REF!</f>
        <v>#REF!</v>
      </c>
      <c r="I195" s="65" t="e">
        <f t="shared" si="34"/>
        <v>#REF!</v>
      </c>
      <c r="J195" s="65" t="e">
        <f t="shared" si="34"/>
        <v>#REF!</v>
      </c>
      <c r="K195" s="65" t="e">
        <f t="shared" si="34"/>
        <v>#REF!</v>
      </c>
    </row>
    <row r="196" spans="1:11" ht="20.149999999999999" customHeight="1" x14ac:dyDescent="0.35">
      <c r="A196" s="1" t="e">
        <f t="shared" ref="A196" si="35">A195+1</f>
        <v>#REF!</v>
      </c>
      <c r="B196" s="34" t="s">
        <v>323</v>
      </c>
      <c r="C196" s="34" t="s">
        <v>324</v>
      </c>
      <c r="D196" s="34"/>
      <c r="E196" s="34"/>
      <c r="F196" s="55" t="s">
        <v>290</v>
      </c>
      <c r="G196" s="35" t="e">
        <f>#REF!</f>
        <v>#REF!</v>
      </c>
      <c r="I196" s="65" t="e">
        <f t="shared" si="34"/>
        <v>#REF!</v>
      </c>
      <c r="J196" s="65" t="e">
        <f t="shared" si="34"/>
        <v>#REF!</v>
      </c>
      <c r="K196" s="65" t="e">
        <f t="shared" si="34"/>
        <v>#REF!</v>
      </c>
    </row>
    <row r="197" spans="1:11" ht="20.149999999999999" customHeight="1" x14ac:dyDescent="0.35">
      <c r="A197" s="1">
        <f>A194+1</f>
        <v>2</v>
      </c>
      <c r="B197" s="34" t="s">
        <v>325</v>
      </c>
      <c r="C197" s="34" t="s">
        <v>326</v>
      </c>
      <c r="D197" s="34"/>
      <c r="E197" s="34"/>
      <c r="F197" s="55" t="s">
        <v>303</v>
      </c>
      <c r="G197" s="35" t="e">
        <f>#REF!</f>
        <v>#REF!</v>
      </c>
      <c r="I197" s="65" t="e">
        <f t="shared" si="34"/>
        <v>#REF!</v>
      </c>
      <c r="J197" s="65" t="e">
        <f t="shared" si="34"/>
        <v>#REF!</v>
      </c>
      <c r="K197" s="65" t="e">
        <f t="shared" si="34"/>
        <v>#REF!</v>
      </c>
    </row>
    <row r="198" spans="1:11" ht="20.149999999999999" customHeight="1" x14ac:dyDescent="0.35">
      <c r="A198" s="1">
        <f t="shared" ref="A198:A199" si="36">A197+1</f>
        <v>3</v>
      </c>
      <c r="B198" s="34"/>
      <c r="C198" s="34"/>
      <c r="D198" s="34"/>
      <c r="E198" s="34"/>
      <c r="F198" s="55"/>
      <c r="G198" s="35" t="e">
        <f>#REF!</f>
        <v>#REF!</v>
      </c>
      <c r="I198" s="65" t="e">
        <f t="shared" si="34"/>
        <v>#REF!</v>
      </c>
      <c r="J198" s="65" t="e">
        <f t="shared" si="34"/>
        <v>#REF!</v>
      </c>
      <c r="K198" s="65" t="e">
        <f t="shared" si="34"/>
        <v>#REF!</v>
      </c>
    </row>
    <row r="199" spans="1:11" ht="20.149999999999999" customHeight="1" x14ac:dyDescent="0.35">
      <c r="A199" s="1">
        <f t="shared" si="36"/>
        <v>4</v>
      </c>
      <c r="B199" s="34"/>
      <c r="C199" s="34"/>
      <c r="D199" s="34"/>
      <c r="E199" s="34"/>
      <c r="F199" s="55"/>
      <c r="G199" s="35" t="e">
        <f>#REF!</f>
        <v>#REF!</v>
      </c>
      <c r="I199" s="65" t="e">
        <f t="shared" si="34"/>
        <v>#REF!</v>
      </c>
      <c r="J199" s="65" t="e">
        <f t="shared" si="34"/>
        <v>#REF!</v>
      </c>
      <c r="K199" s="65" t="e">
        <f t="shared" si="34"/>
        <v>#REF!</v>
      </c>
    </row>
    <row r="200" spans="1:11" s="18" customFormat="1" ht="20.149999999999999" customHeight="1" x14ac:dyDescent="0.35">
      <c r="B200" s="38" t="s">
        <v>16</v>
      </c>
      <c r="C200" s="50"/>
      <c r="D200" s="50"/>
      <c r="E200" s="50"/>
      <c r="F200" s="51"/>
      <c r="G200" s="52" t="e">
        <f>#REF!</f>
        <v>#REF!</v>
      </c>
      <c r="H200" s="33"/>
      <c r="I200" s="65"/>
      <c r="J200" s="65"/>
      <c r="K200" s="65"/>
    </row>
    <row r="201" spans="1:11" ht="20.149999999999999" customHeight="1" x14ac:dyDescent="0.35">
      <c r="A201" s="1">
        <v>1</v>
      </c>
      <c r="B201" s="34" t="s">
        <v>327</v>
      </c>
      <c r="C201" s="34" t="s">
        <v>328</v>
      </c>
      <c r="D201" s="34"/>
      <c r="E201" s="34"/>
      <c r="F201" s="55" t="s">
        <v>329</v>
      </c>
      <c r="G201" s="35" t="e">
        <f>#REF!</f>
        <v>#REF!</v>
      </c>
      <c r="I201" s="65" t="e">
        <f t="shared" ref="I201:K206" si="37">ROUNDUP($G201*100/$G$6*I$11*$K$6,0)</f>
        <v>#REF!</v>
      </c>
      <c r="J201" s="65" t="e">
        <f t="shared" si="37"/>
        <v>#REF!</v>
      </c>
      <c r="K201" s="65" t="e">
        <f t="shared" si="37"/>
        <v>#REF!</v>
      </c>
    </row>
    <row r="202" spans="1:11" ht="20.149999999999999" customHeight="1" x14ac:dyDescent="0.35">
      <c r="A202" s="1" t="e">
        <f>#REF!+1</f>
        <v>#REF!</v>
      </c>
      <c r="B202" s="34" t="s">
        <v>330</v>
      </c>
      <c r="C202" s="34" t="s">
        <v>331</v>
      </c>
      <c r="D202" s="34"/>
      <c r="E202" s="34"/>
      <c r="F202" s="55" t="s">
        <v>329</v>
      </c>
      <c r="G202" s="35" t="e">
        <f>#REF!</f>
        <v>#REF!</v>
      </c>
      <c r="I202" s="65" t="e">
        <f t="shared" si="37"/>
        <v>#REF!</v>
      </c>
      <c r="J202" s="65" t="e">
        <f t="shared" si="37"/>
        <v>#REF!</v>
      </c>
      <c r="K202" s="65" t="e">
        <f t="shared" si="37"/>
        <v>#REF!</v>
      </c>
    </row>
    <row r="203" spans="1:11" ht="20.149999999999999" customHeight="1" x14ac:dyDescent="0.35">
      <c r="A203" s="1" t="e">
        <f t="shared" ref="A203:A204" si="38">A202+1</f>
        <v>#REF!</v>
      </c>
      <c r="B203" s="34" t="s">
        <v>332</v>
      </c>
      <c r="C203" s="34" t="s">
        <v>333</v>
      </c>
      <c r="D203" s="34"/>
      <c r="E203" s="34"/>
      <c r="F203" s="55" t="s">
        <v>329</v>
      </c>
      <c r="G203" s="35" t="e">
        <f>#REF!</f>
        <v>#REF!</v>
      </c>
      <c r="I203" s="65" t="e">
        <f t="shared" si="37"/>
        <v>#REF!</v>
      </c>
      <c r="J203" s="65" t="e">
        <f t="shared" si="37"/>
        <v>#REF!</v>
      </c>
      <c r="K203" s="65" t="e">
        <f t="shared" si="37"/>
        <v>#REF!</v>
      </c>
    </row>
    <row r="204" spans="1:11" ht="20.149999999999999" customHeight="1" x14ac:dyDescent="0.35">
      <c r="A204" s="1" t="e">
        <f t="shared" si="38"/>
        <v>#REF!</v>
      </c>
      <c r="B204" s="34" t="s">
        <v>334</v>
      </c>
      <c r="C204" s="34" t="s">
        <v>335</v>
      </c>
      <c r="D204" s="34"/>
      <c r="E204" s="34"/>
      <c r="F204" s="55" t="s">
        <v>329</v>
      </c>
      <c r="G204" s="35" t="e">
        <f>#REF!</f>
        <v>#REF!</v>
      </c>
      <c r="I204" s="65" t="e">
        <f t="shared" si="37"/>
        <v>#REF!</v>
      </c>
      <c r="J204" s="65" t="e">
        <f t="shared" si="37"/>
        <v>#REF!</v>
      </c>
      <c r="K204" s="65" t="e">
        <f t="shared" si="37"/>
        <v>#REF!</v>
      </c>
    </row>
    <row r="205" spans="1:11" ht="20.149999999999999" customHeight="1" x14ac:dyDescent="0.35">
      <c r="A205" s="1">
        <f>A201+1</f>
        <v>2</v>
      </c>
      <c r="B205" s="34"/>
      <c r="C205" s="34"/>
      <c r="D205" s="34"/>
      <c r="E205" s="34"/>
      <c r="F205" s="55"/>
      <c r="G205" s="35" t="e">
        <f>#REF!</f>
        <v>#REF!</v>
      </c>
      <c r="I205" s="65" t="e">
        <f t="shared" si="37"/>
        <v>#REF!</v>
      </c>
      <c r="J205" s="65" t="e">
        <f t="shared" si="37"/>
        <v>#REF!</v>
      </c>
      <c r="K205" s="65" t="e">
        <f t="shared" si="37"/>
        <v>#REF!</v>
      </c>
    </row>
    <row r="206" spans="1:11" ht="20.149999999999999" customHeight="1" x14ac:dyDescent="0.35">
      <c r="A206" s="1">
        <f t="shared" ref="A206" si="39">A205+1</f>
        <v>3</v>
      </c>
      <c r="B206" s="34"/>
      <c r="C206" s="34"/>
      <c r="D206" s="34"/>
      <c r="E206" s="34"/>
      <c r="F206" s="55"/>
      <c r="G206" s="35" t="e">
        <f>#REF!</f>
        <v>#REF!</v>
      </c>
      <c r="I206" s="65" t="e">
        <f t="shared" si="37"/>
        <v>#REF!</v>
      </c>
      <c r="J206" s="65" t="e">
        <f t="shared" si="37"/>
        <v>#REF!</v>
      </c>
      <c r="K206" s="65" t="e">
        <f t="shared" si="37"/>
        <v>#REF!</v>
      </c>
    </row>
    <row r="207" spans="1:11" s="18" customFormat="1" ht="20.149999999999999" customHeight="1" x14ac:dyDescent="0.35">
      <c r="B207" s="38" t="s">
        <v>17</v>
      </c>
      <c r="C207" s="50"/>
      <c r="D207" s="50"/>
      <c r="E207" s="50"/>
      <c r="F207" s="51"/>
      <c r="G207" s="52" t="e">
        <f>#REF!</f>
        <v>#REF!</v>
      </c>
      <c r="H207" s="33"/>
      <c r="I207" s="65"/>
      <c r="J207" s="65"/>
      <c r="K207" s="65"/>
    </row>
    <row r="208" spans="1:11" ht="20.149999999999999" hidden="1" customHeight="1" x14ac:dyDescent="0.35">
      <c r="A208" s="1">
        <v>1</v>
      </c>
      <c r="B208" s="34"/>
      <c r="C208" s="34"/>
      <c r="D208" s="34"/>
      <c r="E208" s="34"/>
      <c r="F208" s="55"/>
      <c r="G208" s="35" t="e">
        <f>#REF!</f>
        <v>#REF!</v>
      </c>
      <c r="I208" s="65" t="e">
        <f t="shared" ref="I208:K224" si="40">$G208*100/$G$6*I$11*$K$6</f>
        <v>#REF!</v>
      </c>
      <c r="J208" s="65" t="e">
        <f t="shared" si="40"/>
        <v>#REF!</v>
      </c>
      <c r="K208" s="65" t="e">
        <f t="shared" si="40"/>
        <v>#REF!</v>
      </c>
    </row>
    <row r="209" spans="1:11" ht="20.149999999999999" hidden="1" customHeight="1" x14ac:dyDescent="0.35">
      <c r="A209" s="1">
        <f>A200+1</f>
        <v>1</v>
      </c>
      <c r="B209" s="34"/>
      <c r="C209" s="34"/>
      <c r="D209" s="34"/>
      <c r="E209" s="34"/>
      <c r="F209" s="55"/>
      <c r="G209" s="35" t="e">
        <f>#REF!</f>
        <v>#REF!</v>
      </c>
      <c r="I209" s="65" t="e">
        <f t="shared" si="40"/>
        <v>#REF!</v>
      </c>
      <c r="J209" s="65" t="e">
        <f t="shared" si="40"/>
        <v>#REF!</v>
      </c>
      <c r="K209" s="65" t="e">
        <f t="shared" si="40"/>
        <v>#REF!</v>
      </c>
    </row>
    <row r="210" spans="1:11" ht="20.149999999999999" hidden="1" customHeight="1" x14ac:dyDescent="0.35">
      <c r="A210" s="1">
        <f t="shared" ref="A210:A211" si="41">A209+1</f>
        <v>2</v>
      </c>
      <c r="B210" s="34"/>
      <c r="C210" s="34"/>
      <c r="D210" s="34"/>
      <c r="E210" s="34"/>
      <c r="F210" s="55"/>
      <c r="G210" s="35" t="e">
        <f>#REF!</f>
        <v>#REF!</v>
      </c>
      <c r="I210" s="65" t="e">
        <f t="shared" si="40"/>
        <v>#REF!</v>
      </c>
      <c r="J210" s="65" t="e">
        <f t="shared" si="40"/>
        <v>#REF!</v>
      </c>
      <c r="K210" s="65" t="e">
        <f t="shared" si="40"/>
        <v>#REF!</v>
      </c>
    </row>
    <row r="211" spans="1:11" ht="20.149999999999999" hidden="1" customHeight="1" x14ac:dyDescent="0.35">
      <c r="A211" s="1">
        <f t="shared" si="41"/>
        <v>3</v>
      </c>
      <c r="B211" s="34"/>
      <c r="C211" s="34"/>
      <c r="D211" s="34"/>
      <c r="E211" s="34"/>
      <c r="F211" s="55"/>
      <c r="G211" s="35" t="e">
        <f>#REF!</f>
        <v>#REF!</v>
      </c>
      <c r="I211" s="65" t="e">
        <f t="shared" si="40"/>
        <v>#REF!</v>
      </c>
      <c r="J211" s="65" t="e">
        <f t="shared" si="40"/>
        <v>#REF!</v>
      </c>
      <c r="K211" s="65" t="e">
        <f t="shared" si="40"/>
        <v>#REF!</v>
      </c>
    </row>
    <row r="212" spans="1:11" ht="20.149999999999999" hidden="1" customHeight="1" x14ac:dyDescent="0.35">
      <c r="A212" s="1" t="e">
        <f>A203+1</f>
        <v>#REF!</v>
      </c>
      <c r="B212" s="34"/>
      <c r="C212" s="34"/>
      <c r="D212" s="34"/>
      <c r="E212" s="34"/>
      <c r="F212" s="55"/>
      <c r="G212" s="35" t="e">
        <f>#REF!</f>
        <v>#REF!</v>
      </c>
      <c r="I212" s="65" t="e">
        <f t="shared" si="40"/>
        <v>#REF!</v>
      </c>
      <c r="J212" s="65" t="e">
        <f t="shared" si="40"/>
        <v>#REF!</v>
      </c>
      <c r="K212" s="65" t="e">
        <f t="shared" si="40"/>
        <v>#REF!</v>
      </c>
    </row>
    <row r="213" spans="1:11" ht="20.149999999999999" hidden="1" customHeight="1" x14ac:dyDescent="0.35">
      <c r="A213" s="1" t="e">
        <f t="shared" ref="A213:A214" si="42">A212+1</f>
        <v>#REF!</v>
      </c>
      <c r="B213" s="34"/>
      <c r="C213" s="34"/>
      <c r="D213" s="34"/>
      <c r="E213" s="34"/>
      <c r="F213" s="55"/>
      <c r="G213" s="35" t="e">
        <f>#REF!</f>
        <v>#REF!</v>
      </c>
      <c r="I213" s="65" t="e">
        <f t="shared" si="40"/>
        <v>#REF!</v>
      </c>
      <c r="J213" s="65" t="e">
        <f t="shared" si="40"/>
        <v>#REF!</v>
      </c>
      <c r="K213" s="65" t="e">
        <f t="shared" si="40"/>
        <v>#REF!</v>
      </c>
    </row>
    <row r="214" spans="1:11" ht="20.149999999999999" hidden="1" customHeight="1" x14ac:dyDescent="0.35">
      <c r="A214" s="1" t="e">
        <f t="shared" si="42"/>
        <v>#REF!</v>
      </c>
      <c r="B214" s="34"/>
      <c r="C214" s="34"/>
      <c r="D214" s="34"/>
      <c r="E214" s="34"/>
      <c r="F214" s="55"/>
      <c r="G214" s="35" t="e">
        <f>#REF!</f>
        <v>#REF!</v>
      </c>
      <c r="I214" s="65" t="e">
        <f t="shared" si="40"/>
        <v>#REF!</v>
      </c>
      <c r="J214" s="65" t="e">
        <f t="shared" si="40"/>
        <v>#REF!</v>
      </c>
      <c r="K214" s="65" t="e">
        <f t="shared" si="40"/>
        <v>#REF!</v>
      </c>
    </row>
    <row r="215" spans="1:11" ht="20.149999999999999" hidden="1" customHeight="1" x14ac:dyDescent="0.35">
      <c r="A215" s="1" t="e">
        <f>A213+1</f>
        <v>#REF!</v>
      </c>
      <c r="B215" s="34"/>
      <c r="C215" s="34"/>
      <c r="D215" s="34"/>
      <c r="E215" s="34"/>
      <c r="F215" s="55"/>
      <c r="G215" s="35" t="e">
        <f>#REF!</f>
        <v>#REF!</v>
      </c>
      <c r="I215" s="65" t="e">
        <f t="shared" si="40"/>
        <v>#REF!</v>
      </c>
      <c r="J215" s="65" t="e">
        <f t="shared" si="40"/>
        <v>#REF!</v>
      </c>
      <c r="K215" s="65" t="e">
        <f t="shared" si="40"/>
        <v>#REF!</v>
      </c>
    </row>
    <row r="216" spans="1:11" ht="20.149999999999999" hidden="1" customHeight="1" x14ac:dyDescent="0.35">
      <c r="A216" s="1" t="e">
        <f>A214+1</f>
        <v>#REF!</v>
      </c>
      <c r="B216" s="34"/>
      <c r="C216" s="34"/>
      <c r="D216" s="34"/>
      <c r="E216" s="34"/>
      <c r="F216" s="55"/>
      <c r="G216" s="35" t="e">
        <f>#REF!</f>
        <v>#REF!</v>
      </c>
      <c r="I216" s="65" t="e">
        <f t="shared" si="40"/>
        <v>#REF!</v>
      </c>
      <c r="J216" s="65" t="e">
        <f t="shared" si="40"/>
        <v>#REF!</v>
      </c>
      <c r="K216" s="65" t="e">
        <f t="shared" si="40"/>
        <v>#REF!</v>
      </c>
    </row>
    <row r="217" spans="1:11" ht="20.149999999999999" hidden="1" customHeight="1" x14ac:dyDescent="0.35">
      <c r="A217" s="1" t="e">
        <f>#REF!+1</f>
        <v>#REF!</v>
      </c>
      <c r="B217" s="34"/>
      <c r="C217" s="34"/>
      <c r="D217" s="34"/>
      <c r="E217" s="34"/>
      <c r="F217" s="55"/>
      <c r="G217" s="35" t="e">
        <f>#REF!</f>
        <v>#REF!</v>
      </c>
      <c r="I217" s="65" t="e">
        <f t="shared" si="40"/>
        <v>#REF!</v>
      </c>
      <c r="J217" s="65" t="e">
        <f t="shared" si="40"/>
        <v>#REF!</v>
      </c>
      <c r="K217" s="65" t="e">
        <f t="shared" si="40"/>
        <v>#REF!</v>
      </c>
    </row>
    <row r="218" spans="1:11" ht="20.149999999999999" hidden="1" customHeight="1" x14ac:dyDescent="0.35">
      <c r="A218" s="1" t="e">
        <f t="shared" ref="A218:A219" si="43">A217+1</f>
        <v>#REF!</v>
      </c>
      <c r="B218" s="34"/>
      <c r="C218" s="34"/>
      <c r="D218" s="34"/>
      <c r="E218" s="34"/>
      <c r="F218" s="55"/>
      <c r="G218" s="35" t="e">
        <f>#REF!</f>
        <v>#REF!</v>
      </c>
      <c r="I218" s="65" t="e">
        <f t="shared" si="40"/>
        <v>#REF!</v>
      </c>
      <c r="J218" s="65" t="e">
        <f t="shared" si="40"/>
        <v>#REF!</v>
      </c>
      <c r="K218" s="65" t="e">
        <f t="shared" si="40"/>
        <v>#REF!</v>
      </c>
    </row>
    <row r="219" spans="1:11" ht="20.149999999999999" hidden="1" customHeight="1" x14ac:dyDescent="0.35">
      <c r="A219" s="1" t="e">
        <f t="shared" si="43"/>
        <v>#REF!</v>
      </c>
      <c r="B219" s="34"/>
      <c r="C219" s="34"/>
      <c r="D219" s="34"/>
      <c r="E219" s="34"/>
      <c r="F219" s="55"/>
      <c r="G219" s="35" t="e">
        <f>#REF!</f>
        <v>#REF!</v>
      </c>
      <c r="I219" s="65" t="e">
        <f t="shared" si="40"/>
        <v>#REF!</v>
      </c>
      <c r="J219" s="65" t="e">
        <f t="shared" si="40"/>
        <v>#REF!</v>
      </c>
      <c r="K219" s="65" t="e">
        <f t="shared" si="40"/>
        <v>#REF!</v>
      </c>
    </row>
    <row r="220" spans="1:11" ht="20.149999999999999" hidden="1" customHeight="1" x14ac:dyDescent="0.35">
      <c r="A220" s="1">
        <f>A208+1</f>
        <v>2</v>
      </c>
      <c r="B220" s="34"/>
      <c r="C220" s="34"/>
      <c r="D220" s="34"/>
      <c r="E220" s="34"/>
      <c r="F220" s="55"/>
      <c r="G220" s="35" t="e">
        <f>#REF!</f>
        <v>#REF!</v>
      </c>
      <c r="I220" s="65" t="e">
        <f t="shared" si="40"/>
        <v>#REF!</v>
      </c>
      <c r="J220" s="65" t="e">
        <f t="shared" si="40"/>
        <v>#REF!</v>
      </c>
      <c r="K220" s="65" t="e">
        <f t="shared" si="40"/>
        <v>#REF!</v>
      </c>
    </row>
    <row r="221" spans="1:11" ht="20.149999999999999" hidden="1" customHeight="1" x14ac:dyDescent="0.35">
      <c r="A221" s="1">
        <f t="shared" ref="A221:A222" si="44">A220+1</f>
        <v>3</v>
      </c>
      <c r="B221" s="34"/>
      <c r="C221" s="34"/>
      <c r="D221" s="34"/>
      <c r="E221" s="34"/>
      <c r="F221" s="55"/>
      <c r="G221" s="35" t="e">
        <f>#REF!</f>
        <v>#REF!</v>
      </c>
      <c r="I221" s="65" t="e">
        <f t="shared" si="40"/>
        <v>#REF!</v>
      </c>
      <c r="J221" s="65" t="e">
        <f t="shared" si="40"/>
        <v>#REF!</v>
      </c>
      <c r="K221" s="65" t="e">
        <f t="shared" si="40"/>
        <v>#REF!</v>
      </c>
    </row>
    <row r="222" spans="1:11" ht="20.149999999999999" hidden="1" customHeight="1" x14ac:dyDescent="0.35">
      <c r="A222" s="1">
        <f t="shared" si="44"/>
        <v>4</v>
      </c>
      <c r="B222" s="34"/>
      <c r="C222" s="34"/>
      <c r="D222" s="34"/>
      <c r="E222" s="34"/>
      <c r="F222" s="55"/>
      <c r="G222" s="35" t="e">
        <f>#REF!</f>
        <v>#REF!</v>
      </c>
      <c r="I222" s="65" t="e">
        <f t="shared" si="40"/>
        <v>#REF!</v>
      </c>
      <c r="J222" s="65" t="e">
        <f t="shared" si="40"/>
        <v>#REF!</v>
      </c>
      <c r="K222" s="65" t="e">
        <f t="shared" si="40"/>
        <v>#REF!</v>
      </c>
    </row>
    <row r="223" spans="1:11" ht="20.149999999999999" hidden="1" customHeight="1" x14ac:dyDescent="0.35">
      <c r="A223" s="1">
        <f>A221+1</f>
        <v>4</v>
      </c>
      <c r="B223" s="34"/>
      <c r="C223" s="34"/>
      <c r="D223" s="34"/>
      <c r="E223" s="34"/>
      <c r="F223" s="55"/>
      <c r="G223" s="35" t="e">
        <f>#REF!</f>
        <v>#REF!</v>
      </c>
      <c r="I223" s="65" t="e">
        <f t="shared" si="40"/>
        <v>#REF!</v>
      </c>
      <c r="J223" s="65" t="e">
        <f t="shared" si="40"/>
        <v>#REF!</v>
      </c>
      <c r="K223" s="65" t="e">
        <f t="shared" si="40"/>
        <v>#REF!</v>
      </c>
    </row>
    <row r="224" spans="1:11" ht="20.149999999999999" hidden="1" customHeight="1" x14ac:dyDescent="0.35">
      <c r="A224" s="1">
        <f>A222+1</f>
        <v>5</v>
      </c>
      <c r="B224" s="34"/>
      <c r="C224" s="34"/>
      <c r="D224" s="34"/>
      <c r="E224" s="34"/>
      <c r="F224" s="55"/>
      <c r="G224" s="35" t="e">
        <f>#REF!</f>
        <v>#REF!</v>
      </c>
      <c r="I224" s="65" t="e">
        <f t="shared" si="40"/>
        <v>#REF!</v>
      </c>
      <c r="J224" s="65" t="e">
        <f t="shared" si="40"/>
        <v>#REF!</v>
      </c>
      <c r="K224" s="65" t="e">
        <f t="shared" si="40"/>
        <v>#REF!</v>
      </c>
    </row>
    <row r="225" spans="1:11" s="18" customFormat="1" ht="20.149999999999999" customHeight="1" x14ac:dyDescent="0.35">
      <c r="B225" s="46" t="s">
        <v>18</v>
      </c>
      <c r="C225" s="47"/>
      <c r="D225" s="47"/>
      <c r="E225" s="47"/>
      <c r="F225" s="48"/>
      <c r="G225" s="49" t="e">
        <f>#REF!</f>
        <v>#REF!</v>
      </c>
      <c r="H225" s="33"/>
      <c r="I225" s="20"/>
      <c r="J225" s="20"/>
      <c r="K225" s="20"/>
    </row>
    <row r="226" spans="1:11" ht="20.149999999999999" customHeight="1" x14ac:dyDescent="0.35">
      <c r="A226" s="1">
        <f>A222+1</f>
        <v>5</v>
      </c>
      <c r="B226" s="34" t="s">
        <v>318</v>
      </c>
      <c r="C226" s="34" t="s">
        <v>319</v>
      </c>
      <c r="D226" s="34"/>
      <c r="E226" s="34"/>
      <c r="F226" s="55" t="s">
        <v>320</v>
      </c>
      <c r="G226" s="35" t="e">
        <f>#REF!</f>
        <v>#REF!</v>
      </c>
      <c r="I226" s="65" t="e">
        <f t="shared" ref="I226:K228" si="45">ROUNDUP($G226*100/$G$6*I$11*$K$6,0)</f>
        <v>#REF!</v>
      </c>
      <c r="J226" s="65" t="e">
        <f t="shared" si="45"/>
        <v>#REF!</v>
      </c>
      <c r="K226" s="65" t="e">
        <f t="shared" si="45"/>
        <v>#REF!</v>
      </c>
    </row>
    <row r="227" spans="1:11" ht="20.149999999999999" customHeight="1" x14ac:dyDescent="0.35">
      <c r="A227" s="1">
        <f>A226+1</f>
        <v>6</v>
      </c>
      <c r="B227" s="34"/>
      <c r="C227" s="34"/>
      <c r="D227" s="34"/>
      <c r="E227" s="34"/>
      <c r="F227" s="55"/>
      <c r="G227" s="35" t="e">
        <f>#REF!</f>
        <v>#REF!</v>
      </c>
      <c r="I227" s="65" t="e">
        <f t="shared" si="45"/>
        <v>#REF!</v>
      </c>
      <c r="J227" s="65" t="e">
        <f t="shared" si="45"/>
        <v>#REF!</v>
      </c>
      <c r="K227" s="65" t="e">
        <f t="shared" si="45"/>
        <v>#REF!</v>
      </c>
    </row>
    <row r="228" spans="1:11" ht="20.149999999999999" customHeight="1" x14ac:dyDescent="0.35">
      <c r="B228" s="36"/>
      <c r="C228" s="36"/>
      <c r="D228" s="36"/>
      <c r="E228" s="36"/>
      <c r="F228" s="56"/>
      <c r="G228" s="37" t="e">
        <f>#REF!</f>
        <v>#REF!</v>
      </c>
      <c r="I228" s="69" t="e">
        <f t="shared" si="45"/>
        <v>#REF!</v>
      </c>
      <c r="J228" s="69" t="e">
        <f t="shared" si="45"/>
        <v>#REF!</v>
      </c>
      <c r="K228" s="69" t="e">
        <f t="shared" si="45"/>
        <v>#REF!</v>
      </c>
    </row>
    <row r="229" spans="1:11" ht="4.9000000000000004" customHeight="1" x14ac:dyDescent="0.35"/>
  </sheetData>
  <mergeCells count="7">
    <mergeCell ref="I6:J6"/>
    <mergeCell ref="D8:D9"/>
    <mergeCell ref="G8:G9"/>
    <mergeCell ref="B8:B9"/>
    <mergeCell ref="C8:C9"/>
    <mergeCell ref="E8:E9"/>
    <mergeCell ref="F8:F9"/>
  </mergeCells>
  <conditionalFormatting sqref="B13">
    <cfRule type="duplicateValues" dxfId="153" priority="170"/>
  </conditionalFormatting>
  <conditionalFormatting sqref="B15">
    <cfRule type="duplicateValues" dxfId="152" priority="259"/>
  </conditionalFormatting>
  <conditionalFormatting sqref="B20">
    <cfRule type="duplicateValues" dxfId="151" priority="769"/>
  </conditionalFormatting>
  <conditionalFormatting sqref="B23">
    <cfRule type="duplicateValues" dxfId="150" priority="203"/>
  </conditionalFormatting>
  <conditionalFormatting sqref="B24">
    <cfRule type="duplicateValues" dxfId="149" priority="261"/>
  </conditionalFormatting>
  <conditionalFormatting sqref="B25">
    <cfRule type="duplicateValues" dxfId="148" priority="263"/>
  </conditionalFormatting>
  <conditionalFormatting sqref="B26">
    <cfRule type="duplicateValues" dxfId="147" priority="265"/>
  </conditionalFormatting>
  <conditionalFormatting sqref="B27">
    <cfRule type="duplicateValues" dxfId="146" priority="255"/>
    <cfRule type="duplicateValues" dxfId="145" priority="257"/>
  </conditionalFormatting>
  <conditionalFormatting sqref="B28:B29">
    <cfRule type="duplicateValues" dxfId="144" priority="113"/>
    <cfRule type="duplicateValues" dxfId="143" priority="114"/>
  </conditionalFormatting>
  <conditionalFormatting sqref="B32">
    <cfRule type="duplicateValues" dxfId="142" priority="253"/>
  </conditionalFormatting>
  <conditionalFormatting sqref="B41">
    <cfRule type="duplicateValues" dxfId="141" priority="252"/>
  </conditionalFormatting>
  <conditionalFormatting sqref="B42 B30:B31 B33:B40">
    <cfRule type="duplicateValues" dxfId="140" priority="269"/>
  </conditionalFormatting>
  <conditionalFormatting sqref="B43:B46">
    <cfRule type="duplicateValues" dxfId="139" priority="92"/>
  </conditionalFormatting>
  <conditionalFormatting sqref="B47:B50">
    <cfRule type="duplicateValues" dxfId="138" priority="90"/>
    <cfRule type="duplicateValues" dxfId="137" priority="91"/>
  </conditionalFormatting>
  <conditionalFormatting sqref="B51:B54">
    <cfRule type="duplicateValues" dxfId="136" priority="97"/>
  </conditionalFormatting>
  <conditionalFormatting sqref="B55:B56">
    <cfRule type="duplicateValues" dxfId="135" priority="95"/>
    <cfRule type="duplicateValues" dxfId="134" priority="96"/>
  </conditionalFormatting>
  <conditionalFormatting sqref="B57:B60">
    <cfRule type="duplicateValues" dxfId="133" priority="102"/>
  </conditionalFormatting>
  <conditionalFormatting sqref="B61:B64">
    <cfRule type="duplicateValues" dxfId="132" priority="100"/>
    <cfRule type="duplicateValues" dxfId="131" priority="101"/>
  </conditionalFormatting>
  <conditionalFormatting sqref="B65:B68">
    <cfRule type="duplicateValues" dxfId="130" priority="107"/>
  </conditionalFormatting>
  <conditionalFormatting sqref="B69:B72">
    <cfRule type="duplicateValues" dxfId="129" priority="105"/>
    <cfRule type="duplicateValues" dxfId="128" priority="106"/>
  </conditionalFormatting>
  <conditionalFormatting sqref="B73:B76">
    <cfRule type="duplicateValues" dxfId="127" priority="110"/>
  </conditionalFormatting>
  <conditionalFormatting sqref="B77">
    <cfRule type="duplicateValues" dxfId="126" priority="270"/>
  </conditionalFormatting>
  <conditionalFormatting sqref="B78">
    <cfRule type="duplicateValues" dxfId="125" priority="250"/>
  </conditionalFormatting>
  <conditionalFormatting sqref="B81">
    <cfRule type="duplicateValues" dxfId="124" priority="118"/>
  </conditionalFormatting>
  <conditionalFormatting sqref="B82">
    <cfRule type="duplicateValues" dxfId="123" priority="116"/>
  </conditionalFormatting>
  <conditionalFormatting sqref="B83 B80">
    <cfRule type="duplicateValues" dxfId="122" priority="120"/>
  </conditionalFormatting>
  <conditionalFormatting sqref="B85">
    <cfRule type="duplicateValues" dxfId="121" priority="249"/>
  </conditionalFormatting>
  <conditionalFormatting sqref="B86">
    <cfRule type="duplicateValues" dxfId="120" priority="247"/>
  </conditionalFormatting>
  <conditionalFormatting sqref="B88">
    <cfRule type="duplicateValues" dxfId="119" priority="87"/>
  </conditionalFormatting>
  <conditionalFormatting sqref="B90">
    <cfRule type="duplicateValues" dxfId="118" priority="121"/>
  </conditionalFormatting>
  <conditionalFormatting sqref="B93">
    <cfRule type="duplicateValues" dxfId="117" priority="245"/>
  </conditionalFormatting>
  <conditionalFormatting sqref="B95">
    <cfRule type="duplicateValues" dxfId="116" priority="193"/>
  </conditionalFormatting>
  <conditionalFormatting sqref="B96">
    <cfRule type="duplicateValues" dxfId="115" priority="195"/>
  </conditionalFormatting>
  <conditionalFormatting sqref="B97">
    <cfRule type="duplicateValues" dxfId="114" priority="242"/>
  </conditionalFormatting>
  <conditionalFormatting sqref="B98">
    <cfRule type="duplicateValues" dxfId="113" priority="240"/>
    <cfRule type="duplicateValues" dxfId="112" priority="241"/>
  </conditionalFormatting>
  <conditionalFormatting sqref="B99:B100">
    <cfRule type="duplicateValues" dxfId="111" priority="238"/>
    <cfRule type="duplicateValues" dxfId="110" priority="272"/>
  </conditionalFormatting>
  <conditionalFormatting sqref="B101">
    <cfRule type="duplicateValues" dxfId="109" priority="232"/>
    <cfRule type="duplicateValues" dxfId="108" priority="233"/>
  </conditionalFormatting>
  <conditionalFormatting sqref="B102">
    <cfRule type="duplicateValues" dxfId="107" priority="235"/>
    <cfRule type="duplicateValues" dxfId="106" priority="236"/>
  </conditionalFormatting>
  <conditionalFormatting sqref="B103">
    <cfRule type="duplicateValues" dxfId="105" priority="198"/>
  </conditionalFormatting>
  <conditionalFormatting sqref="B104">
    <cfRule type="duplicateValues" dxfId="104" priority="79"/>
  </conditionalFormatting>
  <conditionalFormatting sqref="B105">
    <cfRule type="duplicateValues" dxfId="103" priority="201"/>
  </conditionalFormatting>
  <conditionalFormatting sqref="B106 B152">
    <cfRule type="duplicateValues" dxfId="102" priority="230"/>
  </conditionalFormatting>
  <conditionalFormatting sqref="B106 B155:B157 B152">
    <cfRule type="duplicateValues" dxfId="101" priority="229"/>
  </conditionalFormatting>
  <conditionalFormatting sqref="B107">
    <cfRule type="duplicateValues" dxfId="100" priority="44"/>
  </conditionalFormatting>
  <conditionalFormatting sqref="B108">
    <cfRule type="duplicateValues" dxfId="99" priority="36"/>
    <cfRule type="duplicateValues" dxfId="98" priority="37"/>
  </conditionalFormatting>
  <conditionalFormatting sqref="B109">
    <cfRule type="duplicateValues" dxfId="97" priority="39"/>
    <cfRule type="duplicateValues" dxfId="96" priority="40"/>
  </conditionalFormatting>
  <conditionalFormatting sqref="B110:B112 B107">
    <cfRule type="duplicateValues" dxfId="95" priority="43"/>
  </conditionalFormatting>
  <conditionalFormatting sqref="B113">
    <cfRule type="duplicateValues" dxfId="94" priority="33"/>
    <cfRule type="duplicateValues" dxfId="93" priority="34"/>
  </conditionalFormatting>
  <conditionalFormatting sqref="B114:B121">
    <cfRule type="duplicateValues" dxfId="92" priority="31"/>
    <cfRule type="duplicateValues" dxfId="91" priority="46"/>
  </conditionalFormatting>
  <conditionalFormatting sqref="B122">
    <cfRule type="duplicateValues" dxfId="90" priority="60"/>
  </conditionalFormatting>
  <conditionalFormatting sqref="B123">
    <cfRule type="duplicateValues" dxfId="89" priority="52"/>
    <cfRule type="duplicateValues" dxfId="88" priority="53"/>
  </conditionalFormatting>
  <conditionalFormatting sqref="B124">
    <cfRule type="duplicateValues" dxfId="87" priority="55"/>
    <cfRule type="duplicateValues" dxfId="86" priority="56"/>
  </conditionalFormatting>
  <conditionalFormatting sqref="B125:B127 B122">
    <cfRule type="duplicateValues" dxfId="85" priority="59"/>
  </conditionalFormatting>
  <conditionalFormatting sqref="B128">
    <cfRule type="duplicateValues" dxfId="84" priority="49"/>
    <cfRule type="duplicateValues" dxfId="83" priority="50"/>
  </conditionalFormatting>
  <conditionalFormatting sqref="B129:B136">
    <cfRule type="duplicateValues" dxfId="82" priority="47"/>
    <cfRule type="duplicateValues" dxfId="81" priority="62"/>
  </conditionalFormatting>
  <conditionalFormatting sqref="B137">
    <cfRule type="duplicateValues" dxfId="80" priority="76"/>
  </conditionalFormatting>
  <conditionalFormatting sqref="B138">
    <cfRule type="duplicateValues" dxfId="79" priority="68"/>
    <cfRule type="duplicateValues" dxfId="78" priority="69"/>
  </conditionalFormatting>
  <conditionalFormatting sqref="B139">
    <cfRule type="duplicateValues" dxfId="77" priority="71"/>
    <cfRule type="duplicateValues" dxfId="76" priority="72"/>
  </conditionalFormatting>
  <conditionalFormatting sqref="B140:B142 B137">
    <cfRule type="duplicateValues" dxfId="75" priority="75"/>
  </conditionalFormatting>
  <conditionalFormatting sqref="B143">
    <cfRule type="duplicateValues" dxfId="74" priority="65"/>
    <cfRule type="duplicateValues" dxfId="73" priority="66"/>
  </conditionalFormatting>
  <conditionalFormatting sqref="B144:B151">
    <cfRule type="duplicateValues" dxfId="72" priority="63"/>
    <cfRule type="duplicateValues" dxfId="71" priority="78"/>
  </conditionalFormatting>
  <conditionalFormatting sqref="B153">
    <cfRule type="duplicateValues" dxfId="70" priority="222"/>
    <cfRule type="duplicateValues" dxfId="69" priority="223"/>
  </conditionalFormatting>
  <conditionalFormatting sqref="B154">
    <cfRule type="duplicateValues" dxfId="68" priority="225"/>
    <cfRule type="duplicateValues" dxfId="67" priority="226"/>
  </conditionalFormatting>
  <conditionalFormatting sqref="B158">
    <cfRule type="duplicateValues" dxfId="66" priority="219"/>
    <cfRule type="duplicateValues" dxfId="65" priority="220"/>
  </conditionalFormatting>
  <conditionalFormatting sqref="B159:B161">
    <cfRule type="duplicateValues" dxfId="64" priority="273"/>
  </conditionalFormatting>
  <conditionalFormatting sqref="B162">
    <cfRule type="duplicateValues" dxfId="63" priority="199"/>
  </conditionalFormatting>
  <conditionalFormatting sqref="B163">
    <cfRule type="duplicateValues" dxfId="62" priority="213"/>
    <cfRule type="duplicateValues" dxfId="61" priority="214"/>
  </conditionalFormatting>
  <conditionalFormatting sqref="B164:B165 B159:B161 B168">
    <cfRule type="duplicateValues" dxfId="60" priority="217"/>
  </conditionalFormatting>
  <conditionalFormatting sqref="B166">
    <cfRule type="duplicateValues" dxfId="59" priority="28"/>
  </conditionalFormatting>
  <conditionalFormatting sqref="B167">
    <cfRule type="duplicateValues" dxfId="58" priority="30"/>
  </conditionalFormatting>
  <conditionalFormatting sqref="B169 B33:B40 B30:B31 B16:B19 B42 B79 B87 B94 B24:B26 B91:B92 B84 B89 B21:B22">
    <cfRule type="duplicateValues" dxfId="57" priority="268"/>
  </conditionalFormatting>
  <conditionalFormatting sqref="B170">
    <cfRule type="duplicateValues" dxfId="56" priority="24"/>
  </conditionalFormatting>
  <conditionalFormatting sqref="B171">
    <cfRule type="duplicateValues" dxfId="55" priority="26"/>
  </conditionalFormatting>
  <conditionalFormatting sqref="B172">
    <cfRule type="duplicateValues" dxfId="54" priority="167"/>
  </conditionalFormatting>
  <conditionalFormatting sqref="B174">
    <cfRule type="duplicateValues" dxfId="53" priority="210"/>
  </conditionalFormatting>
  <conditionalFormatting sqref="B175">
    <cfRule type="duplicateValues" dxfId="52" priority="209"/>
  </conditionalFormatting>
  <conditionalFormatting sqref="B176">
    <cfRule type="duplicateValues" dxfId="51" priority="22"/>
  </conditionalFormatting>
  <conditionalFormatting sqref="B177:B182">
    <cfRule type="duplicateValues" dxfId="50" priority="20"/>
  </conditionalFormatting>
  <conditionalFormatting sqref="B183">
    <cfRule type="duplicateValues" dxfId="49" priority="188"/>
  </conditionalFormatting>
  <conditionalFormatting sqref="B184">
    <cfRule type="duplicateValues" dxfId="48" priority="183"/>
  </conditionalFormatting>
  <conditionalFormatting sqref="B185:B186">
    <cfRule type="duplicateValues" dxfId="47" priority="165"/>
  </conditionalFormatting>
  <conditionalFormatting sqref="B187">
    <cfRule type="duplicateValues" dxfId="46" priority="163"/>
  </conditionalFormatting>
  <conditionalFormatting sqref="B188:B189">
    <cfRule type="duplicateValues" dxfId="45" priority="191"/>
  </conditionalFormatting>
  <conditionalFormatting sqref="B190">
    <cfRule type="duplicateValues" dxfId="44" priority="187"/>
  </conditionalFormatting>
  <conditionalFormatting sqref="B191">
    <cfRule type="duplicateValues" dxfId="43" priority="161"/>
  </conditionalFormatting>
  <conditionalFormatting sqref="B192">
    <cfRule type="duplicateValues" dxfId="42" priority="185"/>
  </conditionalFormatting>
  <conditionalFormatting sqref="B193">
    <cfRule type="duplicateValues" dxfId="41" priority="156"/>
  </conditionalFormatting>
  <conditionalFormatting sqref="B194">
    <cfRule type="duplicateValues" dxfId="40" priority="153"/>
  </conditionalFormatting>
  <conditionalFormatting sqref="B195">
    <cfRule type="duplicateValues" dxfId="39" priority="274"/>
  </conditionalFormatting>
  <conditionalFormatting sqref="B196">
    <cfRule type="duplicateValues" dxfId="38" priority="151"/>
  </conditionalFormatting>
  <conditionalFormatting sqref="B197:B198">
    <cfRule type="duplicateValues" dxfId="37" priority="159"/>
  </conditionalFormatting>
  <conditionalFormatting sqref="B199">
    <cfRule type="duplicateValues" dxfId="36" priority="155"/>
  </conditionalFormatting>
  <conditionalFormatting sqref="B200">
    <cfRule type="duplicateValues" dxfId="35" priority="146"/>
  </conditionalFormatting>
  <conditionalFormatting sqref="B201">
    <cfRule type="duplicateValues" dxfId="34" priority="145"/>
  </conditionalFormatting>
  <conditionalFormatting sqref="B202:B203">
    <cfRule type="duplicateValues" dxfId="33" priority="143"/>
  </conditionalFormatting>
  <conditionalFormatting sqref="B204">
    <cfRule type="duplicateValues" dxfId="32" priority="141"/>
  </conditionalFormatting>
  <conditionalFormatting sqref="B205:B206">
    <cfRule type="duplicateValues" dxfId="31" priority="149"/>
  </conditionalFormatting>
  <conditionalFormatting sqref="B207">
    <cfRule type="duplicateValues" dxfId="30" priority="178"/>
  </conditionalFormatting>
  <conditionalFormatting sqref="B208">
    <cfRule type="duplicateValues" dxfId="29" priority="173"/>
  </conditionalFormatting>
  <conditionalFormatting sqref="B209:B210">
    <cfRule type="duplicateValues" dxfId="28" priority="129"/>
  </conditionalFormatting>
  <conditionalFormatting sqref="B211">
    <cfRule type="duplicateValues" dxfId="27" priority="127"/>
  </conditionalFormatting>
  <conditionalFormatting sqref="B212:B213">
    <cfRule type="duplicateValues" dxfId="26" priority="135"/>
  </conditionalFormatting>
  <conditionalFormatting sqref="B214">
    <cfRule type="duplicateValues" dxfId="25" priority="133"/>
  </conditionalFormatting>
  <conditionalFormatting sqref="B215">
    <cfRule type="duplicateValues" dxfId="24" priority="125"/>
  </conditionalFormatting>
  <conditionalFormatting sqref="B216">
    <cfRule type="duplicateValues" dxfId="23" priority="131"/>
  </conditionalFormatting>
  <conditionalFormatting sqref="B217:B218">
    <cfRule type="duplicateValues" dxfId="22" priority="139"/>
  </conditionalFormatting>
  <conditionalFormatting sqref="B219">
    <cfRule type="duplicateValues" dxfId="21" priority="137"/>
  </conditionalFormatting>
  <conditionalFormatting sqref="B220:B221">
    <cfRule type="duplicateValues" dxfId="20" priority="181"/>
  </conditionalFormatting>
  <conditionalFormatting sqref="B222">
    <cfRule type="duplicateValues" dxfId="19" priority="177"/>
  </conditionalFormatting>
  <conditionalFormatting sqref="B223">
    <cfRule type="duplicateValues" dxfId="18" priority="123"/>
  </conditionalFormatting>
  <conditionalFormatting sqref="B224">
    <cfRule type="duplicateValues" dxfId="17" priority="175"/>
  </conditionalFormatting>
  <conditionalFormatting sqref="B225">
    <cfRule type="duplicateValues" dxfId="16" priority="196"/>
  </conditionalFormatting>
  <conditionalFormatting sqref="B226">
    <cfRule type="duplicateValues" dxfId="15" priority="18"/>
  </conditionalFormatting>
  <conditionalFormatting sqref="B227">
    <cfRule type="duplicateValues" dxfId="14" priority="207"/>
  </conditionalFormatting>
  <conditionalFormatting sqref="B228">
    <cfRule type="duplicateValues" dxfId="13" priority="206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I63"/>
  <sheetViews>
    <sheetView zoomScale="88" zoomScaleNormal="88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defaultColWidth="8.7265625" defaultRowHeight="12.5" outlineLevelCol="1" x14ac:dyDescent="0.35"/>
  <cols>
    <col min="1" max="1" width="1.7265625" style="1" customWidth="1"/>
    <col min="2" max="2" width="12.7265625" style="1" customWidth="1"/>
    <col min="3" max="3" width="35.7265625" style="1" customWidth="1"/>
    <col min="4" max="5" width="20.7265625" style="1" customWidth="1"/>
    <col min="6" max="6" width="9" style="2" customWidth="1"/>
    <col min="7" max="7" width="19.1796875" style="3" customWidth="1" outlineLevel="1"/>
    <col min="8" max="8" width="1.54296875" style="4" customWidth="1"/>
    <col min="9" max="11" width="15.7265625" style="20" customWidth="1"/>
    <col min="12" max="12" width="1.7265625" style="1" customWidth="1"/>
    <col min="13" max="16384" width="8.7265625" style="1"/>
  </cols>
  <sheetData>
    <row r="1" spans="1:165" ht="5.15" customHeight="1" x14ac:dyDescent="0.35"/>
    <row r="2" spans="1:165" s="5" customFormat="1" ht="25.15" customHeight="1" x14ac:dyDescent="0.35">
      <c r="B2" s="6" t="s">
        <v>342</v>
      </c>
      <c r="C2" s="7"/>
      <c r="F2" s="8"/>
      <c r="G2" s="9"/>
      <c r="H2" s="10"/>
      <c r="I2" s="67"/>
      <c r="J2" s="67"/>
      <c r="K2" s="67"/>
    </row>
    <row r="3" spans="1:165" s="11" customFormat="1" ht="35.15" customHeight="1" x14ac:dyDescent="0.35">
      <c r="B3" s="12" t="s">
        <v>0</v>
      </c>
      <c r="C3" s="13"/>
      <c r="F3" s="14"/>
      <c r="G3" s="9"/>
      <c r="H3" s="15"/>
      <c r="I3" s="68"/>
      <c r="J3" s="68"/>
      <c r="K3" s="68"/>
    </row>
    <row r="4" spans="1:165" s="11" customFormat="1" ht="10.15" customHeight="1" x14ac:dyDescent="0.35">
      <c r="B4" s="12"/>
      <c r="C4" s="13"/>
      <c r="F4" s="14"/>
      <c r="G4" s="9"/>
      <c r="H4" s="15"/>
      <c r="I4" s="68"/>
      <c r="J4" s="68"/>
      <c r="K4" s="68"/>
    </row>
    <row r="5" spans="1:165" ht="30" customHeight="1" x14ac:dyDescent="0.35">
      <c r="B5" s="58" t="s">
        <v>336</v>
      </c>
      <c r="C5" s="60">
        <v>45073</v>
      </c>
      <c r="D5" s="17"/>
      <c r="E5" s="17"/>
      <c r="F5" s="59" t="s">
        <v>337</v>
      </c>
      <c r="G5" s="62" t="s">
        <v>344</v>
      </c>
      <c r="I5" s="16"/>
    </row>
    <row r="6" spans="1:165" ht="30" customHeight="1" x14ac:dyDescent="0.35">
      <c r="B6" s="58" t="s">
        <v>10</v>
      </c>
      <c r="C6" s="61">
        <v>150000000</v>
      </c>
      <c r="D6" s="17"/>
      <c r="E6" s="17"/>
      <c r="F6" s="59" t="s">
        <v>9</v>
      </c>
      <c r="G6" s="62">
        <f>C6/310000</f>
        <v>483.87096774193549</v>
      </c>
      <c r="I6" s="501" t="s">
        <v>343</v>
      </c>
      <c r="J6" s="502"/>
      <c r="K6" s="63">
        <v>1.2</v>
      </c>
    </row>
    <row r="7" spans="1:165" ht="5.15" customHeight="1" x14ac:dyDescent="0.35"/>
    <row r="8" spans="1:165" s="19" customFormat="1" ht="20.149999999999999" customHeight="1" x14ac:dyDescent="0.35">
      <c r="B8" s="506" t="s">
        <v>1</v>
      </c>
      <c r="C8" s="508" t="s">
        <v>2</v>
      </c>
      <c r="D8" s="503" t="s">
        <v>345</v>
      </c>
      <c r="E8" s="503" t="s">
        <v>338</v>
      </c>
      <c r="F8" s="503" t="s">
        <v>3</v>
      </c>
      <c r="G8" s="505" t="s">
        <v>4</v>
      </c>
      <c r="H8" s="21"/>
      <c r="I8" s="57"/>
      <c r="J8" s="57"/>
      <c r="K8" s="57"/>
    </row>
    <row r="9" spans="1:165" s="25" customFormat="1" ht="30" customHeight="1" x14ac:dyDescent="0.35">
      <c r="A9" s="22"/>
      <c r="B9" s="507"/>
      <c r="C9" s="509"/>
      <c r="D9" s="504"/>
      <c r="E9" s="504"/>
      <c r="F9" s="504"/>
      <c r="G9" s="505"/>
      <c r="H9" s="24"/>
      <c r="I9" s="23" t="s">
        <v>339</v>
      </c>
      <c r="J9" s="23" t="s">
        <v>340</v>
      </c>
      <c r="K9" s="23" t="s">
        <v>341</v>
      </c>
    </row>
    <row r="10" spans="1:165" s="19" customFormat="1" ht="5.15" customHeight="1" x14ac:dyDescent="0.35">
      <c r="B10" s="26"/>
      <c r="C10" s="27"/>
      <c r="D10" s="26"/>
      <c r="E10" s="26"/>
      <c r="F10" s="26"/>
      <c r="G10" s="28"/>
      <c r="H10" s="29"/>
      <c r="I10" s="57"/>
      <c r="J10" s="57"/>
      <c r="K10" s="57"/>
    </row>
    <row r="11" spans="1:165" s="30" customFormat="1" ht="20.149999999999999" customHeight="1" x14ac:dyDescent="0.35">
      <c r="B11" s="39" t="s">
        <v>7</v>
      </c>
      <c r="C11" s="40"/>
      <c r="D11" s="39"/>
      <c r="E11" s="39"/>
      <c r="F11" s="41"/>
      <c r="G11" s="41"/>
      <c r="H11" s="31"/>
      <c r="I11" s="66">
        <v>0.37</v>
      </c>
      <c r="J11" s="66"/>
      <c r="K11" s="66">
        <v>0.63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</row>
    <row r="12" spans="1:165" s="30" customFormat="1" ht="5.15" customHeight="1" x14ac:dyDescent="0.35">
      <c r="B12" s="43"/>
      <c r="C12" s="34"/>
      <c r="D12" s="43"/>
      <c r="E12" s="43"/>
      <c r="F12" s="44"/>
      <c r="G12" s="45"/>
      <c r="H12" s="31"/>
      <c r="I12" s="32"/>
      <c r="J12" s="32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</row>
    <row r="13" spans="1:165" s="18" customFormat="1" ht="20.149999999999999" customHeight="1" x14ac:dyDescent="0.35">
      <c r="B13" s="46" t="s">
        <v>11</v>
      </c>
      <c r="C13" s="47"/>
      <c r="D13" s="47"/>
      <c r="E13" s="47"/>
      <c r="F13" s="48"/>
      <c r="G13" s="49">
        <f>SUM(G14:G52)</f>
        <v>0</v>
      </c>
      <c r="H13" s="33"/>
      <c r="I13" s="20"/>
      <c r="J13" s="20"/>
      <c r="K13" s="20"/>
    </row>
    <row r="14" spans="1:165" s="30" customFormat="1" ht="5.15" customHeight="1" x14ac:dyDescent="0.35">
      <c r="B14" s="43"/>
      <c r="C14" s="34"/>
      <c r="D14" s="43"/>
      <c r="E14" s="43"/>
      <c r="F14" s="44"/>
      <c r="G14" s="45"/>
      <c r="H14" s="31"/>
      <c r="I14" s="32"/>
      <c r="J14" s="32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</row>
    <row r="15" spans="1:165" ht="20.149999999999999" customHeight="1" x14ac:dyDescent="0.35">
      <c r="A15" s="1">
        <v>1</v>
      </c>
      <c r="B15" s="34"/>
      <c r="C15" s="34" t="s">
        <v>346</v>
      </c>
      <c r="D15" s="34"/>
      <c r="E15" s="34"/>
      <c r="F15" s="53"/>
      <c r="G15" s="35"/>
      <c r="I15" s="65">
        <f t="shared" ref="I15:K52" si="0">ROUNDUP($G15*100/$G$6*I$11*$K$6,0)</f>
        <v>0</v>
      </c>
      <c r="J15" s="65">
        <f t="shared" si="0"/>
        <v>0</v>
      </c>
      <c r="K15" s="65">
        <f t="shared" si="0"/>
        <v>0</v>
      </c>
    </row>
    <row r="16" spans="1:165" ht="20.149999999999999" customHeight="1" x14ac:dyDescent="0.35">
      <c r="A16" s="1" t="e">
        <f>#REF!+1</f>
        <v>#REF!</v>
      </c>
      <c r="B16" s="34"/>
      <c r="C16" s="34" t="s">
        <v>347</v>
      </c>
      <c r="D16" s="54"/>
      <c r="E16" s="54"/>
      <c r="F16" s="53"/>
      <c r="G16" s="35"/>
      <c r="I16" s="65">
        <f t="shared" ref="I16:K48" si="1">ROUNDUP($G16*100/$G$6*I$11*$K$6,0)</f>
        <v>0</v>
      </c>
      <c r="J16" s="65">
        <f t="shared" si="1"/>
        <v>0</v>
      </c>
      <c r="K16" s="65">
        <f t="shared" si="1"/>
        <v>0</v>
      </c>
    </row>
    <row r="17" spans="1:11" ht="20.149999999999999" customHeight="1" x14ac:dyDescent="0.35">
      <c r="A17" s="1" t="e">
        <f t="shared" ref="A17:A21" si="2">A16+1</f>
        <v>#REF!</v>
      </c>
      <c r="B17" s="34"/>
      <c r="C17" s="34" t="s">
        <v>348</v>
      </c>
      <c r="D17" s="54"/>
      <c r="E17" s="54"/>
      <c r="F17" s="53"/>
      <c r="G17" s="35"/>
      <c r="I17" s="65">
        <f t="shared" si="1"/>
        <v>0</v>
      </c>
      <c r="J17" s="65">
        <f t="shared" si="1"/>
        <v>0</v>
      </c>
      <c r="K17" s="65">
        <f t="shared" si="1"/>
        <v>0</v>
      </c>
    </row>
    <row r="18" spans="1:11" ht="20.149999999999999" customHeight="1" x14ac:dyDescent="0.35">
      <c r="A18" s="1" t="e">
        <f t="shared" si="2"/>
        <v>#REF!</v>
      </c>
      <c r="B18" s="34"/>
      <c r="C18" s="34" t="s">
        <v>349</v>
      </c>
      <c r="D18" s="34"/>
      <c r="E18" s="34"/>
      <c r="F18" s="55"/>
      <c r="G18" s="35"/>
      <c r="I18" s="65">
        <f t="shared" si="1"/>
        <v>0</v>
      </c>
      <c r="J18" s="65">
        <f t="shared" si="1"/>
        <v>0</v>
      </c>
      <c r="K18" s="65">
        <f t="shared" si="1"/>
        <v>0</v>
      </c>
    </row>
    <row r="19" spans="1:11" ht="20.149999999999999" customHeight="1" x14ac:dyDescent="0.35">
      <c r="A19" s="1" t="e">
        <f>#REF!+1</f>
        <v>#REF!</v>
      </c>
      <c r="B19" s="34"/>
      <c r="C19" s="34" t="s">
        <v>350</v>
      </c>
      <c r="D19" s="34"/>
      <c r="E19" s="34"/>
      <c r="F19" s="55"/>
      <c r="G19" s="35"/>
      <c r="I19" s="65">
        <f t="shared" si="1"/>
        <v>0</v>
      </c>
      <c r="J19" s="65">
        <f t="shared" si="1"/>
        <v>0</v>
      </c>
      <c r="K19" s="65">
        <f t="shared" si="1"/>
        <v>0</v>
      </c>
    </row>
    <row r="20" spans="1:11" ht="20.149999999999999" customHeight="1" x14ac:dyDescent="0.35">
      <c r="A20" s="1" t="e">
        <f>A18+1</f>
        <v>#REF!</v>
      </c>
      <c r="B20" s="34"/>
      <c r="C20" s="34" t="s">
        <v>351</v>
      </c>
      <c r="D20" s="34"/>
      <c r="E20" s="34"/>
      <c r="F20" s="55"/>
      <c r="G20" s="35"/>
      <c r="I20" s="65">
        <f t="shared" si="1"/>
        <v>0</v>
      </c>
      <c r="J20" s="65">
        <f t="shared" si="1"/>
        <v>0</v>
      </c>
      <c r="K20" s="65">
        <f t="shared" si="1"/>
        <v>0</v>
      </c>
    </row>
    <row r="21" spans="1:11" ht="20.149999999999999" customHeight="1" x14ac:dyDescent="0.35">
      <c r="A21" s="1" t="e">
        <f t="shared" si="2"/>
        <v>#REF!</v>
      </c>
      <c r="B21" s="34"/>
      <c r="C21" s="34" t="s">
        <v>352</v>
      </c>
      <c r="D21" s="34"/>
      <c r="E21" s="34"/>
      <c r="F21" s="55"/>
      <c r="G21" s="35"/>
      <c r="I21" s="65">
        <f t="shared" si="1"/>
        <v>0</v>
      </c>
      <c r="J21" s="65">
        <f t="shared" si="1"/>
        <v>0</v>
      </c>
      <c r="K21" s="65">
        <f t="shared" si="1"/>
        <v>0</v>
      </c>
    </row>
    <row r="22" spans="1:11" ht="20.149999999999999" customHeight="1" x14ac:dyDescent="0.35">
      <c r="A22" s="1" t="e">
        <f>#REF!+1</f>
        <v>#REF!</v>
      </c>
      <c r="B22" s="34"/>
      <c r="C22" s="34" t="s">
        <v>353</v>
      </c>
      <c r="D22" s="54"/>
      <c r="E22" s="54"/>
      <c r="F22" s="53"/>
      <c r="G22" s="35"/>
      <c r="I22" s="65">
        <f t="shared" si="1"/>
        <v>0</v>
      </c>
      <c r="J22" s="65">
        <f t="shared" si="1"/>
        <v>0</v>
      </c>
      <c r="K22" s="65">
        <f t="shared" si="1"/>
        <v>0</v>
      </c>
    </row>
    <row r="23" spans="1:11" ht="20.149999999999999" customHeight="1" x14ac:dyDescent="0.35">
      <c r="A23" s="1" t="e">
        <f t="shared" ref="A23:A27" si="3">A22+1</f>
        <v>#REF!</v>
      </c>
      <c r="B23" s="34"/>
      <c r="C23" s="34" t="s">
        <v>354</v>
      </c>
      <c r="D23" s="54"/>
      <c r="E23" s="54"/>
      <c r="F23" s="53"/>
      <c r="G23" s="35"/>
      <c r="I23" s="65">
        <f t="shared" si="1"/>
        <v>0</v>
      </c>
      <c r="J23" s="65">
        <f t="shared" si="1"/>
        <v>0</v>
      </c>
      <c r="K23" s="65">
        <f t="shared" si="1"/>
        <v>0</v>
      </c>
    </row>
    <row r="24" spans="1:11" ht="20.149999999999999" customHeight="1" x14ac:dyDescent="0.35">
      <c r="A24" s="1" t="e">
        <f t="shared" si="3"/>
        <v>#REF!</v>
      </c>
      <c r="B24" s="34"/>
      <c r="C24" s="34" t="s">
        <v>355</v>
      </c>
      <c r="D24" s="34"/>
      <c r="E24" s="34"/>
      <c r="F24" s="55"/>
      <c r="G24" s="35"/>
      <c r="I24" s="65">
        <f t="shared" si="1"/>
        <v>0</v>
      </c>
      <c r="J24" s="65">
        <f t="shared" si="1"/>
        <v>0</v>
      </c>
      <c r="K24" s="65">
        <f t="shared" si="1"/>
        <v>0</v>
      </c>
    </row>
    <row r="25" spans="1:11" ht="20.149999999999999" customHeight="1" x14ac:dyDescent="0.35">
      <c r="A25" s="1" t="e">
        <f>#REF!+1</f>
        <v>#REF!</v>
      </c>
      <c r="B25" s="34"/>
      <c r="C25" s="34" t="s">
        <v>356</v>
      </c>
      <c r="D25" s="34"/>
      <c r="E25" s="34"/>
      <c r="F25" s="55"/>
      <c r="G25" s="35"/>
      <c r="I25" s="65">
        <f t="shared" si="1"/>
        <v>0</v>
      </c>
      <c r="J25" s="65">
        <f t="shared" si="1"/>
        <v>0</v>
      </c>
      <c r="K25" s="65">
        <f t="shared" si="1"/>
        <v>0</v>
      </c>
    </row>
    <row r="26" spans="1:11" ht="20.149999999999999" customHeight="1" x14ac:dyDescent="0.35">
      <c r="A26" s="1" t="e">
        <f>A24+1</f>
        <v>#REF!</v>
      </c>
      <c r="B26" s="34"/>
      <c r="C26" s="34" t="s">
        <v>357</v>
      </c>
      <c r="D26" s="34"/>
      <c r="E26" s="34"/>
      <c r="F26" s="55"/>
      <c r="G26" s="35"/>
      <c r="I26" s="65">
        <f t="shared" si="1"/>
        <v>0</v>
      </c>
      <c r="J26" s="65">
        <f t="shared" si="1"/>
        <v>0</v>
      </c>
      <c r="K26" s="65">
        <f t="shared" si="1"/>
        <v>0</v>
      </c>
    </row>
    <row r="27" spans="1:11" ht="20.149999999999999" customHeight="1" x14ac:dyDescent="0.35">
      <c r="A27" s="1" t="e">
        <f t="shared" si="3"/>
        <v>#REF!</v>
      </c>
      <c r="B27" s="34"/>
      <c r="C27" s="34" t="s">
        <v>358</v>
      </c>
      <c r="D27" s="34"/>
      <c r="E27" s="34"/>
      <c r="F27" s="55"/>
      <c r="G27" s="35"/>
      <c r="I27" s="65">
        <f t="shared" si="1"/>
        <v>0</v>
      </c>
      <c r="J27" s="65">
        <f t="shared" si="1"/>
        <v>0</v>
      </c>
      <c r="K27" s="65">
        <f t="shared" si="1"/>
        <v>0</v>
      </c>
    </row>
    <row r="28" spans="1:11" ht="20.149999999999999" customHeight="1" x14ac:dyDescent="0.35">
      <c r="A28" s="1" t="e">
        <f>#REF!+1</f>
        <v>#REF!</v>
      </c>
      <c r="B28" s="34"/>
      <c r="C28" s="34" t="s">
        <v>359</v>
      </c>
      <c r="D28" s="54"/>
      <c r="E28" s="54"/>
      <c r="F28" s="53"/>
      <c r="G28" s="35"/>
      <c r="I28" s="65">
        <f t="shared" si="1"/>
        <v>0</v>
      </c>
      <c r="J28" s="65">
        <f t="shared" si="1"/>
        <v>0</v>
      </c>
      <c r="K28" s="65">
        <f t="shared" si="1"/>
        <v>0</v>
      </c>
    </row>
    <row r="29" spans="1:11" ht="20.149999999999999" customHeight="1" x14ac:dyDescent="0.35">
      <c r="A29" s="1" t="e">
        <f t="shared" ref="A29:A33" si="4">A28+1</f>
        <v>#REF!</v>
      </c>
      <c r="B29" s="34"/>
      <c r="C29" s="34" t="s">
        <v>360</v>
      </c>
      <c r="D29" s="54"/>
      <c r="E29" s="54"/>
      <c r="F29" s="53"/>
      <c r="G29" s="35"/>
      <c r="I29" s="65">
        <f t="shared" si="1"/>
        <v>0</v>
      </c>
      <c r="J29" s="65">
        <f t="shared" si="1"/>
        <v>0</v>
      </c>
      <c r="K29" s="65">
        <f t="shared" si="1"/>
        <v>0</v>
      </c>
    </row>
    <row r="30" spans="1:11" ht="20.149999999999999" customHeight="1" x14ac:dyDescent="0.35">
      <c r="A30" s="1" t="e">
        <f t="shared" si="4"/>
        <v>#REF!</v>
      </c>
      <c r="B30" s="34"/>
      <c r="C30" s="34" t="s">
        <v>361</v>
      </c>
      <c r="D30" s="34"/>
      <c r="E30" s="34"/>
      <c r="F30" s="55"/>
      <c r="G30" s="35"/>
      <c r="I30" s="65">
        <f t="shared" si="1"/>
        <v>0</v>
      </c>
      <c r="J30" s="65">
        <f t="shared" si="1"/>
        <v>0</v>
      </c>
      <c r="K30" s="65">
        <f t="shared" si="1"/>
        <v>0</v>
      </c>
    </row>
    <row r="31" spans="1:11" ht="20.149999999999999" customHeight="1" x14ac:dyDescent="0.35">
      <c r="A31" s="1" t="e">
        <f>#REF!+1</f>
        <v>#REF!</v>
      </c>
      <c r="B31" s="34"/>
      <c r="C31" s="34" t="s">
        <v>362</v>
      </c>
      <c r="D31" s="34"/>
      <c r="E31" s="34"/>
      <c r="F31" s="55"/>
      <c r="G31" s="35"/>
      <c r="I31" s="65">
        <f t="shared" si="1"/>
        <v>0</v>
      </c>
      <c r="J31" s="65">
        <f t="shared" si="1"/>
        <v>0</v>
      </c>
      <c r="K31" s="65">
        <f t="shared" si="1"/>
        <v>0</v>
      </c>
    </row>
    <row r="32" spans="1:11" ht="20.149999999999999" customHeight="1" x14ac:dyDescent="0.35">
      <c r="A32" s="1" t="e">
        <f>A30+1</f>
        <v>#REF!</v>
      </c>
      <c r="B32" s="34"/>
      <c r="C32" s="34" t="s">
        <v>363</v>
      </c>
      <c r="D32" s="34"/>
      <c r="E32" s="34"/>
      <c r="F32" s="55"/>
      <c r="G32" s="35"/>
      <c r="I32" s="65">
        <f t="shared" si="1"/>
        <v>0</v>
      </c>
      <c r="J32" s="65">
        <f t="shared" si="1"/>
        <v>0</v>
      </c>
      <c r="K32" s="65">
        <f t="shared" si="1"/>
        <v>0</v>
      </c>
    </row>
    <row r="33" spans="1:11" ht="20.149999999999999" customHeight="1" x14ac:dyDescent="0.35">
      <c r="A33" s="1" t="e">
        <f t="shared" si="4"/>
        <v>#REF!</v>
      </c>
      <c r="B33" s="34"/>
      <c r="C33" s="34" t="s">
        <v>364</v>
      </c>
      <c r="D33" s="34"/>
      <c r="E33" s="34"/>
      <c r="F33" s="55"/>
      <c r="G33" s="35"/>
      <c r="I33" s="65">
        <f t="shared" si="1"/>
        <v>0</v>
      </c>
      <c r="J33" s="65">
        <f t="shared" si="1"/>
        <v>0</v>
      </c>
      <c r="K33" s="65">
        <f t="shared" si="1"/>
        <v>0</v>
      </c>
    </row>
    <row r="34" spans="1:11" ht="20.149999999999999" customHeight="1" x14ac:dyDescent="0.35">
      <c r="A34" s="1" t="e">
        <f>#REF!+1</f>
        <v>#REF!</v>
      </c>
      <c r="B34" s="34"/>
      <c r="C34" s="34" t="s">
        <v>365</v>
      </c>
      <c r="D34" s="54"/>
      <c r="E34" s="54"/>
      <c r="F34" s="53"/>
      <c r="G34" s="35"/>
      <c r="I34" s="65">
        <f t="shared" si="1"/>
        <v>0</v>
      </c>
      <c r="J34" s="65">
        <f t="shared" si="1"/>
        <v>0</v>
      </c>
      <c r="K34" s="65">
        <f t="shared" si="1"/>
        <v>0</v>
      </c>
    </row>
    <row r="35" spans="1:11" ht="20.149999999999999" customHeight="1" x14ac:dyDescent="0.35">
      <c r="A35" s="1" t="e">
        <f t="shared" ref="A35:A39" si="5">A34+1</f>
        <v>#REF!</v>
      </c>
      <c r="B35" s="34"/>
      <c r="C35" s="34" t="s">
        <v>366</v>
      </c>
      <c r="D35" s="54"/>
      <c r="E35" s="54"/>
      <c r="F35" s="53"/>
      <c r="G35" s="35"/>
      <c r="I35" s="65">
        <f t="shared" si="1"/>
        <v>0</v>
      </c>
      <c r="J35" s="65">
        <f t="shared" si="1"/>
        <v>0</v>
      </c>
      <c r="K35" s="65">
        <f t="shared" si="1"/>
        <v>0</v>
      </c>
    </row>
    <row r="36" spans="1:11" ht="20.149999999999999" customHeight="1" x14ac:dyDescent="0.35">
      <c r="A36" s="1" t="e">
        <f t="shared" si="5"/>
        <v>#REF!</v>
      </c>
      <c r="B36" s="34"/>
      <c r="C36" s="34" t="s">
        <v>367</v>
      </c>
      <c r="D36" s="34"/>
      <c r="E36" s="34"/>
      <c r="F36" s="55"/>
      <c r="G36" s="35"/>
      <c r="I36" s="65">
        <f t="shared" si="1"/>
        <v>0</v>
      </c>
      <c r="J36" s="65">
        <f t="shared" si="1"/>
        <v>0</v>
      </c>
      <c r="K36" s="65">
        <f t="shared" si="1"/>
        <v>0</v>
      </c>
    </row>
    <row r="37" spans="1:11" ht="20.149999999999999" customHeight="1" x14ac:dyDescent="0.35">
      <c r="A37" s="1" t="e">
        <f>#REF!+1</f>
        <v>#REF!</v>
      </c>
      <c r="B37" s="34"/>
      <c r="C37" s="34" t="s">
        <v>368</v>
      </c>
      <c r="D37" s="34"/>
      <c r="E37" s="34"/>
      <c r="F37" s="55"/>
      <c r="G37" s="35"/>
      <c r="I37" s="65">
        <f t="shared" si="1"/>
        <v>0</v>
      </c>
      <c r="J37" s="65">
        <f t="shared" si="1"/>
        <v>0</v>
      </c>
      <c r="K37" s="65">
        <f t="shared" si="1"/>
        <v>0</v>
      </c>
    </row>
    <row r="38" spans="1:11" ht="20.149999999999999" customHeight="1" x14ac:dyDescent="0.35">
      <c r="A38" s="1" t="e">
        <f>A36+1</f>
        <v>#REF!</v>
      </c>
      <c r="B38" s="34"/>
      <c r="C38" s="34" t="s">
        <v>369</v>
      </c>
      <c r="D38" s="34"/>
      <c r="E38" s="34"/>
      <c r="F38" s="55"/>
      <c r="G38" s="35"/>
      <c r="I38" s="65">
        <f t="shared" si="1"/>
        <v>0</v>
      </c>
      <c r="J38" s="65">
        <f t="shared" si="1"/>
        <v>0</v>
      </c>
      <c r="K38" s="65">
        <f t="shared" si="1"/>
        <v>0</v>
      </c>
    </row>
    <row r="39" spans="1:11" ht="20.149999999999999" customHeight="1" x14ac:dyDescent="0.35">
      <c r="A39" s="1" t="e">
        <f t="shared" si="5"/>
        <v>#REF!</v>
      </c>
      <c r="B39" s="34"/>
      <c r="C39" s="34" t="s">
        <v>370</v>
      </c>
      <c r="D39" s="34"/>
      <c r="E39" s="34"/>
      <c r="F39" s="55"/>
      <c r="G39" s="35"/>
      <c r="I39" s="65">
        <f t="shared" si="1"/>
        <v>0</v>
      </c>
      <c r="J39" s="65">
        <f t="shared" si="1"/>
        <v>0</v>
      </c>
      <c r="K39" s="65">
        <f t="shared" si="1"/>
        <v>0</v>
      </c>
    </row>
    <row r="40" spans="1:11" ht="20.149999999999999" customHeight="1" x14ac:dyDescent="0.35">
      <c r="A40" s="1" t="e">
        <f>#REF!+1</f>
        <v>#REF!</v>
      </c>
      <c r="B40" s="34"/>
      <c r="C40" s="34" t="s">
        <v>371</v>
      </c>
      <c r="D40" s="54"/>
      <c r="E40" s="54"/>
      <c r="F40" s="53"/>
      <c r="G40" s="35"/>
      <c r="I40" s="65">
        <f t="shared" si="1"/>
        <v>0</v>
      </c>
      <c r="J40" s="65">
        <f t="shared" si="1"/>
        <v>0</v>
      </c>
      <c r="K40" s="65">
        <f t="shared" si="1"/>
        <v>0</v>
      </c>
    </row>
    <row r="41" spans="1:11" ht="20.149999999999999" customHeight="1" x14ac:dyDescent="0.35">
      <c r="A41" s="1" t="e">
        <f t="shared" ref="A41:A45" si="6">A40+1</f>
        <v>#REF!</v>
      </c>
      <c r="B41" s="34"/>
      <c r="C41" s="34" t="s">
        <v>372</v>
      </c>
      <c r="D41" s="54"/>
      <c r="E41" s="54"/>
      <c r="F41" s="53"/>
      <c r="G41" s="35"/>
      <c r="I41" s="65">
        <f t="shared" si="1"/>
        <v>0</v>
      </c>
      <c r="J41" s="65">
        <f t="shared" si="1"/>
        <v>0</v>
      </c>
      <c r="K41" s="65">
        <f t="shared" si="1"/>
        <v>0</v>
      </c>
    </row>
    <row r="42" spans="1:11" ht="20.149999999999999" customHeight="1" x14ac:dyDescent="0.35">
      <c r="A42" s="1" t="e">
        <f t="shared" si="6"/>
        <v>#REF!</v>
      </c>
      <c r="B42" s="34"/>
      <c r="C42" s="34" t="s">
        <v>373</v>
      </c>
      <c r="D42" s="34"/>
      <c r="E42" s="34"/>
      <c r="F42" s="55"/>
      <c r="G42" s="35"/>
      <c r="I42" s="65">
        <f t="shared" si="1"/>
        <v>0</v>
      </c>
      <c r="J42" s="65">
        <f t="shared" si="1"/>
        <v>0</v>
      </c>
      <c r="K42" s="65">
        <f t="shared" si="1"/>
        <v>0</v>
      </c>
    </row>
    <row r="43" spans="1:11" ht="20.149999999999999" customHeight="1" x14ac:dyDescent="0.35">
      <c r="A43" s="1" t="e">
        <f>#REF!+1</f>
        <v>#REF!</v>
      </c>
      <c r="B43" s="34"/>
      <c r="C43" s="34" t="s">
        <v>374</v>
      </c>
      <c r="D43" s="34"/>
      <c r="E43" s="34"/>
      <c r="F43" s="55"/>
      <c r="G43" s="35"/>
      <c r="I43" s="65">
        <f t="shared" si="1"/>
        <v>0</v>
      </c>
      <c r="J43" s="65">
        <f t="shared" si="1"/>
        <v>0</v>
      </c>
      <c r="K43" s="65">
        <f t="shared" si="1"/>
        <v>0</v>
      </c>
    </row>
    <row r="44" spans="1:11" ht="20.149999999999999" customHeight="1" x14ac:dyDescent="0.35">
      <c r="A44" s="1" t="e">
        <f>A42+1</f>
        <v>#REF!</v>
      </c>
      <c r="B44" s="34"/>
      <c r="C44" s="34" t="s">
        <v>375</v>
      </c>
      <c r="D44" s="34"/>
      <c r="E44" s="34"/>
      <c r="F44" s="55"/>
      <c r="G44" s="35"/>
      <c r="I44" s="65">
        <f t="shared" si="1"/>
        <v>0</v>
      </c>
      <c r="J44" s="65">
        <f t="shared" si="1"/>
        <v>0</v>
      </c>
      <c r="K44" s="65">
        <f t="shared" si="1"/>
        <v>0</v>
      </c>
    </row>
    <row r="45" spans="1:11" ht="20.149999999999999" customHeight="1" x14ac:dyDescent="0.35">
      <c r="A45" s="1" t="e">
        <f t="shared" si="6"/>
        <v>#REF!</v>
      </c>
      <c r="B45" s="34"/>
      <c r="C45" s="34" t="s">
        <v>376</v>
      </c>
      <c r="D45" s="34"/>
      <c r="E45" s="34"/>
      <c r="F45" s="55"/>
      <c r="G45" s="35"/>
      <c r="I45" s="65">
        <f t="shared" si="1"/>
        <v>0</v>
      </c>
      <c r="J45" s="65">
        <f t="shared" si="1"/>
        <v>0</v>
      </c>
      <c r="K45" s="65">
        <f t="shared" si="1"/>
        <v>0</v>
      </c>
    </row>
    <row r="46" spans="1:11" ht="20.149999999999999" customHeight="1" x14ac:dyDescent="0.35">
      <c r="A46" s="1" t="e">
        <f>#REF!+1</f>
        <v>#REF!</v>
      </c>
      <c r="B46" s="34"/>
      <c r="C46" s="34" t="s">
        <v>377</v>
      </c>
      <c r="D46" s="54"/>
      <c r="E46" s="54"/>
      <c r="F46" s="53"/>
      <c r="G46" s="35"/>
      <c r="I46" s="65">
        <f t="shared" si="1"/>
        <v>0</v>
      </c>
      <c r="J46" s="65">
        <f t="shared" si="1"/>
        <v>0</v>
      </c>
      <c r="K46" s="65">
        <f t="shared" si="1"/>
        <v>0</v>
      </c>
    </row>
    <row r="47" spans="1:11" ht="20.149999999999999" customHeight="1" x14ac:dyDescent="0.35">
      <c r="A47" s="1" t="e">
        <f t="shared" ref="A47:A48" si="7">A46+1</f>
        <v>#REF!</v>
      </c>
      <c r="B47" s="34"/>
      <c r="C47" s="34" t="s">
        <v>378</v>
      </c>
      <c r="D47" s="54"/>
      <c r="E47" s="54"/>
      <c r="F47" s="53"/>
      <c r="G47" s="35"/>
      <c r="I47" s="65">
        <f t="shared" si="1"/>
        <v>0</v>
      </c>
      <c r="J47" s="65">
        <f t="shared" si="1"/>
        <v>0</v>
      </c>
      <c r="K47" s="65">
        <f t="shared" si="1"/>
        <v>0</v>
      </c>
    </row>
    <row r="48" spans="1:11" ht="20.149999999999999" customHeight="1" x14ac:dyDescent="0.35">
      <c r="A48" s="1" t="e">
        <f t="shared" si="7"/>
        <v>#REF!</v>
      </c>
      <c r="B48" s="34"/>
      <c r="C48" s="34" t="s">
        <v>379</v>
      </c>
      <c r="D48" s="34"/>
      <c r="E48" s="34"/>
      <c r="F48" s="55"/>
      <c r="G48" s="35"/>
      <c r="I48" s="65">
        <f t="shared" si="1"/>
        <v>0</v>
      </c>
      <c r="J48" s="65">
        <f t="shared" si="1"/>
        <v>0</v>
      </c>
      <c r="K48" s="65">
        <f t="shared" si="1"/>
        <v>0</v>
      </c>
    </row>
    <row r="49" spans="1:165" ht="20.149999999999999" customHeight="1" x14ac:dyDescent="0.35">
      <c r="A49" s="1">
        <f>A13+1</f>
        <v>1</v>
      </c>
      <c r="B49" s="34"/>
      <c r="C49" s="34"/>
      <c r="D49" s="34"/>
      <c r="E49" s="34"/>
      <c r="F49" s="55"/>
      <c r="G49" s="35"/>
      <c r="I49" s="65">
        <f t="shared" si="0"/>
        <v>0</v>
      </c>
      <c r="J49" s="65">
        <f t="shared" si="0"/>
        <v>0</v>
      </c>
      <c r="K49" s="65">
        <f t="shared" si="0"/>
        <v>0</v>
      </c>
    </row>
    <row r="50" spans="1:165" ht="20.149999999999999" customHeight="1" x14ac:dyDescent="0.35">
      <c r="A50" s="1" t="e">
        <f>#REF!+1</f>
        <v>#REF!</v>
      </c>
      <c r="B50" s="34"/>
      <c r="C50" s="34"/>
      <c r="D50" s="34"/>
      <c r="E50" s="34"/>
      <c r="F50" s="55"/>
      <c r="G50" s="35"/>
      <c r="I50" s="65">
        <f t="shared" ref="I50:K50" si="8">ROUNDUP($G50*100/$G$6*I$11*$K$6,0)</f>
        <v>0</v>
      </c>
      <c r="J50" s="65">
        <f t="shared" si="8"/>
        <v>0</v>
      </c>
      <c r="K50" s="65">
        <f t="shared" si="8"/>
        <v>0</v>
      </c>
    </row>
    <row r="51" spans="1:165" ht="20.149999999999999" customHeight="1" x14ac:dyDescent="0.35">
      <c r="A51" s="1" t="e">
        <f>#REF!+1</f>
        <v>#REF!</v>
      </c>
      <c r="B51" s="34"/>
      <c r="C51" s="34"/>
      <c r="D51" s="34"/>
      <c r="E51" s="34"/>
      <c r="F51" s="55"/>
      <c r="G51" s="35"/>
      <c r="I51" s="65">
        <f t="shared" si="0"/>
        <v>0</v>
      </c>
      <c r="J51" s="65">
        <f t="shared" si="0"/>
        <v>0</v>
      </c>
      <c r="K51" s="65">
        <f t="shared" si="0"/>
        <v>0</v>
      </c>
    </row>
    <row r="52" spans="1:165" ht="20.149999999999999" customHeight="1" x14ac:dyDescent="0.35">
      <c r="A52" s="1" t="e">
        <f t="shared" ref="A52" si="9">A51+1</f>
        <v>#REF!</v>
      </c>
      <c r="B52" s="34"/>
      <c r="C52" s="34"/>
      <c r="D52" s="34"/>
      <c r="E52" s="34"/>
      <c r="F52" s="55"/>
      <c r="G52" s="35"/>
      <c r="I52" s="65">
        <f t="shared" si="0"/>
        <v>0</v>
      </c>
      <c r="J52" s="65">
        <f t="shared" si="0"/>
        <v>0</v>
      </c>
      <c r="K52" s="65">
        <f t="shared" si="0"/>
        <v>0</v>
      </c>
    </row>
    <row r="53" spans="1:165" s="18" customFormat="1" ht="20.149999999999999" customHeight="1" x14ac:dyDescent="0.35">
      <c r="B53" s="46" t="s">
        <v>12</v>
      </c>
      <c r="C53" s="47"/>
      <c r="D53" s="47"/>
      <c r="E53" s="47"/>
      <c r="F53" s="48"/>
      <c r="G53" s="49">
        <f>SUM(G54:G62)</f>
        <v>0</v>
      </c>
      <c r="H53" s="33"/>
      <c r="I53" s="20"/>
      <c r="J53" s="20"/>
      <c r="K53" s="20"/>
    </row>
    <row r="54" spans="1:165" s="30" customFormat="1" ht="5.15" customHeight="1" x14ac:dyDescent="0.35">
      <c r="B54" s="43"/>
      <c r="C54" s="34"/>
      <c r="D54" s="43"/>
      <c r="E54" s="43"/>
      <c r="F54" s="44"/>
      <c r="G54" s="45"/>
      <c r="H54" s="31"/>
      <c r="I54" s="20"/>
      <c r="J54" s="20"/>
      <c r="K54" s="20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</row>
    <row r="55" spans="1:165" ht="20.149999999999999" customHeight="1" x14ac:dyDescent="0.35">
      <c r="A55" s="1">
        <v>1</v>
      </c>
      <c r="B55" s="34"/>
      <c r="C55" s="34" t="s">
        <v>380</v>
      </c>
      <c r="D55" s="34"/>
      <c r="E55" s="34"/>
      <c r="F55" s="55" t="s">
        <v>290</v>
      </c>
      <c r="G55" s="35"/>
      <c r="I55" s="65">
        <f t="shared" ref="I55:K61" si="10">ROUNDUP($G55*100/$G$6*I$11*$K$6,0)</f>
        <v>0</v>
      </c>
      <c r="J55" s="65">
        <f t="shared" si="10"/>
        <v>0</v>
      </c>
      <c r="K55" s="65">
        <f t="shared" si="10"/>
        <v>0</v>
      </c>
    </row>
    <row r="56" spans="1:165" ht="20.149999999999999" customHeight="1" x14ac:dyDescent="0.35">
      <c r="A56" s="1">
        <f>A53+1</f>
        <v>1</v>
      </c>
      <c r="B56" s="34"/>
      <c r="C56" s="34" t="s">
        <v>381</v>
      </c>
      <c r="D56" s="34"/>
      <c r="E56" s="34"/>
      <c r="F56" s="55" t="s">
        <v>290</v>
      </c>
      <c r="G56" s="35"/>
      <c r="I56" s="65">
        <f t="shared" si="10"/>
        <v>0</v>
      </c>
      <c r="J56" s="65">
        <f t="shared" si="10"/>
        <v>0</v>
      </c>
      <c r="K56" s="65">
        <f t="shared" si="10"/>
        <v>0</v>
      </c>
    </row>
    <row r="57" spans="1:165" ht="20.149999999999999" customHeight="1" x14ac:dyDescent="0.35">
      <c r="A57" s="1">
        <f>A54+1</f>
        <v>1</v>
      </c>
      <c r="B57" s="34"/>
      <c r="C57" s="34" t="s">
        <v>382</v>
      </c>
      <c r="D57" s="34"/>
      <c r="E57" s="34"/>
      <c r="F57" s="55" t="s">
        <v>290</v>
      </c>
      <c r="G57" s="35"/>
      <c r="I57" s="65">
        <f t="shared" si="10"/>
        <v>0</v>
      </c>
      <c r="J57" s="65">
        <f t="shared" si="10"/>
        <v>0</v>
      </c>
      <c r="K57" s="65">
        <f t="shared" si="10"/>
        <v>0</v>
      </c>
    </row>
    <row r="58" spans="1:165" ht="20.149999999999999" customHeight="1" x14ac:dyDescent="0.35">
      <c r="A58" s="1" t="e">
        <f>#REF!+1</f>
        <v>#REF!</v>
      </c>
      <c r="B58" s="34"/>
      <c r="C58" s="34" t="s">
        <v>383</v>
      </c>
      <c r="D58" s="34"/>
      <c r="E58" s="34"/>
      <c r="F58" s="55" t="s">
        <v>290</v>
      </c>
      <c r="G58" s="35"/>
      <c r="I58" s="65">
        <f t="shared" si="10"/>
        <v>0</v>
      </c>
      <c r="J58" s="65">
        <f t="shared" si="10"/>
        <v>0</v>
      </c>
      <c r="K58" s="65">
        <f t="shared" si="10"/>
        <v>0</v>
      </c>
    </row>
    <row r="59" spans="1:165" ht="20.149999999999999" customHeight="1" x14ac:dyDescent="0.35">
      <c r="A59" s="1">
        <f t="shared" ref="A59" si="11">A55+1</f>
        <v>2</v>
      </c>
      <c r="B59" s="34"/>
      <c r="C59" s="34"/>
      <c r="D59" s="34"/>
      <c r="E59" s="34"/>
      <c r="F59" s="55"/>
      <c r="G59" s="35"/>
      <c r="I59" s="65">
        <f t="shared" si="10"/>
        <v>0</v>
      </c>
      <c r="J59" s="65">
        <f t="shared" si="10"/>
        <v>0</v>
      </c>
      <c r="K59" s="65">
        <f t="shared" si="10"/>
        <v>0</v>
      </c>
    </row>
    <row r="60" spans="1:165" ht="20.149999999999999" customHeight="1" x14ac:dyDescent="0.35">
      <c r="A60" s="1">
        <f>A57+1</f>
        <v>2</v>
      </c>
      <c r="B60" s="34"/>
      <c r="C60" s="34"/>
      <c r="D60" s="34"/>
      <c r="E60" s="34"/>
      <c r="F60" s="55"/>
      <c r="G60" s="35"/>
      <c r="I60" s="65">
        <f t="shared" si="10"/>
        <v>0</v>
      </c>
      <c r="J60" s="65">
        <f t="shared" si="10"/>
        <v>0</v>
      </c>
      <c r="K60" s="65">
        <f t="shared" si="10"/>
        <v>0</v>
      </c>
    </row>
    <row r="61" spans="1:165" ht="20.149999999999999" customHeight="1" x14ac:dyDescent="0.35">
      <c r="A61" s="1" t="e">
        <f>A58+1</f>
        <v>#REF!</v>
      </c>
      <c r="B61" s="34"/>
      <c r="C61" s="34"/>
      <c r="D61" s="34"/>
      <c r="E61" s="34"/>
      <c r="F61" s="55"/>
      <c r="G61" s="35"/>
      <c r="I61" s="65">
        <f t="shared" si="10"/>
        <v>0</v>
      </c>
      <c r="J61" s="65">
        <f t="shared" si="10"/>
        <v>0</v>
      </c>
      <c r="K61" s="65">
        <f t="shared" si="10"/>
        <v>0</v>
      </c>
    </row>
    <row r="62" spans="1:165" ht="20.149999999999999" customHeight="1" x14ac:dyDescent="0.35">
      <c r="B62" s="36"/>
      <c r="C62" s="36"/>
      <c r="D62" s="36"/>
      <c r="E62" s="36"/>
      <c r="F62" s="56"/>
      <c r="G62" s="37"/>
      <c r="I62" s="69">
        <f t="shared" ref="I62:K62" si="12">ROUNDUP($G62*100/$G$6*I$11*$K$6,0)</f>
        <v>0</v>
      </c>
      <c r="J62" s="69">
        <f t="shared" si="12"/>
        <v>0</v>
      </c>
      <c r="K62" s="69">
        <f t="shared" si="12"/>
        <v>0</v>
      </c>
    </row>
    <row r="63" spans="1:165" ht="4.9000000000000004" customHeight="1" x14ac:dyDescent="0.35"/>
  </sheetData>
  <mergeCells count="7">
    <mergeCell ref="I6:J6"/>
    <mergeCell ref="B8:B9"/>
    <mergeCell ref="C8:C9"/>
    <mergeCell ref="D8:D9"/>
    <mergeCell ref="E8:E9"/>
    <mergeCell ref="F8:F9"/>
    <mergeCell ref="G8:G9"/>
  </mergeCells>
  <conditionalFormatting sqref="B13">
    <cfRule type="duplicateValues" dxfId="12" priority="108"/>
  </conditionalFormatting>
  <conditionalFormatting sqref="B19">
    <cfRule type="duplicateValues" dxfId="11" priority="1"/>
  </conditionalFormatting>
  <conditionalFormatting sqref="B25">
    <cfRule type="duplicateValues" dxfId="10" priority="2"/>
  </conditionalFormatting>
  <conditionalFormatting sqref="B31">
    <cfRule type="duplicateValues" dxfId="9" priority="3"/>
  </conditionalFormatting>
  <conditionalFormatting sqref="B37">
    <cfRule type="duplicateValues" dxfId="8" priority="4"/>
  </conditionalFormatting>
  <conditionalFormatting sqref="B43">
    <cfRule type="duplicateValues" dxfId="7" priority="5"/>
  </conditionalFormatting>
  <conditionalFormatting sqref="B44:B48 B38:B42 B32:B36 B26:B30 B15:B18 B20:B24 B50:B52">
    <cfRule type="duplicateValues" dxfId="6" priority="770"/>
  </conditionalFormatting>
  <conditionalFormatting sqref="B49">
    <cfRule type="duplicateValues" dxfId="5" priority="167"/>
  </conditionalFormatting>
  <conditionalFormatting sqref="B53">
    <cfRule type="duplicateValues" dxfId="4" priority="107"/>
  </conditionalFormatting>
  <conditionalFormatting sqref="B55">
    <cfRule type="duplicateValues" dxfId="3" priority="128"/>
  </conditionalFormatting>
  <conditionalFormatting sqref="B56">
    <cfRule type="duplicateValues" dxfId="2" priority="29"/>
  </conditionalFormatting>
  <conditionalFormatting sqref="B57:B61">
    <cfRule type="duplicateValues" dxfId="1" priority="771"/>
  </conditionalFormatting>
  <conditionalFormatting sqref="B62">
    <cfRule type="duplicateValues" dxfId="0" priority="12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Control</vt:lpstr>
      <vt:lpstr>Product</vt:lpstr>
      <vt:lpstr>ProductGroup</vt:lpstr>
      <vt:lpstr>SG04</vt:lpstr>
      <vt:lpstr>SG05</vt:lpstr>
      <vt:lpstr>SG06</vt:lpstr>
      <vt:lpstr>SG07</vt:lpstr>
      <vt:lpstr>SG08</vt:lpstr>
      <vt:lpstr>SG09</vt:lpstr>
      <vt:lpstr>SG10</vt:lpstr>
      <vt:lpstr>SG11</vt:lpstr>
      <vt:lpstr>SG12</vt:lpstr>
      <vt:lpstr>SG13</vt:lpstr>
      <vt:lpstr>SG14</vt:lpstr>
      <vt:lpstr>SG15</vt:lpstr>
      <vt:lpstr>Menu Projection</vt:lpstr>
      <vt:lpstr>Chuẩn Bị Đầu Ca</vt:lpstr>
      <vt:lpstr>SG01_</vt:lpstr>
      <vt:lpstr>SG02_</vt:lpstr>
      <vt:lpstr>SG03_</vt:lpstr>
      <vt:lpstr>SG04_</vt:lpstr>
      <vt:lpstr>SG05_</vt:lpstr>
      <vt:lpstr>SG06_</vt:lpstr>
      <vt:lpstr>SG07_</vt:lpstr>
      <vt:lpstr>SG08_</vt:lpstr>
      <vt:lpstr>SG09_</vt:lpstr>
      <vt:lpstr>SG10_</vt:lpstr>
      <vt:lpstr>SG11_</vt:lpstr>
      <vt:lpstr>SG12_</vt:lpstr>
      <vt:lpstr>SG13_</vt:lpstr>
      <vt:lpstr>SG14_</vt:lpstr>
      <vt:lpstr>SG15_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lamhong.bac</cp:lastModifiedBy>
  <dcterms:created xsi:type="dcterms:W3CDTF">2023-02-22T17:18:09Z</dcterms:created>
  <dcterms:modified xsi:type="dcterms:W3CDTF">2026-10-08T08:45:51Z</dcterms:modified>
</cp:coreProperties>
</file>