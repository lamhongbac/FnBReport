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D:\GIT PROJECT\ProductMixSol\Docs\"/>
    </mc:Choice>
  </mc:AlternateContent>
  <bookViews>
    <workbookView xWindow="-120" yWindow="-120" windowWidth="29040" windowHeight="15720" tabRatio="920" firstSheet="1" activeTab="2"/>
  </bookViews>
  <sheets>
    <sheet name="Control" sheetId="19" state="hidden" r:id="rId1"/>
    <sheet name="MENU MIX GMSG T09.2026" sheetId="18" r:id="rId2"/>
    <sheet name="SG01" sheetId="5" r:id="rId3"/>
    <sheet name="SG02" sheetId="6" r:id="rId4"/>
    <sheet name="SG03" sheetId="7" r:id="rId5"/>
    <sheet name="SG04" sheetId="8" state="hidden" r:id="rId6"/>
    <sheet name="SG05" sheetId="15" state="hidden" r:id="rId7"/>
    <sheet name="SG06" sheetId="14" state="hidden" r:id="rId8"/>
    <sheet name="SG07" sheetId="13" state="hidden" r:id="rId9"/>
    <sheet name="SG08" sheetId="12" state="hidden" r:id="rId10"/>
    <sheet name="SG09" sheetId="11" state="hidden" r:id="rId11"/>
    <sheet name="SG10" sheetId="10" state="hidden" r:id="rId12"/>
    <sheet name="SG11" sheetId="20" state="hidden" r:id="rId13"/>
    <sheet name="SG12" sheetId="21" state="hidden" r:id="rId14"/>
    <sheet name="SG13" sheetId="22" state="hidden" r:id="rId15"/>
    <sheet name="SG14" sheetId="23" state="hidden" r:id="rId16"/>
    <sheet name="SG15" sheetId="24" state="hidden" r:id="rId17"/>
    <sheet name="Menu Projection" sheetId="3" state="hidden" r:id="rId18"/>
    <sheet name="Chuẩn Bị Đầu Ca" sheetId="4" state="hidden" r:id="rId19"/>
  </sheets>
  <definedNames>
    <definedName name="_xlnm._FilterDatabase" localSheetId="1" hidden="1">'MENU MIX GMSG T09.2026'!$A$10:$T$155</definedName>
    <definedName name="_xlnm._FilterDatabase" localSheetId="2" hidden="1">'SG01'!$A$10:$T$169</definedName>
    <definedName name="_xlnm._FilterDatabase" localSheetId="3" hidden="1">'SG02'!$A$10:$X$198</definedName>
    <definedName name="_xlnm._FilterDatabase" localSheetId="4" hidden="1">'SG03'!$A$10:$R$189</definedName>
    <definedName name="_xlnm._FilterDatabase" localSheetId="5" hidden="1">'SG04'!$A$10:$T$176</definedName>
    <definedName name="_xlnm._FilterDatabase" localSheetId="6" hidden="1">'SG05'!$A$10:$T$176</definedName>
    <definedName name="_xlnm._FilterDatabase" localSheetId="7" hidden="1">'SG06'!$B$10:$T$289</definedName>
    <definedName name="_xlnm._FilterDatabase" localSheetId="8" hidden="1">'SG07'!$A$10:$T$176</definedName>
    <definedName name="_xlnm._FilterDatabase" localSheetId="9" hidden="1">'SG08'!$A$10:$T$175</definedName>
    <definedName name="_xlnm._FilterDatabase" localSheetId="10" hidden="1">'SG09'!$A$10:$T$176</definedName>
    <definedName name="_xlnm._FilterDatabase" localSheetId="11" hidden="1">'SG10'!$A$10:$T$176</definedName>
    <definedName name="_xlnm._FilterDatabase" localSheetId="12" hidden="1">'SG11'!$A$10:$T$260</definedName>
    <definedName name="_xlnm._FilterDatabase" localSheetId="13" hidden="1">'SG12'!$A$10:$T$179</definedName>
    <definedName name="SG01_">Control!$B$2</definedName>
    <definedName name="SG02_">Control!$B$3</definedName>
    <definedName name="SG03_">Control!$B$4</definedName>
    <definedName name="SG04_">Control!$B$5</definedName>
    <definedName name="SG05_">Control!$B$6</definedName>
    <definedName name="SG06_">Control!$B$7</definedName>
    <definedName name="SG07_">Control!$B$8</definedName>
    <definedName name="SG08_">Control!$B$9</definedName>
    <definedName name="SG09_">Control!$B$10</definedName>
    <definedName name="SG10_">Control!$B$11</definedName>
    <definedName name="SG11_">Control!$B$12</definedName>
    <definedName name="SG12_">Control!$B$13</definedName>
    <definedName name="SG13_">Control!$B$14</definedName>
    <definedName name="SG14_">Control!$B$15</definedName>
    <definedName name="SG15_">Control!$B$16</definedName>
    <definedName name="Slicer_Cửa_hàng">#N/A</definedName>
  </definedNames>
  <calcPr calcId="162913"/>
  <pivotCaches>
    <pivotCache cacheId="0"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68" i="7" l="1"/>
  <c r="W168" i="7"/>
  <c r="V168" i="7"/>
  <c r="X167" i="7"/>
  <c r="W167" i="7"/>
  <c r="V167" i="7"/>
  <c r="X166" i="7"/>
  <c r="W166" i="7"/>
  <c r="V166" i="7"/>
  <c r="A162" i="7"/>
  <c r="A163" i="7" s="1"/>
  <c r="A164" i="7" s="1"/>
  <c r="A165" i="7" s="1"/>
  <c r="X159" i="7"/>
  <c r="W159" i="7"/>
  <c r="V159" i="7"/>
  <c r="A157" i="7"/>
  <c r="A158" i="7" s="1"/>
  <c r="V156" i="7"/>
  <c r="R156" i="7"/>
  <c r="S156" i="7" s="1"/>
  <c r="T156" i="7" s="1"/>
  <c r="L156" i="7"/>
  <c r="K156" i="7"/>
  <c r="N156" i="7" s="1"/>
  <c r="H156" i="7"/>
  <c r="X154" i="7"/>
  <c r="W154" i="7"/>
  <c r="V154" i="7"/>
  <c r="S154" i="7"/>
  <c r="T154" i="7" s="1"/>
  <c r="A139" i="7"/>
  <c r="A140" i="7" s="1"/>
  <c r="A141" i="7" s="1"/>
  <c r="A142" i="7" s="1"/>
  <c r="A143" i="7" s="1"/>
  <c r="A144" i="7" s="1"/>
  <c r="A145" i="7" s="1"/>
  <c r="A146" i="7" s="1"/>
  <c r="A147" i="7" s="1"/>
  <c r="A148" i="7" s="1"/>
  <c r="A149" i="7" s="1"/>
  <c r="A150" i="7" s="1"/>
  <c r="A151" i="7" s="1"/>
  <c r="A152" i="7" s="1"/>
  <c r="A153" i="7" s="1"/>
  <c r="X137" i="7"/>
  <c r="W137" i="7"/>
  <c r="V137" i="7"/>
  <c r="S137" i="7"/>
  <c r="T137" i="7" s="1"/>
  <c r="A132" i="7"/>
  <c r="A133" i="7" s="1"/>
  <c r="A134" i="7" s="1"/>
  <c r="A135" i="7" s="1"/>
  <c r="A136" i="7" s="1"/>
  <c r="X130" i="7"/>
  <c r="W130" i="7"/>
  <c r="V130" i="7"/>
  <c r="S130" i="7"/>
  <c r="T130" i="7" s="1"/>
  <c r="H127" i="7"/>
  <c r="H126" i="7"/>
  <c r="A125" i="7"/>
  <c r="A126" i="7" s="1"/>
  <c r="A127" i="7" s="1"/>
  <c r="A128" i="7" s="1"/>
  <c r="A129" i="7" s="1"/>
  <c r="X121" i="7"/>
  <c r="W121" i="7"/>
  <c r="V121" i="7"/>
  <c r="S121" i="7"/>
  <c r="T121" i="7" s="1"/>
  <c r="A116" i="7"/>
  <c r="A117" i="7" s="1"/>
  <c r="A105" i="7"/>
  <c r="A106" i="7" s="1"/>
  <c r="A107" i="7" s="1"/>
  <c r="A108" i="7" s="1"/>
  <c r="A109" i="7" s="1"/>
  <c r="A110" i="7" s="1"/>
  <c r="A111" i="7" s="1"/>
  <c r="A112" i="7" s="1"/>
  <c r="A113" i="7" s="1"/>
  <c r="X103" i="7"/>
  <c r="W103" i="7"/>
  <c r="V103" i="7"/>
  <c r="S103" i="7"/>
  <c r="T103" i="7" s="1"/>
  <c r="A97" i="7"/>
  <c r="A98" i="7" s="1"/>
  <c r="A99" i="7" s="1"/>
  <c r="A100" i="7" s="1"/>
  <c r="A101" i="7" s="1"/>
  <c r="A102" i="7" s="1"/>
  <c r="A90" i="7"/>
  <c r="A91" i="7" s="1"/>
  <c r="A92" i="7" s="1"/>
  <c r="A93" i="7" s="1"/>
  <c r="A94" i="7" s="1"/>
  <c r="H87" i="7"/>
  <c r="H86" i="7"/>
  <c r="H85" i="7"/>
  <c r="H84" i="7"/>
  <c r="A73" i="7"/>
  <c r="A74" i="7" s="1"/>
  <c r="A75" i="7" s="1"/>
  <c r="A76" i="7" s="1"/>
  <c r="A77" i="7" s="1"/>
  <c r="A78" i="7" s="1"/>
  <c r="A79" i="7" s="1"/>
  <c r="A80" i="7" s="1"/>
  <c r="A81" i="7" s="1"/>
  <c r="A82" i="7" s="1"/>
  <c r="A83" i="7" s="1"/>
  <c r="A84" i="7" s="1"/>
  <c r="A85" i="7" s="1"/>
  <c r="A86" i="7" s="1"/>
  <c r="A87" i="7" s="1"/>
  <c r="X71" i="7"/>
  <c r="W71" i="7"/>
  <c r="V71" i="7"/>
  <c r="S71" i="7"/>
  <c r="T71" i="7" s="1"/>
  <c r="V53" i="7"/>
  <c r="R53" i="7"/>
  <c r="S53" i="7" s="1"/>
  <c r="T53" i="7" s="1"/>
  <c r="L53" i="7"/>
  <c r="K53" i="7"/>
  <c r="N53" i="7" s="1"/>
  <c r="H53" i="7"/>
  <c r="H52" i="7"/>
  <c r="H51" i="7"/>
  <c r="H50" i="7"/>
  <c r="H49" i="7"/>
  <c r="A45" i="7"/>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X43" i="7"/>
  <c r="W43" i="7"/>
  <c r="V43" i="7"/>
  <c r="S43" i="7"/>
  <c r="T43" i="7" s="1"/>
  <c r="A35" i="7"/>
  <c r="A36" i="7" s="1"/>
  <c r="A37" i="7" s="1"/>
  <c r="A38" i="7" s="1"/>
  <c r="A39" i="7" s="1"/>
  <c r="A40" i="7" s="1"/>
  <c r="A41" i="7" s="1"/>
  <c r="A42" i="7" s="1"/>
  <c r="X32" i="7"/>
  <c r="W32" i="7"/>
  <c r="V32" i="7"/>
  <c r="S32" i="7"/>
  <c r="T32" i="7" s="1"/>
  <c r="A19" i="7"/>
  <c r="A20" i="7" s="1"/>
  <c r="A21" i="7" s="1"/>
  <c r="A22" i="7" s="1"/>
  <c r="A23" i="7" s="1"/>
  <c r="A24" i="7" s="1"/>
  <c r="A25" i="7" s="1"/>
  <c r="A26" i="7" s="1"/>
  <c r="A27" i="7" s="1"/>
  <c r="A28" i="7" s="1"/>
  <c r="A29" i="7" s="1"/>
  <c r="A30" i="7" s="1"/>
  <c r="A31" i="7" s="1"/>
  <c r="X16" i="7"/>
  <c r="W16" i="7"/>
  <c r="V16" i="7"/>
  <c r="V15" i="7"/>
  <c r="R15" i="7"/>
  <c r="S15" i="7" s="1"/>
  <c r="T15" i="7" s="1"/>
  <c r="L15" i="7"/>
  <c r="K15" i="7"/>
  <c r="N15" i="7" s="1"/>
  <c r="H15" i="7"/>
  <c r="L14" i="7"/>
  <c r="K14" i="7"/>
  <c r="N14" i="7" s="1"/>
  <c r="I14" i="7"/>
  <c r="AE9" i="7"/>
  <c r="AF9" i="7" s="1"/>
  <c r="AC9" i="7"/>
  <c r="AD9" i="7" s="1"/>
  <c r="AJ8" i="7"/>
  <c r="AI8" i="7"/>
  <c r="AH8" i="7"/>
  <c r="AG8" i="7"/>
  <c r="AC6" i="7"/>
  <c r="AD5" i="7"/>
  <c r="T5" i="7"/>
  <c r="X167" i="6"/>
  <c r="W167" i="6"/>
  <c r="V167" i="6"/>
  <c r="X166" i="6"/>
  <c r="W166" i="6"/>
  <c r="V166" i="6"/>
  <c r="X165" i="6"/>
  <c r="W165" i="6"/>
  <c r="V165" i="6"/>
  <c r="A161" i="6"/>
  <c r="A162" i="6" s="1"/>
  <c r="A163" i="6" s="1"/>
  <c r="A164" i="6" s="1"/>
  <c r="X158" i="6"/>
  <c r="W158" i="6"/>
  <c r="V158" i="6"/>
  <c r="A156" i="6"/>
  <c r="A157" i="6" s="1"/>
  <c r="V155" i="6"/>
  <c r="R155" i="6"/>
  <c r="S155" i="6" s="1"/>
  <c r="T155" i="6" s="1"/>
  <c r="L155" i="6"/>
  <c r="K155" i="6"/>
  <c r="N155" i="6" s="1"/>
  <c r="H155" i="6"/>
  <c r="X153" i="6"/>
  <c r="W153" i="6"/>
  <c r="V153" i="6"/>
  <c r="A138" i="6"/>
  <c r="A139" i="6" s="1"/>
  <c r="A140" i="6" s="1"/>
  <c r="A141" i="6" s="1"/>
  <c r="A142" i="6" s="1"/>
  <c r="A143" i="6" s="1"/>
  <c r="A144" i="6" s="1"/>
  <c r="A145" i="6" s="1"/>
  <c r="A146" i="6" s="1"/>
  <c r="A147" i="6" s="1"/>
  <c r="A148" i="6" s="1"/>
  <c r="A149" i="6" s="1"/>
  <c r="A150" i="6" s="1"/>
  <c r="A151" i="6" s="1"/>
  <c r="A152" i="6" s="1"/>
  <c r="X136" i="6"/>
  <c r="W136" i="6"/>
  <c r="V136" i="6"/>
  <c r="A131" i="6"/>
  <c r="A132" i="6" s="1"/>
  <c r="A133" i="6" s="1"/>
  <c r="A134" i="6" s="1"/>
  <c r="A135" i="6" s="1"/>
  <c r="X129" i="6"/>
  <c r="W129" i="6"/>
  <c r="V129" i="6"/>
  <c r="A125" i="6"/>
  <c r="A126" i="6" s="1"/>
  <c r="A127" i="6" s="1"/>
  <c r="A128" i="6" s="1"/>
  <c r="H124" i="6"/>
  <c r="A124" i="6"/>
  <c r="H123" i="6"/>
  <c r="X120" i="6"/>
  <c r="W120" i="6"/>
  <c r="V120" i="6"/>
  <c r="A115" i="6"/>
  <c r="A116" i="6" s="1"/>
  <c r="A117" i="6" s="1"/>
  <c r="A118" i="6" s="1"/>
  <c r="A119" i="6" s="1"/>
  <c r="A104" i="6"/>
  <c r="A105" i="6" s="1"/>
  <c r="A106" i="6" s="1"/>
  <c r="A107" i="6" s="1"/>
  <c r="A108" i="6" s="1"/>
  <c r="A109" i="6" s="1"/>
  <c r="A110" i="6" s="1"/>
  <c r="A111" i="6" s="1"/>
  <c r="A112" i="6" s="1"/>
  <c r="X102" i="6"/>
  <c r="W102" i="6"/>
  <c r="V102" i="6"/>
  <c r="A96" i="6"/>
  <c r="A97" i="6" s="1"/>
  <c r="A98" i="6" s="1"/>
  <c r="A99" i="6" s="1"/>
  <c r="A100" i="6" s="1"/>
  <c r="A101" i="6" s="1"/>
  <c r="A89" i="6"/>
  <c r="A90" i="6" s="1"/>
  <c r="A91" i="6" s="1"/>
  <c r="A92" i="6" s="1"/>
  <c r="A93" i="6" s="1"/>
  <c r="V82" i="6"/>
  <c r="R82" i="6"/>
  <c r="S82" i="6" s="1"/>
  <c r="T82" i="6" s="1"/>
  <c r="H82" i="6"/>
  <c r="H81" i="6"/>
  <c r="H80" i="6"/>
  <c r="H79" i="6"/>
  <c r="H78" i="6"/>
  <c r="A72" i="6"/>
  <c r="A73" i="6" s="1"/>
  <c r="A74" i="6" s="1"/>
  <c r="A75" i="6" s="1"/>
  <c r="A76" i="6" s="1"/>
  <c r="A77" i="6" s="1"/>
  <c r="A78" i="6" s="1"/>
  <c r="A79" i="6" s="1"/>
  <c r="A80" i="6" s="1"/>
  <c r="A81" i="6" s="1"/>
  <c r="A82" i="6" s="1"/>
  <c r="A83" i="6" s="1"/>
  <c r="A84" i="6" s="1"/>
  <c r="A85" i="6" s="1"/>
  <c r="A86" i="6" s="1"/>
  <c r="X70" i="6"/>
  <c r="W70" i="6"/>
  <c r="V70" i="6"/>
  <c r="A46" i="6"/>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V45" i="6"/>
  <c r="R45" i="6"/>
  <c r="S45" i="6" s="1"/>
  <c r="T45" i="6" s="1"/>
  <c r="H45" i="6"/>
  <c r="A45" i="6"/>
  <c r="X43" i="6"/>
  <c r="W43" i="6"/>
  <c r="V43" i="6"/>
  <c r="H42" i="6"/>
  <c r="H41" i="6"/>
  <c r="H40" i="6"/>
  <c r="H39" i="6"/>
  <c r="H38" i="6"/>
  <c r="A35" i="6"/>
  <c r="A36" i="6" s="1"/>
  <c r="A37" i="6" s="1"/>
  <c r="A38" i="6" s="1"/>
  <c r="A39" i="6" s="1"/>
  <c r="A40" i="6" s="1"/>
  <c r="A41" i="6" s="1"/>
  <c r="A42" i="6" s="1"/>
  <c r="X32" i="6"/>
  <c r="W32" i="6"/>
  <c r="V32" i="6"/>
  <c r="A19" i="6"/>
  <c r="A20" i="6" s="1"/>
  <c r="A21" i="6" s="1"/>
  <c r="A22" i="6" s="1"/>
  <c r="A23" i="6" s="1"/>
  <c r="A24" i="6" s="1"/>
  <c r="A25" i="6" s="1"/>
  <c r="A26" i="6" s="1"/>
  <c r="A27" i="6" s="1"/>
  <c r="A28" i="6" s="1"/>
  <c r="A29" i="6" s="1"/>
  <c r="A30" i="6" s="1"/>
  <c r="A31" i="6" s="1"/>
  <c r="X16" i="6"/>
  <c r="W16" i="6"/>
  <c r="V16" i="6"/>
  <c r="V15" i="6"/>
  <c r="R15" i="6"/>
  <c r="S15" i="6" s="1"/>
  <c r="T15" i="6" s="1"/>
  <c r="L15" i="6"/>
  <c r="K15" i="6"/>
  <c r="N15" i="6" s="1"/>
  <c r="H15" i="6"/>
  <c r="L14" i="6"/>
  <c r="K14" i="6"/>
  <c r="N14" i="6" s="1"/>
  <c r="I14" i="6"/>
  <c r="AE9" i="6"/>
  <c r="AF9" i="6" s="1"/>
  <c r="AC9" i="6"/>
  <c r="AD9" i="6" s="1"/>
  <c r="AJ8" i="6"/>
  <c r="AI8" i="6"/>
  <c r="AH8" i="6"/>
  <c r="AG8" i="6"/>
  <c r="AC6" i="6"/>
  <c r="AD5" i="6"/>
  <c r="T5" i="6"/>
  <c r="X160" i="5"/>
  <c r="W160" i="5"/>
  <c r="V160" i="5"/>
  <c r="X159" i="5"/>
  <c r="W159" i="5"/>
  <c r="V159" i="5"/>
  <c r="X158" i="5"/>
  <c r="W158" i="5"/>
  <c r="V158" i="5"/>
  <c r="A154" i="5"/>
  <c r="A155" i="5" s="1"/>
  <c r="A156" i="5" s="1"/>
  <c r="A157" i="5" s="1"/>
  <c r="A149" i="5"/>
  <c r="A150" i="5" s="1"/>
  <c r="V148" i="5"/>
  <c r="R148" i="5"/>
  <c r="S148" i="5" s="1"/>
  <c r="T148" i="5" s="1"/>
  <c r="L148" i="5"/>
  <c r="K148" i="5"/>
  <c r="N148" i="5" s="1"/>
  <c r="H148" i="5"/>
  <c r="X146" i="5"/>
  <c r="W146" i="5"/>
  <c r="V146" i="5"/>
  <c r="A131" i="5"/>
  <c r="A132" i="5" s="1"/>
  <c r="A133" i="5" s="1"/>
  <c r="A134" i="5" s="1"/>
  <c r="A135" i="5" s="1"/>
  <c r="A136" i="5" s="1"/>
  <c r="A137" i="5" s="1"/>
  <c r="A138" i="5" s="1"/>
  <c r="A139" i="5" s="1"/>
  <c r="A140" i="5" s="1"/>
  <c r="A141" i="5" s="1"/>
  <c r="A142" i="5" s="1"/>
  <c r="A143" i="5" s="1"/>
  <c r="A144" i="5" s="1"/>
  <c r="A145" i="5" s="1"/>
  <c r="X129" i="5"/>
  <c r="W129" i="5"/>
  <c r="V129" i="5"/>
  <c r="A126" i="5"/>
  <c r="A127" i="5" s="1"/>
  <c r="A128" i="5" s="1"/>
  <c r="X123" i="5"/>
  <c r="W123" i="5"/>
  <c r="V123" i="5"/>
  <c r="A119" i="5"/>
  <c r="A120" i="5" s="1"/>
  <c r="A121" i="5" s="1"/>
  <c r="A122" i="5" s="1"/>
  <c r="V118" i="5"/>
  <c r="R118" i="5"/>
  <c r="S118" i="5" s="1"/>
  <c r="T118" i="5" s="1"/>
  <c r="L118" i="5"/>
  <c r="K118" i="5"/>
  <c r="H118" i="5"/>
  <c r="A118" i="5"/>
  <c r="X115" i="5"/>
  <c r="W115" i="5"/>
  <c r="V115" i="5"/>
  <c r="H114" i="5"/>
  <c r="A110" i="5"/>
  <c r="A111" i="5" s="1"/>
  <c r="A112" i="5" s="1"/>
  <c r="A113" i="5" s="1"/>
  <c r="A114" i="5" s="1"/>
  <c r="A102" i="5"/>
  <c r="A103" i="5" s="1"/>
  <c r="A104" i="5" s="1"/>
  <c r="A105" i="5" s="1"/>
  <c r="A106" i="5" s="1"/>
  <c r="A107" i="5" s="1"/>
  <c r="X100" i="5"/>
  <c r="W100" i="5"/>
  <c r="V100" i="5"/>
  <c r="A94" i="5"/>
  <c r="A95" i="5" s="1"/>
  <c r="A96" i="5" s="1"/>
  <c r="A97" i="5" s="1"/>
  <c r="A98" i="5" s="1"/>
  <c r="A99" i="5" s="1"/>
  <c r="A87" i="5"/>
  <c r="A88" i="5" s="1"/>
  <c r="A89" i="5" s="1"/>
  <c r="A90" i="5" s="1"/>
  <c r="A91" i="5" s="1"/>
  <c r="V77" i="5"/>
  <c r="R77" i="5"/>
  <c r="S77" i="5" s="1"/>
  <c r="T77" i="5" s="1"/>
  <c r="H77" i="5"/>
  <c r="H76" i="5"/>
  <c r="H75" i="5"/>
  <c r="H74" i="5"/>
  <c r="A70" i="5"/>
  <c r="A71" i="5" s="1"/>
  <c r="A72" i="5" s="1"/>
  <c r="A73" i="5" s="1"/>
  <c r="A74" i="5" s="1"/>
  <c r="A75" i="5" s="1"/>
  <c r="A76" i="5" s="1"/>
  <c r="A77" i="5" s="1"/>
  <c r="A78" i="5" s="1"/>
  <c r="A79" i="5" s="1"/>
  <c r="A80" i="5" s="1"/>
  <c r="A81" i="5" s="1"/>
  <c r="A82" i="5" s="1"/>
  <c r="A83" i="5" s="1"/>
  <c r="A84" i="5" s="1"/>
  <c r="X68" i="5"/>
  <c r="W68" i="5"/>
  <c r="V68" i="5"/>
  <c r="A45" i="5"/>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X43" i="5"/>
  <c r="W43" i="5"/>
  <c r="V43" i="5"/>
  <c r="H40" i="5"/>
  <c r="H39" i="5"/>
  <c r="H38" i="5"/>
  <c r="H37" i="5"/>
  <c r="H36" i="5"/>
  <c r="A35" i="5"/>
  <c r="A36" i="5" s="1"/>
  <c r="A37" i="5" s="1"/>
  <c r="A38" i="5" s="1"/>
  <c r="A39" i="5" s="1"/>
  <c r="A40" i="5" s="1"/>
  <c r="A41" i="5" s="1"/>
  <c r="A42" i="5" s="1"/>
  <c r="X32" i="5"/>
  <c r="W32" i="5"/>
  <c r="V32" i="5"/>
  <c r="AB20" i="5"/>
  <c r="AB19" i="5"/>
  <c r="A19" i="5"/>
  <c r="A20" i="5" s="1"/>
  <c r="A21" i="5" s="1"/>
  <c r="A22" i="5" s="1"/>
  <c r="A23" i="5" s="1"/>
  <c r="A24" i="5" s="1"/>
  <c r="A25" i="5" s="1"/>
  <c r="A26" i="5" s="1"/>
  <c r="A27" i="5" s="1"/>
  <c r="A28" i="5" s="1"/>
  <c r="A29" i="5" s="1"/>
  <c r="A30" i="5" s="1"/>
  <c r="A31" i="5" s="1"/>
  <c r="AB18" i="5"/>
  <c r="AB17" i="5"/>
  <c r="AB16" i="5"/>
  <c r="X16" i="5"/>
  <c r="W16" i="5"/>
  <c r="V16" i="5"/>
  <c r="AB15" i="5"/>
  <c r="V15" i="5"/>
  <c r="R15" i="5"/>
  <c r="S15" i="5" s="1"/>
  <c r="T15" i="5" s="1"/>
  <c r="L15" i="5"/>
  <c r="K15" i="5"/>
  <c r="N15" i="5" s="1"/>
  <c r="H15" i="5"/>
  <c r="AB14" i="5"/>
  <c r="L14" i="5"/>
  <c r="K14" i="5"/>
  <c r="N14" i="5" s="1"/>
  <c r="I14" i="5"/>
  <c r="AB13" i="5"/>
  <c r="AB12" i="5"/>
  <c r="AB11" i="5"/>
  <c r="AB10" i="5"/>
  <c r="AE9" i="5"/>
  <c r="AC9" i="5"/>
  <c r="AD9" i="5" s="1"/>
  <c r="AB9" i="5"/>
  <c r="AJ8" i="5"/>
  <c r="AI8" i="5"/>
  <c r="AH8" i="5"/>
  <c r="AG8" i="5"/>
  <c r="AC6" i="5"/>
  <c r="AD5" i="5"/>
  <c r="T5" i="5"/>
  <c r="K165" i="7" l="1"/>
  <c r="R165" i="7"/>
  <c r="S165" i="7" s="1"/>
  <c r="V165" i="7"/>
  <c r="V164" i="7"/>
  <c r="K164" i="7"/>
  <c r="R164" i="7"/>
  <c r="S164" i="7" s="1"/>
  <c r="V163" i="7"/>
  <c r="R163" i="7"/>
  <c r="S163" i="7" s="1"/>
  <c r="K163" i="7"/>
  <c r="K162" i="7"/>
  <c r="R162" i="7"/>
  <c r="S162" i="7" s="1"/>
  <c r="V162" i="7"/>
  <c r="I160" i="7"/>
  <c r="V161" i="7"/>
  <c r="R161" i="7"/>
  <c r="S161" i="7" s="1"/>
  <c r="K161" i="7"/>
  <c r="V158" i="7"/>
  <c r="R158" i="7"/>
  <c r="S158" i="7" s="1"/>
  <c r="K158" i="7"/>
  <c r="I155" i="7"/>
  <c r="K157" i="7"/>
  <c r="V157" i="7"/>
  <c r="R157" i="7"/>
  <c r="S157" i="7" s="1"/>
  <c r="W156" i="7"/>
  <c r="X156" i="7" s="1"/>
  <c r="M156" i="7"/>
  <c r="V153" i="7"/>
  <c r="R153" i="7"/>
  <c r="S153" i="7" s="1"/>
  <c r="K153" i="7"/>
  <c r="V152" i="7"/>
  <c r="R152" i="7"/>
  <c r="S152" i="7" s="1"/>
  <c r="K152" i="7"/>
  <c r="R151" i="7"/>
  <c r="S151" i="7" s="1"/>
  <c r="K151" i="7"/>
  <c r="V151" i="7"/>
  <c r="R150" i="7"/>
  <c r="S150" i="7" s="1"/>
  <c r="K150" i="7"/>
  <c r="V150" i="7"/>
  <c r="R149" i="7"/>
  <c r="S149" i="7" s="1"/>
  <c r="V149" i="7"/>
  <c r="K149" i="7"/>
  <c r="V148" i="7"/>
  <c r="K148" i="7"/>
  <c r="R148" i="7"/>
  <c r="S148" i="7" s="1"/>
  <c r="K147" i="7"/>
  <c r="R147" i="7"/>
  <c r="S147" i="7" s="1"/>
  <c r="V147" i="7"/>
  <c r="V146" i="7"/>
  <c r="R146" i="7"/>
  <c r="S146" i="7" s="1"/>
  <c r="K146" i="7"/>
  <c r="R145" i="7"/>
  <c r="S145" i="7" s="1"/>
  <c r="K145" i="7"/>
  <c r="V145" i="7"/>
  <c r="R144" i="7"/>
  <c r="S144" i="7" s="1"/>
  <c r="K144" i="7"/>
  <c r="V144" i="7"/>
  <c r="R143" i="7"/>
  <c r="S143" i="7" s="1"/>
  <c r="V143" i="7"/>
  <c r="K143" i="7"/>
  <c r="K142" i="7"/>
  <c r="R142" i="7"/>
  <c r="S142" i="7" s="1"/>
  <c r="V142" i="7"/>
  <c r="V141" i="7"/>
  <c r="R141" i="7"/>
  <c r="S141" i="7" s="1"/>
  <c r="K141" i="7"/>
  <c r="R140" i="7"/>
  <c r="S140" i="7" s="1"/>
  <c r="K140" i="7"/>
  <c r="V140" i="7"/>
  <c r="R139" i="7"/>
  <c r="S139" i="7" s="1"/>
  <c r="V139" i="7"/>
  <c r="I138" i="7"/>
  <c r="K139" i="7"/>
  <c r="R136" i="7"/>
  <c r="S136" i="7" s="1"/>
  <c r="K136" i="7"/>
  <c r="V136" i="7"/>
  <c r="K135" i="7"/>
  <c r="R135" i="7"/>
  <c r="S135" i="7" s="1"/>
  <c r="V135" i="7"/>
  <c r="L134" i="7"/>
  <c r="R134" i="7"/>
  <c r="S134" i="7" s="1"/>
  <c r="T134" i="7" s="1"/>
  <c r="K134" i="7"/>
  <c r="N134" i="7" s="1"/>
  <c r="V134" i="7"/>
  <c r="H134" i="7"/>
  <c r="K133" i="7"/>
  <c r="R133" i="7"/>
  <c r="S133" i="7" s="1"/>
  <c r="V133" i="7"/>
  <c r="H132" i="7"/>
  <c r="R132" i="7"/>
  <c r="S132" i="7" s="1"/>
  <c r="T132" i="7" s="1"/>
  <c r="I131" i="7"/>
  <c r="L132" i="7"/>
  <c r="K132" i="7"/>
  <c r="V132" i="7"/>
  <c r="K129" i="7"/>
  <c r="V129" i="7"/>
  <c r="R129" i="7"/>
  <c r="S129" i="7" s="1"/>
  <c r="H128" i="7"/>
  <c r="K128" i="7"/>
  <c r="V128" i="7"/>
  <c r="R128" i="7"/>
  <c r="S128" i="7" s="1"/>
  <c r="T128" i="7" s="1"/>
  <c r="L128" i="7"/>
  <c r="R127" i="7"/>
  <c r="S127" i="7" s="1"/>
  <c r="T127" i="7" s="1"/>
  <c r="K127" i="7"/>
  <c r="V127" i="7"/>
  <c r="L127" i="7"/>
  <c r="L126" i="7"/>
  <c r="K126" i="7"/>
  <c r="N126" i="7" s="1"/>
  <c r="V126" i="7"/>
  <c r="R126" i="7"/>
  <c r="S126" i="7" s="1"/>
  <c r="T126" i="7" s="1"/>
  <c r="R125" i="7"/>
  <c r="S125" i="7" s="1"/>
  <c r="V125" i="7"/>
  <c r="K125" i="7"/>
  <c r="R124" i="7"/>
  <c r="S124" i="7" s="1"/>
  <c r="I122" i="7"/>
  <c r="K124" i="7"/>
  <c r="I123" i="7"/>
  <c r="V124" i="7"/>
  <c r="R120" i="7"/>
  <c r="S120" i="7" s="1"/>
  <c r="V120" i="7"/>
  <c r="K120" i="7"/>
  <c r="V119" i="7"/>
  <c r="R119" i="7"/>
  <c r="S119" i="7" s="1"/>
  <c r="K119" i="7"/>
  <c r="K118" i="7"/>
  <c r="R118" i="7"/>
  <c r="S118" i="7" s="1"/>
  <c r="V118" i="7"/>
  <c r="K117" i="7"/>
  <c r="V117" i="7"/>
  <c r="R117" i="7"/>
  <c r="S117" i="7" s="1"/>
  <c r="I115" i="7"/>
  <c r="K116" i="7"/>
  <c r="R116" i="7"/>
  <c r="S116" i="7" s="1"/>
  <c r="V116" i="7"/>
  <c r="A118" i="7"/>
  <c r="A120" i="7" s="1"/>
  <c r="A119" i="7"/>
  <c r="K113" i="7"/>
  <c r="R113" i="7"/>
  <c r="S113" i="7" s="1"/>
  <c r="V113" i="7"/>
  <c r="V112" i="7"/>
  <c r="K112" i="7"/>
  <c r="R112" i="7"/>
  <c r="S112" i="7" s="1"/>
  <c r="V111" i="7"/>
  <c r="H111" i="7"/>
  <c r="R111" i="7"/>
  <c r="S111" i="7" s="1"/>
  <c r="T111" i="7" s="1"/>
  <c r="L111" i="7"/>
  <c r="K111" i="7"/>
  <c r="N111" i="7" s="1"/>
  <c r="V110" i="7"/>
  <c r="K110" i="7"/>
  <c r="R110" i="7"/>
  <c r="S110" i="7" s="1"/>
  <c r="V109" i="7"/>
  <c r="K109" i="7"/>
  <c r="R109" i="7"/>
  <c r="S109" i="7" s="1"/>
  <c r="V108" i="7"/>
  <c r="R108" i="7"/>
  <c r="S108" i="7" s="1"/>
  <c r="K108" i="7"/>
  <c r="K107" i="7"/>
  <c r="R107" i="7"/>
  <c r="S107" i="7" s="1"/>
  <c r="V107" i="7"/>
  <c r="V106" i="7"/>
  <c r="K106" i="7"/>
  <c r="R106" i="7"/>
  <c r="S106" i="7" s="1"/>
  <c r="V105" i="7"/>
  <c r="R105" i="7"/>
  <c r="S105" i="7" s="1"/>
  <c r="K105" i="7"/>
  <c r="I104" i="7"/>
  <c r="K102" i="7"/>
  <c r="R102" i="7"/>
  <c r="S102" i="7" s="1"/>
  <c r="V102" i="7"/>
  <c r="V101" i="7"/>
  <c r="R101" i="7"/>
  <c r="S101" i="7" s="1"/>
  <c r="K101" i="7"/>
  <c r="K100" i="7"/>
  <c r="R100" i="7"/>
  <c r="S100" i="7" s="1"/>
  <c r="V100" i="7"/>
  <c r="K99" i="7"/>
  <c r="R99" i="7"/>
  <c r="S99" i="7" s="1"/>
  <c r="V99" i="7"/>
  <c r="H98" i="7"/>
  <c r="V98" i="7"/>
  <c r="R98" i="7"/>
  <c r="S98" i="7" s="1"/>
  <c r="T98" i="7" s="1"/>
  <c r="K98" i="7"/>
  <c r="L98" i="7"/>
  <c r="V97" i="7"/>
  <c r="I96" i="7"/>
  <c r="H97" i="7"/>
  <c r="K97" i="7"/>
  <c r="L97" i="7"/>
  <c r="R97" i="7"/>
  <c r="S97" i="7" s="1"/>
  <c r="T97" i="7" s="1"/>
  <c r="R94" i="7"/>
  <c r="S94" i="7" s="1"/>
  <c r="K94" i="7"/>
  <c r="V94" i="7"/>
  <c r="V93" i="7"/>
  <c r="R93" i="7"/>
  <c r="S93" i="7" s="1"/>
  <c r="K93" i="7"/>
  <c r="K92" i="7"/>
  <c r="R92" i="7"/>
  <c r="S92" i="7" s="1"/>
  <c r="V92" i="7"/>
  <c r="R91" i="7"/>
  <c r="S91" i="7" s="1"/>
  <c r="V91" i="7"/>
  <c r="K91" i="7"/>
  <c r="K90" i="7"/>
  <c r="I89" i="7"/>
  <c r="V90" i="7"/>
  <c r="R90" i="7"/>
  <c r="S90" i="7" s="1"/>
  <c r="K87" i="7"/>
  <c r="V87" i="7"/>
  <c r="R87" i="7"/>
  <c r="S87" i="7" s="1"/>
  <c r="T87" i="7" s="1"/>
  <c r="L87" i="7"/>
  <c r="R86" i="7"/>
  <c r="S86" i="7" s="1"/>
  <c r="T86" i="7" s="1"/>
  <c r="V86" i="7"/>
  <c r="L86" i="7"/>
  <c r="K86" i="7"/>
  <c r="N86" i="7" s="1"/>
  <c r="V85" i="7"/>
  <c r="R85" i="7"/>
  <c r="S85" i="7" s="1"/>
  <c r="T85" i="7" s="1"/>
  <c r="L85" i="7"/>
  <c r="K85" i="7"/>
  <c r="N85" i="7" s="1"/>
  <c r="K84" i="7"/>
  <c r="V84" i="7"/>
  <c r="R84" i="7"/>
  <c r="S84" i="7" s="1"/>
  <c r="T84" i="7" s="1"/>
  <c r="L84" i="7"/>
  <c r="K83" i="7"/>
  <c r="V83" i="7"/>
  <c r="R83" i="7"/>
  <c r="S83" i="7" s="1"/>
  <c r="K82" i="7"/>
  <c r="V82" i="7"/>
  <c r="R82" i="7"/>
  <c r="S82" i="7" s="1"/>
  <c r="K81" i="7"/>
  <c r="R81" i="7"/>
  <c r="S81" i="7" s="1"/>
  <c r="V81" i="7"/>
  <c r="V80" i="7"/>
  <c r="R80" i="7"/>
  <c r="S80" i="7" s="1"/>
  <c r="K80" i="7"/>
  <c r="R79" i="7"/>
  <c r="S79" i="7" s="1"/>
  <c r="V79" i="7"/>
  <c r="K79" i="7"/>
  <c r="K78" i="7"/>
  <c r="V78" i="7"/>
  <c r="R78" i="7"/>
  <c r="S78" i="7" s="1"/>
  <c r="R77" i="7"/>
  <c r="S77" i="7" s="1"/>
  <c r="K77" i="7"/>
  <c r="V77" i="7"/>
  <c r="K76" i="7"/>
  <c r="V76" i="7"/>
  <c r="R76" i="7"/>
  <c r="S76" i="7" s="1"/>
  <c r="K75" i="7"/>
  <c r="V75" i="7"/>
  <c r="R75" i="7"/>
  <c r="S75" i="7" s="1"/>
  <c r="K74" i="7"/>
  <c r="V74" i="7"/>
  <c r="R74" i="7"/>
  <c r="S74" i="7" s="1"/>
  <c r="I72" i="7"/>
  <c r="K73" i="7"/>
  <c r="R73" i="7"/>
  <c r="S73" i="7" s="1"/>
  <c r="V73" i="7"/>
  <c r="K70" i="7"/>
  <c r="R70" i="7"/>
  <c r="S70" i="7" s="1"/>
  <c r="V70" i="7"/>
  <c r="R69" i="7"/>
  <c r="S69" i="7" s="1"/>
  <c r="K69" i="7"/>
  <c r="V69" i="7"/>
  <c r="K68" i="7"/>
  <c r="R68" i="7"/>
  <c r="S68" i="7" s="1"/>
  <c r="V68" i="7"/>
  <c r="V67" i="7"/>
  <c r="R67" i="7"/>
  <c r="S67" i="7" s="1"/>
  <c r="K67" i="7"/>
  <c r="H66" i="7"/>
  <c r="V66" i="7"/>
  <c r="K66" i="7"/>
  <c r="L66" i="7"/>
  <c r="R66" i="7"/>
  <c r="S66" i="7" s="1"/>
  <c r="T66" i="7" s="1"/>
  <c r="K65" i="7"/>
  <c r="R65" i="7"/>
  <c r="S65" i="7" s="1"/>
  <c r="V65" i="7"/>
  <c r="R64" i="7"/>
  <c r="S64" i="7" s="1"/>
  <c r="V64" i="7"/>
  <c r="K64" i="7"/>
  <c r="K63" i="7"/>
  <c r="V63" i="7"/>
  <c r="R63" i="7"/>
  <c r="S63" i="7" s="1"/>
  <c r="V62" i="7"/>
  <c r="K62" i="7"/>
  <c r="R62" i="7"/>
  <c r="S62" i="7" s="1"/>
  <c r="K61" i="7"/>
  <c r="R61" i="7"/>
  <c r="S61" i="7" s="1"/>
  <c r="V61" i="7"/>
  <c r="K60" i="7"/>
  <c r="R60" i="7"/>
  <c r="S60" i="7" s="1"/>
  <c r="V60" i="7"/>
  <c r="V59" i="7"/>
  <c r="R59" i="7"/>
  <c r="S59" i="7" s="1"/>
  <c r="K59" i="7"/>
  <c r="K58" i="7"/>
  <c r="V58" i="7"/>
  <c r="R58" i="7"/>
  <c r="S58" i="7" s="1"/>
  <c r="K57" i="7"/>
  <c r="V57" i="7"/>
  <c r="R57" i="7"/>
  <c r="S57" i="7" s="1"/>
  <c r="R56" i="7"/>
  <c r="S56" i="7" s="1"/>
  <c r="V56" i="7"/>
  <c r="K56" i="7"/>
  <c r="K55" i="7"/>
  <c r="V55" i="7"/>
  <c r="R55" i="7"/>
  <c r="S55" i="7" s="1"/>
  <c r="K54" i="7"/>
  <c r="R54" i="7"/>
  <c r="S54" i="7" s="1"/>
  <c r="V54" i="7"/>
  <c r="M53" i="7"/>
  <c r="W53" i="7"/>
  <c r="X53" i="7" s="1"/>
  <c r="R52" i="7"/>
  <c r="S52" i="7" s="1"/>
  <c r="T52" i="7" s="1"/>
  <c r="V52" i="7"/>
  <c r="K52" i="7"/>
  <c r="L52" i="7"/>
  <c r="K51" i="7"/>
  <c r="R51" i="7"/>
  <c r="S51" i="7" s="1"/>
  <c r="T51" i="7" s="1"/>
  <c r="V51" i="7"/>
  <c r="L51" i="7"/>
  <c r="R50" i="7"/>
  <c r="S50" i="7" s="1"/>
  <c r="T50" i="7" s="1"/>
  <c r="V50" i="7"/>
  <c r="L50" i="7"/>
  <c r="K50" i="7"/>
  <c r="N50" i="7" s="1"/>
  <c r="V49" i="7"/>
  <c r="R49" i="7"/>
  <c r="S49" i="7" s="1"/>
  <c r="T49" i="7" s="1"/>
  <c r="L49" i="7"/>
  <c r="K49" i="7"/>
  <c r="N49" i="7" s="1"/>
  <c r="V48" i="7"/>
  <c r="R48" i="7"/>
  <c r="S48" i="7" s="1"/>
  <c r="K48" i="7"/>
  <c r="K47" i="7"/>
  <c r="V47" i="7"/>
  <c r="R47" i="7"/>
  <c r="S47" i="7" s="1"/>
  <c r="K46" i="7"/>
  <c r="R46" i="7"/>
  <c r="S46" i="7" s="1"/>
  <c r="V46" i="7"/>
  <c r="R45" i="7"/>
  <c r="S45" i="7" s="1"/>
  <c r="I44" i="7"/>
  <c r="K45" i="7"/>
  <c r="V45" i="7"/>
  <c r="V42" i="7"/>
  <c r="K42" i="7"/>
  <c r="R42" i="7"/>
  <c r="S42" i="7" s="1"/>
  <c r="K41" i="7"/>
  <c r="R41" i="7"/>
  <c r="S41" i="7" s="1"/>
  <c r="V41" i="7"/>
  <c r="R40" i="7"/>
  <c r="S40" i="7" s="1"/>
  <c r="V40" i="7"/>
  <c r="K40" i="7"/>
  <c r="H39" i="7"/>
  <c r="K39" i="7"/>
  <c r="L39" i="7"/>
  <c r="R39" i="7"/>
  <c r="S39" i="7" s="1"/>
  <c r="T39" i="7" s="1"/>
  <c r="V39" i="7"/>
  <c r="R38" i="7"/>
  <c r="S38" i="7" s="1"/>
  <c r="H38" i="7"/>
  <c r="V38" i="7"/>
  <c r="K38" i="7"/>
  <c r="L38" i="7"/>
  <c r="V37" i="7"/>
  <c r="R37" i="7"/>
  <c r="S37" i="7" s="1"/>
  <c r="H37" i="7"/>
  <c r="L37" i="7"/>
  <c r="K37" i="7"/>
  <c r="N37" i="7" s="1"/>
  <c r="H36" i="7"/>
  <c r="V36" i="7"/>
  <c r="R36" i="7"/>
  <c r="S36" i="7" s="1"/>
  <c r="T36" i="7" s="1"/>
  <c r="L36" i="7"/>
  <c r="K36" i="7"/>
  <c r="N36" i="7" s="1"/>
  <c r="K35" i="7"/>
  <c r="R35" i="7"/>
  <c r="S35" i="7" s="1"/>
  <c r="T35" i="7" s="1"/>
  <c r="V35" i="7"/>
  <c r="I33" i="7"/>
  <c r="R34" i="7"/>
  <c r="S34" i="7" s="1"/>
  <c r="K34" i="7"/>
  <c r="V34" i="7"/>
  <c r="K31" i="7"/>
  <c r="V31" i="7"/>
  <c r="R31" i="7"/>
  <c r="S31" i="7" s="1"/>
  <c r="R30" i="7"/>
  <c r="S30" i="7" s="1"/>
  <c r="V30" i="7"/>
  <c r="K30" i="7"/>
  <c r="V29" i="7"/>
  <c r="R29" i="7"/>
  <c r="S29" i="7" s="1"/>
  <c r="K29" i="7"/>
  <c r="V28" i="7"/>
  <c r="R28" i="7"/>
  <c r="S28" i="7" s="1"/>
  <c r="K28" i="7"/>
  <c r="R27" i="7"/>
  <c r="S27" i="7" s="1"/>
  <c r="K27" i="7"/>
  <c r="V27" i="7"/>
  <c r="K26" i="7"/>
  <c r="R26" i="7"/>
  <c r="S26" i="7" s="1"/>
  <c r="V26" i="7"/>
  <c r="K25" i="7"/>
  <c r="V25" i="7"/>
  <c r="R25" i="7"/>
  <c r="S25" i="7" s="1"/>
  <c r="K24" i="7"/>
  <c r="V24" i="7"/>
  <c r="R24" i="7"/>
  <c r="S24" i="7" s="1"/>
  <c r="R23" i="7"/>
  <c r="S23" i="7" s="1"/>
  <c r="V23" i="7"/>
  <c r="K23" i="7"/>
  <c r="V22" i="7"/>
  <c r="K22" i="7"/>
  <c r="R22" i="7"/>
  <c r="S22" i="7" s="1"/>
  <c r="V21" i="7"/>
  <c r="K21" i="7"/>
  <c r="R21" i="7"/>
  <c r="S21" i="7" s="1"/>
  <c r="V20" i="7"/>
  <c r="R20" i="7"/>
  <c r="S20" i="7" s="1"/>
  <c r="K20" i="7"/>
  <c r="V19" i="7"/>
  <c r="R19" i="7"/>
  <c r="S19" i="7" s="1"/>
  <c r="K19" i="7"/>
  <c r="V18" i="7"/>
  <c r="K18" i="7"/>
  <c r="R18" i="7"/>
  <c r="S18" i="7" s="1"/>
  <c r="I17" i="7"/>
  <c r="M15" i="7"/>
  <c r="W15" i="7"/>
  <c r="X15" i="7" s="1"/>
  <c r="R14" i="7"/>
  <c r="S14" i="7" s="1"/>
  <c r="T14" i="7" s="1"/>
  <c r="AL9" i="7"/>
  <c r="AK9" i="7"/>
  <c r="S166" i="7"/>
  <c r="T166" i="7" s="1"/>
  <c r="S159" i="7"/>
  <c r="T159" i="7" s="1"/>
  <c r="S11" i="7"/>
  <c r="T11" i="7" s="1"/>
  <c r="V164" i="6"/>
  <c r="R164" i="6"/>
  <c r="S164" i="6" s="1"/>
  <c r="K164" i="6"/>
  <c r="V163" i="6"/>
  <c r="K163" i="6"/>
  <c r="R163" i="6"/>
  <c r="S163" i="6" s="1"/>
  <c r="R162" i="6"/>
  <c r="S162" i="6" s="1"/>
  <c r="V162" i="6"/>
  <c r="K162" i="6"/>
  <c r="K161" i="6"/>
  <c r="R161" i="6"/>
  <c r="S161" i="6" s="1"/>
  <c r="V161" i="6"/>
  <c r="V160" i="6"/>
  <c r="R160" i="6"/>
  <c r="S160" i="6" s="1"/>
  <c r="I159" i="6"/>
  <c r="K160" i="6"/>
  <c r="R157" i="6"/>
  <c r="S157" i="6" s="1"/>
  <c r="V157" i="6"/>
  <c r="K157" i="6"/>
  <c r="K156" i="6"/>
  <c r="R156" i="6"/>
  <c r="S156" i="6" s="1"/>
  <c r="V156" i="6"/>
  <c r="I154" i="6"/>
  <c r="M155" i="6"/>
  <c r="W155" i="6"/>
  <c r="X155" i="6" s="1"/>
  <c r="K152" i="6"/>
  <c r="R152" i="6"/>
  <c r="S152" i="6" s="1"/>
  <c r="V152" i="6"/>
  <c r="R151" i="6"/>
  <c r="S151" i="6" s="1"/>
  <c r="V151" i="6"/>
  <c r="K151" i="6"/>
  <c r="V150" i="6"/>
  <c r="R150" i="6"/>
  <c r="S150" i="6" s="1"/>
  <c r="K150" i="6"/>
  <c r="V149" i="6"/>
  <c r="R149" i="6"/>
  <c r="S149" i="6" s="1"/>
  <c r="K149" i="6"/>
  <c r="R148" i="6"/>
  <c r="S148" i="6" s="1"/>
  <c r="K148" i="6"/>
  <c r="V148" i="6"/>
  <c r="V147" i="6"/>
  <c r="R147" i="6"/>
  <c r="S147" i="6" s="1"/>
  <c r="K147" i="6"/>
  <c r="R146" i="6"/>
  <c r="S146" i="6" s="1"/>
  <c r="K146" i="6"/>
  <c r="V146" i="6"/>
  <c r="V145" i="6"/>
  <c r="R145" i="6"/>
  <c r="S145" i="6" s="1"/>
  <c r="K145" i="6"/>
  <c r="R144" i="6"/>
  <c r="S144" i="6" s="1"/>
  <c r="K144" i="6"/>
  <c r="V144" i="6"/>
  <c r="K143" i="6"/>
  <c r="R143" i="6"/>
  <c r="S143" i="6" s="1"/>
  <c r="V143" i="6"/>
  <c r="K142" i="6"/>
  <c r="V142" i="6"/>
  <c r="R142" i="6"/>
  <c r="S142" i="6" s="1"/>
  <c r="V141" i="6"/>
  <c r="R141" i="6"/>
  <c r="S141" i="6" s="1"/>
  <c r="K141" i="6"/>
  <c r="K140" i="6"/>
  <c r="V140" i="6"/>
  <c r="R140" i="6"/>
  <c r="S140" i="6" s="1"/>
  <c r="R139" i="6"/>
  <c r="S139" i="6" s="1"/>
  <c r="V139" i="6"/>
  <c r="K139" i="6"/>
  <c r="K138" i="6"/>
  <c r="R138" i="6"/>
  <c r="S138" i="6" s="1"/>
  <c r="V138" i="6"/>
  <c r="I137" i="6"/>
  <c r="K135" i="6"/>
  <c r="V135" i="6"/>
  <c r="R135" i="6"/>
  <c r="S135" i="6" s="1"/>
  <c r="K134" i="6"/>
  <c r="R134" i="6"/>
  <c r="S134" i="6" s="1"/>
  <c r="V134" i="6"/>
  <c r="K133" i="6"/>
  <c r="R133" i="6"/>
  <c r="S133" i="6" s="1"/>
  <c r="V133" i="6"/>
  <c r="K132" i="6"/>
  <c r="V132" i="6"/>
  <c r="R132" i="6"/>
  <c r="S132" i="6" s="1"/>
  <c r="V131" i="6"/>
  <c r="I130" i="6"/>
  <c r="I121" i="6" s="1"/>
  <c r="R131" i="6"/>
  <c r="S131" i="6" s="1"/>
  <c r="K131" i="6"/>
  <c r="K128" i="6"/>
  <c r="R128" i="6"/>
  <c r="S128" i="6" s="1"/>
  <c r="V128" i="6"/>
  <c r="V127" i="6"/>
  <c r="R127" i="6"/>
  <c r="S127" i="6" s="1"/>
  <c r="K127" i="6"/>
  <c r="V126" i="6"/>
  <c r="R126" i="6"/>
  <c r="S126" i="6" s="1"/>
  <c r="K126" i="6"/>
  <c r="H125" i="6"/>
  <c r="V125" i="6"/>
  <c r="R125" i="6"/>
  <c r="S125" i="6" s="1"/>
  <c r="T125" i="6" s="1"/>
  <c r="L125" i="6"/>
  <c r="K125" i="6"/>
  <c r="N125" i="6" s="1"/>
  <c r="I122" i="6"/>
  <c r="L124" i="6"/>
  <c r="R124" i="6"/>
  <c r="S124" i="6" s="1"/>
  <c r="T124" i="6" s="1"/>
  <c r="V124" i="6"/>
  <c r="K124" i="6"/>
  <c r="N124" i="6" s="1"/>
  <c r="R123" i="6"/>
  <c r="S123" i="6" s="1"/>
  <c r="T123" i="6" s="1"/>
  <c r="K123" i="6"/>
  <c r="L123" i="6"/>
  <c r="V123" i="6"/>
  <c r="K119" i="6"/>
  <c r="R119" i="6"/>
  <c r="S119" i="6" s="1"/>
  <c r="V119" i="6"/>
  <c r="R118" i="6"/>
  <c r="S118" i="6" s="1"/>
  <c r="K118" i="6"/>
  <c r="V118" i="6"/>
  <c r="K117" i="6"/>
  <c r="R117" i="6"/>
  <c r="S117" i="6" s="1"/>
  <c r="V117" i="6"/>
  <c r="V116" i="6"/>
  <c r="R116" i="6"/>
  <c r="S116" i="6" s="1"/>
  <c r="K116" i="6"/>
  <c r="V115" i="6"/>
  <c r="R115" i="6"/>
  <c r="S115" i="6" s="1"/>
  <c r="K115" i="6"/>
  <c r="I114" i="6"/>
  <c r="V112" i="6"/>
  <c r="K112" i="6"/>
  <c r="R112" i="6"/>
  <c r="S112" i="6" s="1"/>
  <c r="R111" i="6"/>
  <c r="S111" i="6" s="1"/>
  <c r="V111" i="6"/>
  <c r="K111" i="6"/>
  <c r="K110" i="6"/>
  <c r="V110" i="6"/>
  <c r="R110" i="6"/>
  <c r="S110" i="6" s="1"/>
  <c r="K109" i="6"/>
  <c r="V109" i="6"/>
  <c r="R109" i="6"/>
  <c r="S109" i="6" s="1"/>
  <c r="V108" i="6"/>
  <c r="R108" i="6"/>
  <c r="S108" i="6" s="1"/>
  <c r="K108" i="6"/>
  <c r="K107" i="6"/>
  <c r="H107" i="6"/>
  <c r="V107" i="6"/>
  <c r="R107" i="6"/>
  <c r="S107" i="6" s="1"/>
  <c r="T107" i="6" s="1"/>
  <c r="L107" i="6"/>
  <c r="K106" i="6"/>
  <c r="R106" i="6"/>
  <c r="S106" i="6" s="1"/>
  <c r="V106" i="6"/>
  <c r="V105" i="6"/>
  <c r="K105" i="6"/>
  <c r="R105" i="6"/>
  <c r="S105" i="6" s="1"/>
  <c r="V104" i="6"/>
  <c r="R104" i="6"/>
  <c r="S104" i="6" s="1"/>
  <c r="K104" i="6"/>
  <c r="I103" i="6"/>
  <c r="R101" i="6"/>
  <c r="S101" i="6" s="1"/>
  <c r="V101" i="6"/>
  <c r="K101" i="6"/>
  <c r="V100" i="6"/>
  <c r="R100" i="6"/>
  <c r="S100" i="6" s="1"/>
  <c r="K100" i="6"/>
  <c r="R99" i="6"/>
  <c r="S99" i="6" s="1"/>
  <c r="K99" i="6"/>
  <c r="V99" i="6"/>
  <c r="K98" i="6"/>
  <c r="V98" i="6"/>
  <c r="R98" i="6"/>
  <c r="S98" i="6" s="1"/>
  <c r="K97" i="6"/>
  <c r="V97" i="6"/>
  <c r="R97" i="6"/>
  <c r="S97" i="6" s="1"/>
  <c r="K96" i="6"/>
  <c r="V96" i="6"/>
  <c r="R96" i="6"/>
  <c r="S96" i="6" s="1"/>
  <c r="I95" i="6"/>
  <c r="R93" i="6"/>
  <c r="S93" i="6" s="1"/>
  <c r="V93" i="6"/>
  <c r="K93" i="6"/>
  <c r="K92" i="6"/>
  <c r="R92" i="6"/>
  <c r="S92" i="6" s="1"/>
  <c r="V92" i="6"/>
  <c r="K91" i="6"/>
  <c r="R91" i="6"/>
  <c r="S91" i="6" s="1"/>
  <c r="V91" i="6"/>
  <c r="R90" i="6"/>
  <c r="S90" i="6" s="1"/>
  <c r="V90" i="6"/>
  <c r="K90" i="6"/>
  <c r="K89" i="6"/>
  <c r="V89" i="6"/>
  <c r="R89" i="6"/>
  <c r="S89" i="6" s="1"/>
  <c r="I88" i="6"/>
  <c r="K86" i="6"/>
  <c r="V86" i="6"/>
  <c r="R86" i="6"/>
  <c r="S86" i="6" s="1"/>
  <c r="R85" i="6"/>
  <c r="S85" i="6" s="1"/>
  <c r="V85" i="6"/>
  <c r="K85" i="6"/>
  <c r="H84" i="6"/>
  <c r="V84" i="6"/>
  <c r="R84" i="6"/>
  <c r="S84" i="6" s="1"/>
  <c r="T84" i="6" s="1"/>
  <c r="L84" i="6"/>
  <c r="K84" i="6"/>
  <c r="N84" i="6" s="1"/>
  <c r="H83" i="6"/>
  <c r="V83" i="6"/>
  <c r="R83" i="6"/>
  <c r="S83" i="6" s="1"/>
  <c r="T83" i="6" s="1"/>
  <c r="L83" i="6"/>
  <c r="K83" i="6"/>
  <c r="N83" i="6" s="1"/>
  <c r="L82" i="6"/>
  <c r="K82" i="6"/>
  <c r="N82" i="6" s="1"/>
  <c r="R81" i="6"/>
  <c r="S81" i="6" s="1"/>
  <c r="T81" i="6" s="1"/>
  <c r="K81" i="6"/>
  <c r="V81" i="6"/>
  <c r="L81" i="6"/>
  <c r="V80" i="6"/>
  <c r="K80" i="6"/>
  <c r="L80" i="6"/>
  <c r="R80" i="6"/>
  <c r="S80" i="6" s="1"/>
  <c r="T80" i="6" s="1"/>
  <c r="V79" i="6"/>
  <c r="L79" i="6"/>
  <c r="K79" i="6"/>
  <c r="N79" i="6" s="1"/>
  <c r="R79" i="6"/>
  <c r="S79" i="6" s="1"/>
  <c r="T79" i="6" s="1"/>
  <c r="R78" i="6"/>
  <c r="S78" i="6" s="1"/>
  <c r="T78" i="6" s="1"/>
  <c r="V78" i="6"/>
  <c r="L78" i="6"/>
  <c r="K78" i="6"/>
  <c r="N78" i="6" s="1"/>
  <c r="R77" i="6"/>
  <c r="S77" i="6" s="1"/>
  <c r="H77" i="6"/>
  <c r="K77" i="6"/>
  <c r="V77" i="6"/>
  <c r="L77" i="6"/>
  <c r="R76" i="6"/>
  <c r="S76" i="6" s="1"/>
  <c r="K76" i="6"/>
  <c r="V76" i="6"/>
  <c r="H75" i="6"/>
  <c r="V75" i="6"/>
  <c r="R75" i="6"/>
  <c r="S75" i="6" s="1"/>
  <c r="T75" i="6" s="1"/>
  <c r="L75" i="6"/>
  <c r="K75" i="6"/>
  <c r="N75" i="6" s="1"/>
  <c r="K74" i="6"/>
  <c r="V74" i="6"/>
  <c r="R74" i="6"/>
  <c r="S74" i="6" s="1"/>
  <c r="V73" i="6"/>
  <c r="R73" i="6"/>
  <c r="S73" i="6" s="1"/>
  <c r="K73" i="6"/>
  <c r="V72" i="6"/>
  <c r="R72" i="6"/>
  <c r="S72" i="6" s="1"/>
  <c r="I71" i="6"/>
  <c r="K72" i="6"/>
  <c r="K69" i="6"/>
  <c r="R69" i="6"/>
  <c r="S69" i="6" s="1"/>
  <c r="V69" i="6"/>
  <c r="V68" i="6"/>
  <c r="R68" i="6"/>
  <c r="S68" i="6" s="1"/>
  <c r="K68" i="6"/>
  <c r="V67" i="6"/>
  <c r="R67" i="6"/>
  <c r="S67" i="6" s="1"/>
  <c r="K67" i="6"/>
  <c r="K66" i="6"/>
  <c r="R66" i="6"/>
  <c r="S66" i="6" s="1"/>
  <c r="V66" i="6"/>
  <c r="R65" i="6"/>
  <c r="S65" i="6" s="1"/>
  <c r="V65" i="6"/>
  <c r="K65" i="6"/>
  <c r="K64" i="6"/>
  <c r="V64" i="6"/>
  <c r="R64" i="6"/>
  <c r="S64" i="6" s="1"/>
  <c r="V63" i="6"/>
  <c r="R63" i="6"/>
  <c r="S63" i="6" s="1"/>
  <c r="K63" i="6"/>
  <c r="R62" i="6"/>
  <c r="S62" i="6" s="1"/>
  <c r="V62" i="6"/>
  <c r="K62" i="6"/>
  <c r="V61" i="6"/>
  <c r="R61" i="6"/>
  <c r="S61" i="6" s="1"/>
  <c r="K61" i="6"/>
  <c r="R60" i="6"/>
  <c r="S60" i="6" s="1"/>
  <c r="V60" i="6"/>
  <c r="K60" i="6"/>
  <c r="V59" i="6"/>
  <c r="R59" i="6"/>
  <c r="S59" i="6" s="1"/>
  <c r="K59" i="6"/>
  <c r="R58" i="6"/>
  <c r="S58" i="6" s="1"/>
  <c r="V58" i="6"/>
  <c r="K58" i="6"/>
  <c r="K57" i="6"/>
  <c r="R57" i="6"/>
  <c r="S57" i="6" s="1"/>
  <c r="V57" i="6"/>
  <c r="V56" i="6"/>
  <c r="R56" i="6"/>
  <c r="S56" i="6" s="1"/>
  <c r="K56" i="6"/>
  <c r="K55" i="6"/>
  <c r="V55" i="6"/>
  <c r="R55" i="6"/>
  <c r="S55" i="6" s="1"/>
  <c r="V54" i="6"/>
  <c r="R54" i="6"/>
  <c r="S54" i="6" s="1"/>
  <c r="K54" i="6"/>
  <c r="K53" i="6"/>
  <c r="R53" i="6"/>
  <c r="S53" i="6" s="1"/>
  <c r="V53" i="6"/>
  <c r="R52" i="6"/>
  <c r="S52" i="6" s="1"/>
  <c r="V52" i="6"/>
  <c r="K52" i="6"/>
  <c r="V51" i="6"/>
  <c r="R51" i="6"/>
  <c r="S51" i="6" s="1"/>
  <c r="K51" i="6"/>
  <c r="H50" i="6"/>
  <c r="R50" i="6"/>
  <c r="S50" i="6" s="1"/>
  <c r="T50" i="6" s="1"/>
  <c r="V50" i="6"/>
  <c r="K50" i="6"/>
  <c r="L50" i="6"/>
  <c r="H49" i="6"/>
  <c r="L49" i="6"/>
  <c r="R49" i="6"/>
  <c r="S49" i="6" s="1"/>
  <c r="T49" i="6" s="1"/>
  <c r="V49" i="6"/>
  <c r="K49" i="6"/>
  <c r="N49" i="6" s="1"/>
  <c r="R48" i="6"/>
  <c r="S48" i="6" s="1"/>
  <c r="V48" i="6"/>
  <c r="K48" i="6"/>
  <c r="R47" i="6"/>
  <c r="S47" i="6" s="1"/>
  <c r="V47" i="6"/>
  <c r="H47" i="6"/>
  <c r="K47" i="6"/>
  <c r="L47" i="6"/>
  <c r="V46" i="6"/>
  <c r="I44" i="6"/>
  <c r="H46" i="6"/>
  <c r="K46" i="6"/>
  <c r="R46" i="6"/>
  <c r="S46" i="6" s="1"/>
  <c r="T46" i="6" s="1"/>
  <c r="L46" i="6"/>
  <c r="L45" i="6"/>
  <c r="K45" i="6"/>
  <c r="R42" i="6"/>
  <c r="S42" i="6" s="1"/>
  <c r="T42" i="6" s="1"/>
  <c r="K42" i="6"/>
  <c r="L42" i="6"/>
  <c r="V42" i="6"/>
  <c r="K41" i="6"/>
  <c r="V41" i="6"/>
  <c r="L41" i="6"/>
  <c r="R41" i="6"/>
  <c r="S41" i="6" s="1"/>
  <c r="T41" i="6" s="1"/>
  <c r="L40" i="6"/>
  <c r="K40" i="6"/>
  <c r="N40" i="6" s="1"/>
  <c r="V40" i="6"/>
  <c r="R40" i="6"/>
  <c r="S40" i="6" s="1"/>
  <c r="T40" i="6" s="1"/>
  <c r="L39" i="6"/>
  <c r="V39" i="6"/>
  <c r="R39" i="6"/>
  <c r="S39" i="6" s="1"/>
  <c r="T39" i="6" s="1"/>
  <c r="K39" i="6"/>
  <c r="N39" i="6" s="1"/>
  <c r="K38" i="6"/>
  <c r="V38" i="6"/>
  <c r="R38" i="6"/>
  <c r="S38" i="6" s="1"/>
  <c r="T38" i="6" s="1"/>
  <c r="L38" i="6"/>
  <c r="V37" i="6"/>
  <c r="K37" i="6"/>
  <c r="R37" i="6"/>
  <c r="S37" i="6" s="1"/>
  <c r="V36" i="6"/>
  <c r="R36" i="6"/>
  <c r="S36" i="6" s="1"/>
  <c r="K36" i="6"/>
  <c r="V35" i="6"/>
  <c r="R35" i="6"/>
  <c r="S35" i="6" s="1"/>
  <c r="K35" i="6"/>
  <c r="K34" i="6"/>
  <c r="R34" i="6"/>
  <c r="S34" i="6" s="1"/>
  <c r="V34" i="6"/>
  <c r="I33" i="6"/>
  <c r="R31" i="6"/>
  <c r="S31" i="6" s="1"/>
  <c r="K31" i="6"/>
  <c r="V31" i="6"/>
  <c r="V30" i="6"/>
  <c r="K30" i="6"/>
  <c r="R30" i="6"/>
  <c r="S30" i="6" s="1"/>
  <c r="V29" i="6"/>
  <c r="R29" i="6"/>
  <c r="S29" i="6" s="1"/>
  <c r="K29" i="6"/>
  <c r="V28" i="6"/>
  <c r="R28" i="6"/>
  <c r="S28" i="6" s="1"/>
  <c r="K28" i="6"/>
  <c r="V27" i="6"/>
  <c r="K27" i="6"/>
  <c r="R27" i="6"/>
  <c r="S27" i="6" s="1"/>
  <c r="R26" i="6"/>
  <c r="S26" i="6" s="1"/>
  <c r="K26" i="6"/>
  <c r="V26" i="6"/>
  <c r="V25" i="6"/>
  <c r="R25" i="6"/>
  <c r="S25" i="6" s="1"/>
  <c r="K25" i="6"/>
  <c r="R24" i="6"/>
  <c r="S24" i="6" s="1"/>
  <c r="V24" i="6"/>
  <c r="K24" i="6"/>
  <c r="V23" i="6"/>
  <c r="K23" i="6"/>
  <c r="R23" i="6"/>
  <c r="S23" i="6" s="1"/>
  <c r="V22" i="6"/>
  <c r="K22" i="6"/>
  <c r="R22" i="6"/>
  <c r="S22" i="6" s="1"/>
  <c r="V21" i="6"/>
  <c r="R21" i="6"/>
  <c r="S21" i="6" s="1"/>
  <c r="K21" i="6"/>
  <c r="V20" i="6"/>
  <c r="R20" i="6"/>
  <c r="S20" i="6" s="1"/>
  <c r="K20" i="6"/>
  <c r="V19" i="6"/>
  <c r="R19" i="6"/>
  <c r="S19" i="6" s="1"/>
  <c r="K19" i="6"/>
  <c r="I17" i="6"/>
  <c r="R18" i="6"/>
  <c r="S18" i="6" s="1"/>
  <c r="V18" i="6"/>
  <c r="K18" i="6"/>
  <c r="W15" i="6"/>
  <c r="X15" i="6" s="1"/>
  <c r="M15" i="6"/>
  <c r="R14" i="6"/>
  <c r="S14" i="6" s="1"/>
  <c r="T14" i="6" s="1"/>
  <c r="AL9" i="6"/>
  <c r="AK9" i="6"/>
  <c r="S70" i="6"/>
  <c r="T70" i="6" s="1"/>
  <c r="S32" i="6"/>
  <c r="T32" i="6" s="1"/>
  <c r="S102" i="6"/>
  <c r="T102" i="6" s="1"/>
  <c r="S158" i="6"/>
  <c r="T158" i="6" s="1"/>
  <c r="S43" i="6"/>
  <c r="T43" i="6" s="1"/>
  <c r="S129" i="6"/>
  <c r="T129" i="6" s="1"/>
  <c r="S11" i="6"/>
  <c r="T11" i="6" s="1"/>
  <c r="S153" i="6"/>
  <c r="T153" i="6" s="1"/>
  <c r="S120" i="6"/>
  <c r="T120" i="6" s="1"/>
  <c r="S136" i="6"/>
  <c r="T136" i="6" s="1"/>
  <c r="S165" i="6"/>
  <c r="T165" i="6" s="1"/>
  <c r="V157" i="5"/>
  <c r="R157" i="5"/>
  <c r="S157" i="5" s="1"/>
  <c r="K157" i="5"/>
  <c r="R156" i="5"/>
  <c r="S156" i="5" s="1"/>
  <c r="V156" i="5"/>
  <c r="K156" i="5"/>
  <c r="K155" i="5"/>
  <c r="V155" i="5"/>
  <c r="R155" i="5"/>
  <c r="S155" i="5" s="1"/>
  <c r="R154" i="5"/>
  <c r="S154" i="5" s="1"/>
  <c r="V154" i="5"/>
  <c r="K154" i="5"/>
  <c r="I152" i="5"/>
  <c r="V153" i="5"/>
  <c r="R153" i="5"/>
  <c r="S153" i="5" s="1"/>
  <c r="K153" i="5"/>
  <c r="R150" i="5"/>
  <c r="S150" i="5" s="1"/>
  <c r="V150" i="5"/>
  <c r="K150" i="5"/>
  <c r="V149" i="5"/>
  <c r="K149" i="5"/>
  <c r="R149" i="5"/>
  <c r="S149" i="5" s="1"/>
  <c r="I147" i="5"/>
  <c r="W148" i="5"/>
  <c r="X148" i="5" s="1"/>
  <c r="M148" i="5"/>
  <c r="K145" i="5"/>
  <c r="R145" i="5"/>
  <c r="S145" i="5" s="1"/>
  <c r="V145" i="5"/>
  <c r="K144" i="5"/>
  <c r="V144" i="5"/>
  <c r="R144" i="5"/>
  <c r="S144" i="5" s="1"/>
  <c r="V143" i="5"/>
  <c r="K143" i="5"/>
  <c r="R143" i="5"/>
  <c r="S143" i="5" s="1"/>
  <c r="V142" i="5"/>
  <c r="K142" i="5"/>
  <c r="R142" i="5"/>
  <c r="S142" i="5" s="1"/>
  <c r="R141" i="5"/>
  <c r="S141" i="5" s="1"/>
  <c r="K141" i="5"/>
  <c r="V141" i="5"/>
  <c r="V140" i="5"/>
  <c r="R140" i="5"/>
  <c r="S140" i="5" s="1"/>
  <c r="K140" i="5"/>
  <c r="R139" i="5"/>
  <c r="S139" i="5" s="1"/>
  <c r="V139" i="5"/>
  <c r="K139" i="5"/>
  <c r="K138" i="5"/>
  <c r="R138" i="5"/>
  <c r="S138" i="5" s="1"/>
  <c r="V138" i="5"/>
  <c r="R137" i="5"/>
  <c r="S137" i="5" s="1"/>
  <c r="K137" i="5"/>
  <c r="V137" i="5"/>
  <c r="R136" i="5"/>
  <c r="S136" i="5" s="1"/>
  <c r="V136" i="5"/>
  <c r="K136" i="5"/>
  <c r="R135" i="5"/>
  <c r="S135" i="5" s="1"/>
  <c r="K135" i="5"/>
  <c r="V135" i="5"/>
  <c r="V134" i="5"/>
  <c r="R134" i="5"/>
  <c r="S134" i="5" s="1"/>
  <c r="K134" i="5"/>
  <c r="K133" i="5"/>
  <c r="R133" i="5"/>
  <c r="S133" i="5" s="1"/>
  <c r="V133" i="5"/>
  <c r="R132" i="5"/>
  <c r="S132" i="5" s="1"/>
  <c r="V132" i="5"/>
  <c r="K132" i="5"/>
  <c r="V131" i="5"/>
  <c r="I130" i="5"/>
  <c r="R131" i="5"/>
  <c r="S131" i="5" s="1"/>
  <c r="K131" i="5"/>
  <c r="V128" i="5"/>
  <c r="K128" i="5"/>
  <c r="R128" i="5"/>
  <c r="S128" i="5" s="1"/>
  <c r="R127" i="5"/>
  <c r="S127" i="5" s="1"/>
  <c r="V127" i="5"/>
  <c r="K127" i="5"/>
  <c r="K126" i="5"/>
  <c r="R126" i="5"/>
  <c r="S126" i="5" s="1"/>
  <c r="V126" i="5"/>
  <c r="R125" i="5"/>
  <c r="S125" i="5" s="1"/>
  <c r="V125" i="5"/>
  <c r="K125" i="5"/>
  <c r="I124" i="5"/>
  <c r="R122" i="5"/>
  <c r="S122" i="5" s="1"/>
  <c r="V122" i="5"/>
  <c r="K122" i="5"/>
  <c r="V121" i="5"/>
  <c r="R121" i="5"/>
  <c r="S121" i="5" s="1"/>
  <c r="K121" i="5"/>
  <c r="V120" i="5"/>
  <c r="R120" i="5"/>
  <c r="S120" i="5" s="1"/>
  <c r="K120" i="5"/>
  <c r="R119" i="5"/>
  <c r="S119" i="5" s="1"/>
  <c r="K119" i="5"/>
  <c r="I116" i="5"/>
  <c r="I117" i="5"/>
  <c r="V119" i="5"/>
  <c r="W118" i="5"/>
  <c r="X118" i="5" s="1"/>
  <c r="M118" i="5"/>
  <c r="K117" i="5"/>
  <c r="N118" i="5"/>
  <c r="R114" i="5"/>
  <c r="S114" i="5" s="1"/>
  <c r="T114" i="5" s="1"/>
  <c r="L114" i="5"/>
  <c r="K114" i="5"/>
  <c r="N114" i="5" s="1"/>
  <c r="V114" i="5"/>
  <c r="K113" i="5"/>
  <c r="V113" i="5"/>
  <c r="R113" i="5"/>
  <c r="S113" i="5" s="1"/>
  <c r="K112" i="5"/>
  <c r="V112" i="5"/>
  <c r="R112" i="5"/>
  <c r="S112" i="5" s="1"/>
  <c r="V111" i="5"/>
  <c r="K111" i="5"/>
  <c r="R111" i="5"/>
  <c r="S111" i="5" s="1"/>
  <c r="I109" i="5"/>
  <c r="V110" i="5"/>
  <c r="R110" i="5"/>
  <c r="S110" i="5" s="1"/>
  <c r="K110" i="5"/>
  <c r="R107" i="5"/>
  <c r="S107" i="5" s="1"/>
  <c r="K107" i="5"/>
  <c r="V107" i="5"/>
  <c r="R106" i="5"/>
  <c r="S106" i="5" s="1"/>
  <c r="V106" i="5"/>
  <c r="K106" i="5"/>
  <c r="R105" i="5"/>
  <c r="S105" i="5" s="1"/>
  <c r="V105" i="5"/>
  <c r="K105" i="5"/>
  <c r="V104" i="5"/>
  <c r="R104" i="5"/>
  <c r="S104" i="5" s="1"/>
  <c r="K104" i="5"/>
  <c r="V103" i="5"/>
  <c r="R103" i="5"/>
  <c r="S103" i="5" s="1"/>
  <c r="K103" i="5"/>
  <c r="K102" i="5"/>
  <c r="R102" i="5"/>
  <c r="S102" i="5" s="1"/>
  <c r="V102" i="5"/>
  <c r="I101" i="5"/>
  <c r="R99" i="5"/>
  <c r="S99" i="5" s="1"/>
  <c r="K99" i="5"/>
  <c r="V99" i="5"/>
  <c r="V98" i="5"/>
  <c r="R98" i="5"/>
  <c r="S98" i="5" s="1"/>
  <c r="K98" i="5"/>
  <c r="V97" i="5"/>
  <c r="R97" i="5"/>
  <c r="S97" i="5" s="1"/>
  <c r="K97" i="5"/>
  <c r="K96" i="5"/>
  <c r="V96" i="5"/>
  <c r="R96" i="5"/>
  <c r="S96" i="5" s="1"/>
  <c r="H95" i="5"/>
  <c r="L95" i="5"/>
  <c r="R95" i="5"/>
  <c r="S95" i="5" s="1"/>
  <c r="T95" i="5" s="1"/>
  <c r="V95" i="5"/>
  <c r="K95" i="5"/>
  <c r="N95" i="5" s="1"/>
  <c r="V94" i="5"/>
  <c r="I93" i="5"/>
  <c r="H94" i="5"/>
  <c r="R94" i="5"/>
  <c r="S94" i="5" s="1"/>
  <c r="T94" i="5" s="1"/>
  <c r="K94" i="5"/>
  <c r="L94" i="5"/>
  <c r="V91" i="5"/>
  <c r="R91" i="5"/>
  <c r="S91" i="5" s="1"/>
  <c r="H91" i="5"/>
  <c r="K91" i="5"/>
  <c r="L91" i="5"/>
  <c r="R90" i="5"/>
  <c r="S90" i="5" s="1"/>
  <c r="V90" i="5"/>
  <c r="K90" i="5"/>
  <c r="R89" i="5"/>
  <c r="S89" i="5" s="1"/>
  <c r="V89" i="5"/>
  <c r="K89" i="5"/>
  <c r="V88" i="5"/>
  <c r="K88" i="5"/>
  <c r="R88" i="5"/>
  <c r="S88" i="5" s="1"/>
  <c r="I86" i="5"/>
  <c r="V87" i="5"/>
  <c r="R87" i="5"/>
  <c r="S87" i="5" s="1"/>
  <c r="K87" i="5"/>
  <c r="R84" i="5"/>
  <c r="S84" i="5" s="1"/>
  <c r="V84" i="5"/>
  <c r="K84" i="5"/>
  <c r="K83" i="5"/>
  <c r="V83" i="5"/>
  <c r="R83" i="5"/>
  <c r="S83" i="5" s="1"/>
  <c r="K82" i="5"/>
  <c r="V82" i="5"/>
  <c r="R82" i="5"/>
  <c r="S82" i="5" s="1"/>
  <c r="K81" i="5"/>
  <c r="R81" i="5"/>
  <c r="S81" i="5" s="1"/>
  <c r="V81" i="5"/>
  <c r="K80" i="5"/>
  <c r="V80" i="5"/>
  <c r="R80" i="5"/>
  <c r="S80" i="5" s="1"/>
  <c r="K79" i="5"/>
  <c r="R79" i="5"/>
  <c r="S79" i="5" s="1"/>
  <c r="V79" i="5"/>
  <c r="K78" i="5"/>
  <c r="R78" i="5"/>
  <c r="S78" i="5" s="1"/>
  <c r="V78" i="5"/>
  <c r="K77" i="5"/>
  <c r="L77" i="5"/>
  <c r="L76" i="5"/>
  <c r="K76" i="5"/>
  <c r="N76" i="5" s="1"/>
  <c r="R76" i="5"/>
  <c r="S76" i="5" s="1"/>
  <c r="T76" i="5" s="1"/>
  <c r="V76" i="5"/>
  <c r="V75" i="5"/>
  <c r="L75" i="5"/>
  <c r="R75" i="5"/>
  <c r="S75" i="5" s="1"/>
  <c r="T75" i="5" s="1"/>
  <c r="K75" i="5"/>
  <c r="N75" i="5" s="1"/>
  <c r="V74" i="5"/>
  <c r="R74" i="5"/>
  <c r="S74" i="5" s="1"/>
  <c r="T74" i="5" s="1"/>
  <c r="L74" i="5"/>
  <c r="K74" i="5"/>
  <c r="N74" i="5" s="1"/>
  <c r="V73" i="5"/>
  <c r="R73" i="5"/>
  <c r="S73" i="5" s="1"/>
  <c r="K73" i="5"/>
  <c r="K72" i="5"/>
  <c r="V72" i="5"/>
  <c r="R72" i="5"/>
  <c r="S72" i="5" s="1"/>
  <c r="K71" i="5"/>
  <c r="R71" i="5"/>
  <c r="S71" i="5" s="1"/>
  <c r="V71" i="5"/>
  <c r="I69" i="5"/>
  <c r="K70" i="5"/>
  <c r="R70" i="5"/>
  <c r="S70" i="5" s="1"/>
  <c r="V70" i="5"/>
  <c r="R67" i="5"/>
  <c r="S67" i="5" s="1"/>
  <c r="K67" i="5"/>
  <c r="V67" i="5"/>
  <c r="V66" i="5"/>
  <c r="R66" i="5"/>
  <c r="S66" i="5" s="1"/>
  <c r="K66" i="5"/>
  <c r="R65" i="5"/>
  <c r="S65" i="5" s="1"/>
  <c r="K65" i="5"/>
  <c r="V65" i="5"/>
  <c r="V64" i="5"/>
  <c r="R64" i="5"/>
  <c r="S64" i="5" s="1"/>
  <c r="K64" i="5"/>
  <c r="K63" i="5"/>
  <c r="V63" i="5"/>
  <c r="R63" i="5"/>
  <c r="S63" i="5" s="1"/>
  <c r="K62" i="5"/>
  <c r="R62" i="5"/>
  <c r="S62" i="5" s="1"/>
  <c r="V62" i="5"/>
  <c r="K61" i="5"/>
  <c r="V61" i="5"/>
  <c r="R61" i="5"/>
  <c r="S61" i="5" s="1"/>
  <c r="V60" i="5"/>
  <c r="R60" i="5"/>
  <c r="S60" i="5" s="1"/>
  <c r="K60" i="5"/>
  <c r="V59" i="5"/>
  <c r="R59" i="5"/>
  <c r="S59" i="5" s="1"/>
  <c r="K59" i="5"/>
  <c r="K58" i="5"/>
  <c r="V58" i="5"/>
  <c r="R58" i="5"/>
  <c r="S58" i="5" s="1"/>
  <c r="V57" i="5"/>
  <c r="R57" i="5"/>
  <c r="S57" i="5" s="1"/>
  <c r="K57" i="5"/>
  <c r="R56" i="5"/>
  <c r="S56" i="5" s="1"/>
  <c r="V56" i="5"/>
  <c r="K56" i="5"/>
  <c r="V55" i="5"/>
  <c r="R55" i="5"/>
  <c r="S55" i="5" s="1"/>
  <c r="K55" i="5"/>
  <c r="R54" i="5"/>
  <c r="S54" i="5" s="1"/>
  <c r="V54" i="5"/>
  <c r="K54" i="5"/>
  <c r="V53" i="5"/>
  <c r="R53" i="5"/>
  <c r="S53" i="5" s="1"/>
  <c r="K53" i="5"/>
  <c r="V52" i="5"/>
  <c r="K52" i="5"/>
  <c r="R52" i="5"/>
  <c r="S52" i="5" s="1"/>
  <c r="K51" i="5"/>
  <c r="R51" i="5"/>
  <c r="S51" i="5" s="1"/>
  <c r="V51" i="5"/>
  <c r="K50" i="5"/>
  <c r="V50" i="5"/>
  <c r="R50" i="5"/>
  <c r="S50" i="5" s="1"/>
  <c r="K49" i="5"/>
  <c r="R49" i="5"/>
  <c r="S49" i="5" s="1"/>
  <c r="V49" i="5"/>
  <c r="K48" i="5"/>
  <c r="V48" i="5"/>
  <c r="R48" i="5"/>
  <c r="S48" i="5" s="1"/>
  <c r="K47" i="5"/>
  <c r="V47" i="5"/>
  <c r="R47" i="5"/>
  <c r="S47" i="5" s="1"/>
  <c r="R46" i="5"/>
  <c r="S46" i="5" s="1"/>
  <c r="K46" i="5"/>
  <c r="V46" i="5"/>
  <c r="I44" i="5"/>
  <c r="V45" i="5"/>
  <c r="R45" i="5"/>
  <c r="S45" i="5" s="1"/>
  <c r="K45" i="5"/>
  <c r="V42" i="5"/>
  <c r="K42" i="5"/>
  <c r="R42" i="5"/>
  <c r="S42" i="5" s="1"/>
  <c r="V41" i="5"/>
  <c r="R41" i="5"/>
  <c r="S41" i="5" s="1"/>
  <c r="T41" i="5" s="1"/>
  <c r="L41" i="5"/>
  <c r="K41" i="5"/>
  <c r="H41" i="5"/>
  <c r="V40" i="5"/>
  <c r="R40" i="5"/>
  <c r="S40" i="5" s="1"/>
  <c r="T40" i="5" s="1"/>
  <c r="L40" i="5"/>
  <c r="K40" i="5"/>
  <c r="N40" i="5" s="1"/>
  <c r="R39" i="5"/>
  <c r="S39" i="5" s="1"/>
  <c r="T39" i="5" s="1"/>
  <c r="V39" i="5"/>
  <c r="K39" i="5"/>
  <c r="L39" i="5"/>
  <c r="K38" i="5"/>
  <c r="L38" i="5"/>
  <c r="R38" i="5"/>
  <c r="S38" i="5" s="1"/>
  <c r="T38" i="5" s="1"/>
  <c r="V38" i="5"/>
  <c r="K37" i="5"/>
  <c r="V37" i="5"/>
  <c r="L37" i="5"/>
  <c r="R37" i="5"/>
  <c r="S37" i="5" s="1"/>
  <c r="T37" i="5" s="1"/>
  <c r="K36" i="5"/>
  <c r="R36" i="5"/>
  <c r="S36" i="5" s="1"/>
  <c r="T36" i="5" s="1"/>
  <c r="V36" i="5"/>
  <c r="L36" i="5"/>
  <c r="R35" i="5"/>
  <c r="S35" i="5" s="1"/>
  <c r="K35" i="5"/>
  <c r="V35" i="5"/>
  <c r="V34" i="5"/>
  <c r="R34" i="5"/>
  <c r="S34" i="5" s="1"/>
  <c r="I33" i="5"/>
  <c r="K34" i="5"/>
  <c r="K31" i="5"/>
  <c r="R31" i="5"/>
  <c r="S31" i="5" s="1"/>
  <c r="V31" i="5"/>
  <c r="R30" i="5"/>
  <c r="S30" i="5" s="1"/>
  <c r="H30" i="5"/>
  <c r="K30" i="5"/>
  <c r="L30" i="5"/>
  <c r="V30" i="5"/>
  <c r="H29" i="5"/>
  <c r="R29" i="5"/>
  <c r="S29" i="5" s="1"/>
  <c r="T29" i="5" s="1"/>
  <c r="L29" i="5"/>
  <c r="K29" i="5"/>
  <c r="N29" i="5" s="1"/>
  <c r="V29" i="5"/>
  <c r="R28" i="5"/>
  <c r="S28" i="5" s="1"/>
  <c r="H28" i="5"/>
  <c r="L28" i="5"/>
  <c r="K28" i="5"/>
  <c r="N28" i="5" s="1"/>
  <c r="V28" i="5"/>
  <c r="K27" i="5"/>
  <c r="V27" i="5"/>
  <c r="R27" i="5"/>
  <c r="S27" i="5" s="1"/>
  <c r="K26" i="5"/>
  <c r="V26" i="5"/>
  <c r="R26" i="5"/>
  <c r="S26" i="5" s="1"/>
  <c r="R25" i="5"/>
  <c r="S25" i="5" s="1"/>
  <c r="V25" i="5"/>
  <c r="K25" i="5"/>
  <c r="R24" i="5"/>
  <c r="S24" i="5" s="1"/>
  <c r="V24" i="5"/>
  <c r="K24" i="5"/>
  <c r="V23" i="5"/>
  <c r="K23" i="5"/>
  <c r="R23" i="5"/>
  <c r="S23" i="5" s="1"/>
  <c r="K22" i="5"/>
  <c r="V22" i="5"/>
  <c r="R22" i="5"/>
  <c r="S22" i="5" s="1"/>
  <c r="V21" i="5"/>
  <c r="R21" i="5"/>
  <c r="S21" i="5" s="1"/>
  <c r="K21" i="5"/>
  <c r="K20" i="5"/>
  <c r="V20" i="5"/>
  <c r="R20" i="5"/>
  <c r="S20" i="5" s="1"/>
  <c r="V19" i="5"/>
  <c r="R19" i="5"/>
  <c r="S19" i="5" s="1"/>
  <c r="K19" i="5"/>
  <c r="R18" i="5"/>
  <c r="S18" i="5" s="1"/>
  <c r="V18" i="5"/>
  <c r="K18" i="5"/>
  <c r="I17" i="5"/>
  <c r="W15" i="5"/>
  <c r="X15" i="5" s="1"/>
  <c r="M15" i="5"/>
  <c r="R14" i="5"/>
  <c r="S14" i="5" s="1"/>
  <c r="T14" i="5" s="1"/>
  <c r="AF9" i="5"/>
  <c r="AK9" i="5"/>
  <c r="S115" i="5"/>
  <c r="T115" i="5" s="1"/>
  <c r="S100" i="5"/>
  <c r="T100" i="5" s="1"/>
  <c r="S32" i="5"/>
  <c r="T32" i="5" s="1"/>
  <c r="S129" i="5"/>
  <c r="T129" i="5" s="1"/>
  <c r="S123" i="5"/>
  <c r="T123" i="5" s="1"/>
  <c r="S158" i="5"/>
  <c r="T158" i="5" s="1"/>
  <c r="S43" i="5"/>
  <c r="T43" i="5" s="1"/>
  <c r="S146" i="5"/>
  <c r="T146" i="5" s="1"/>
  <c r="S68" i="5"/>
  <c r="T68" i="5" s="1"/>
  <c r="S11" i="5"/>
  <c r="T11" i="5" s="1"/>
  <c r="R160" i="7" l="1"/>
  <c r="S160" i="7" s="1"/>
  <c r="T160" i="7" s="1"/>
  <c r="V160" i="7"/>
  <c r="AE20" i="7"/>
  <c r="AF20" i="7" s="1"/>
  <c r="AL20" i="7" s="1"/>
  <c r="K160" i="7"/>
  <c r="AE19" i="7"/>
  <c r="AF19" i="7" s="1"/>
  <c r="AL19" i="7" s="1"/>
  <c r="R155" i="7"/>
  <c r="S155" i="7" s="1"/>
  <c r="T155" i="7" s="1"/>
  <c r="V155" i="7"/>
  <c r="K155" i="7"/>
  <c r="R138" i="7"/>
  <c r="S138" i="7" s="1"/>
  <c r="T138" i="7" s="1"/>
  <c r="V138" i="7"/>
  <c r="K138" i="7"/>
  <c r="M134" i="7"/>
  <c r="W134" i="7"/>
  <c r="X134" i="7" s="1"/>
  <c r="R131" i="7"/>
  <c r="S131" i="7" s="1"/>
  <c r="T131" i="7" s="1"/>
  <c r="V131" i="7"/>
  <c r="M132" i="7"/>
  <c r="W132" i="7"/>
  <c r="X132" i="7" s="1"/>
  <c r="N132" i="7"/>
  <c r="K131" i="7"/>
  <c r="M128" i="7"/>
  <c r="W128" i="7"/>
  <c r="X128" i="7" s="1"/>
  <c r="M127" i="7"/>
  <c r="W127" i="7"/>
  <c r="X127" i="7" s="1"/>
  <c r="M126" i="7"/>
  <c r="W126" i="7"/>
  <c r="X126" i="7" s="1"/>
  <c r="R122" i="7"/>
  <c r="S122" i="7" s="1"/>
  <c r="T122" i="7" s="1"/>
  <c r="V122" i="7"/>
  <c r="N124" i="7"/>
  <c r="K122" i="7"/>
  <c r="K123" i="7"/>
  <c r="V123" i="7"/>
  <c r="R123" i="7"/>
  <c r="S123" i="7" s="1"/>
  <c r="T123" i="7" s="1"/>
  <c r="AE18" i="7"/>
  <c r="AF18" i="7" s="1"/>
  <c r="AL18" i="7" s="1"/>
  <c r="R115" i="7"/>
  <c r="S115" i="7" s="1"/>
  <c r="T115" i="7" s="1"/>
  <c r="V115" i="7"/>
  <c r="AE17" i="7"/>
  <c r="AF17" i="7" s="1"/>
  <c r="AL17" i="7" s="1"/>
  <c r="N116" i="7"/>
  <c r="K115" i="7"/>
  <c r="M111" i="7"/>
  <c r="W111" i="7"/>
  <c r="X111" i="7" s="1"/>
  <c r="N105" i="7"/>
  <c r="K104" i="7"/>
  <c r="R104" i="7"/>
  <c r="S104" i="7" s="1"/>
  <c r="T104" i="7" s="1"/>
  <c r="V104" i="7"/>
  <c r="AE16" i="7"/>
  <c r="AF16" i="7" s="1"/>
  <c r="AL16" i="7" s="1"/>
  <c r="M98" i="7"/>
  <c r="W98" i="7"/>
  <c r="X98" i="7" s="1"/>
  <c r="R96" i="7"/>
  <c r="S96" i="7" s="1"/>
  <c r="T96" i="7" s="1"/>
  <c r="V96" i="7"/>
  <c r="AE15" i="7"/>
  <c r="AF15" i="7" s="1"/>
  <c r="AL15" i="7" s="1"/>
  <c r="N97" i="7"/>
  <c r="K96" i="7"/>
  <c r="M97" i="7"/>
  <c r="W97" i="7"/>
  <c r="X97" i="7" s="1"/>
  <c r="L96" i="7"/>
  <c r="N90" i="7"/>
  <c r="K89" i="7"/>
  <c r="R89" i="7"/>
  <c r="S89" i="7" s="1"/>
  <c r="T89" i="7" s="1"/>
  <c r="V89" i="7"/>
  <c r="AE14" i="7"/>
  <c r="AF14" i="7" s="1"/>
  <c r="AL14" i="7" s="1"/>
  <c r="M87" i="7"/>
  <c r="W87" i="7"/>
  <c r="X87" i="7" s="1"/>
  <c r="M86" i="7"/>
  <c r="W86" i="7"/>
  <c r="X86" i="7" s="1"/>
  <c r="M85" i="7"/>
  <c r="W85" i="7"/>
  <c r="X85" i="7" s="1"/>
  <c r="M84" i="7"/>
  <c r="W84" i="7"/>
  <c r="X84" i="7" s="1"/>
  <c r="R72" i="7"/>
  <c r="S72" i="7" s="1"/>
  <c r="T72" i="7" s="1"/>
  <c r="V72" i="7"/>
  <c r="AE13" i="7"/>
  <c r="AF13" i="7" s="1"/>
  <c r="AL13" i="7" s="1"/>
  <c r="N73" i="7"/>
  <c r="K72" i="7"/>
  <c r="M66" i="7"/>
  <c r="W66" i="7"/>
  <c r="X66" i="7" s="1"/>
  <c r="M52" i="7"/>
  <c r="W52" i="7"/>
  <c r="X52" i="7" s="1"/>
  <c r="M51" i="7"/>
  <c r="W51" i="7"/>
  <c r="X51" i="7" s="1"/>
  <c r="M50" i="7"/>
  <c r="W50" i="7"/>
  <c r="X50" i="7" s="1"/>
  <c r="M49" i="7"/>
  <c r="W49" i="7"/>
  <c r="X49" i="7" s="1"/>
  <c r="R44" i="7"/>
  <c r="S44" i="7" s="1"/>
  <c r="T44" i="7" s="1"/>
  <c r="V44" i="7"/>
  <c r="AE12" i="7"/>
  <c r="AF12" i="7" s="1"/>
  <c r="AL12" i="7" s="1"/>
  <c r="N45" i="7"/>
  <c r="K44" i="7"/>
  <c r="M39" i="7"/>
  <c r="W39" i="7"/>
  <c r="X39" i="7" s="1"/>
  <c r="M38" i="7"/>
  <c r="W38" i="7"/>
  <c r="X38" i="7" s="1"/>
  <c r="M37" i="7"/>
  <c r="W37" i="7"/>
  <c r="X37" i="7" s="1"/>
  <c r="M36" i="7"/>
  <c r="W36" i="7"/>
  <c r="X36" i="7" s="1"/>
  <c r="R33" i="7"/>
  <c r="S33" i="7" s="1"/>
  <c r="T33" i="7" s="1"/>
  <c r="V33" i="7"/>
  <c r="AE11" i="7"/>
  <c r="AF11" i="7" s="1"/>
  <c r="AL11" i="7" s="1"/>
  <c r="N34" i="7"/>
  <c r="K33" i="7"/>
  <c r="N18" i="7"/>
  <c r="K17" i="7"/>
  <c r="R17" i="7"/>
  <c r="S17" i="7" s="1"/>
  <c r="T17" i="7" s="1"/>
  <c r="V17" i="7"/>
  <c r="AE10" i="7"/>
  <c r="I12" i="7"/>
  <c r="M14" i="7"/>
  <c r="T153" i="7"/>
  <c r="T152" i="7"/>
  <c r="T151" i="7"/>
  <c r="T140" i="7"/>
  <c r="T139" i="7"/>
  <c r="T120" i="7"/>
  <c r="T107" i="7"/>
  <c r="T61" i="7"/>
  <c r="T45" i="7"/>
  <c r="T26" i="7"/>
  <c r="T25" i="7"/>
  <c r="T18" i="7"/>
  <c r="T133" i="7"/>
  <c r="T113" i="7"/>
  <c r="T76" i="7"/>
  <c r="T58" i="7"/>
  <c r="T40" i="7"/>
  <c r="T31" i="7"/>
  <c r="T29" i="7"/>
  <c r="T28" i="7"/>
  <c r="T99" i="7"/>
  <c r="N98" i="7"/>
  <c r="T81" i="7"/>
  <c r="T69" i="7"/>
  <c r="N52" i="7"/>
  <c r="N51" i="7"/>
  <c r="T68" i="7"/>
  <c r="T67" i="7"/>
  <c r="N66" i="7"/>
  <c r="T65" i="7"/>
  <c r="T64" i="7"/>
  <c r="T63" i="7"/>
  <c r="T54" i="7"/>
  <c r="T22" i="7"/>
  <c r="T21" i="7"/>
  <c r="T20" i="7"/>
  <c r="N39" i="7"/>
  <c r="T38" i="7"/>
  <c r="N38" i="7"/>
  <c r="T37" i="7"/>
  <c r="T34" i="7"/>
  <c r="T149" i="7"/>
  <c r="T145" i="7"/>
  <c r="T129" i="7"/>
  <c r="N128" i="7"/>
  <c r="N127" i="7"/>
  <c r="T124" i="7"/>
  <c r="T119" i="7"/>
  <c r="N84" i="7"/>
  <c r="T55" i="7"/>
  <c r="T164" i="7"/>
  <c r="T150" i="7"/>
  <c r="T148" i="7"/>
  <c r="T116" i="7"/>
  <c r="T112" i="7"/>
  <c r="T92" i="7"/>
  <c r="T91" i="7"/>
  <c r="T75" i="7"/>
  <c r="T57" i="7"/>
  <c r="T56" i="7"/>
  <c r="T30" i="7"/>
  <c r="T165" i="7"/>
  <c r="T144" i="7"/>
  <c r="T135" i="7"/>
  <c r="T90" i="7"/>
  <c r="N87" i="7"/>
  <c r="T82" i="7"/>
  <c r="T78" i="7"/>
  <c r="T41" i="7"/>
  <c r="T142" i="7"/>
  <c r="T125" i="7"/>
  <c r="T110" i="7"/>
  <c r="T74" i="7"/>
  <c r="T27" i="7"/>
  <c r="T163" i="7"/>
  <c r="T162" i="7"/>
  <c r="T157" i="7"/>
  <c r="T141" i="7"/>
  <c r="T109" i="7"/>
  <c r="T108" i="7"/>
  <c r="T106" i="7"/>
  <c r="T105" i="7"/>
  <c r="T102" i="7"/>
  <c r="T101" i="7"/>
  <c r="T83" i="7"/>
  <c r="T73" i="7"/>
  <c r="T70" i="7"/>
  <c r="T46" i="7"/>
  <c r="T147" i="7"/>
  <c r="T146" i="7"/>
  <c r="T136" i="7"/>
  <c r="T118" i="7"/>
  <c r="T80" i="7"/>
  <c r="T79" i="7"/>
  <c r="T62" i="7"/>
  <c r="T48" i="7"/>
  <c r="T47" i="7"/>
  <c r="T19" i="7"/>
  <c r="T161" i="7"/>
  <c r="T158" i="7"/>
  <c r="T143" i="7"/>
  <c r="T117" i="7"/>
  <c r="T100" i="7"/>
  <c r="T94" i="7"/>
  <c r="T93" i="7"/>
  <c r="T77" i="7"/>
  <c r="T60" i="7"/>
  <c r="T59" i="7"/>
  <c r="T42" i="7"/>
  <c r="T24" i="7"/>
  <c r="T23" i="7"/>
  <c r="H165" i="7"/>
  <c r="L165" i="7"/>
  <c r="H164" i="7"/>
  <c r="L164" i="7"/>
  <c r="H163" i="7"/>
  <c r="L163" i="7"/>
  <c r="H162" i="7"/>
  <c r="L162" i="7"/>
  <c r="H161" i="7"/>
  <c r="L161" i="7"/>
  <c r="N161" i="7" s="1"/>
  <c r="H158" i="7"/>
  <c r="L158" i="7"/>
  <c r="H157" i="7"/>
  <c r="L157" i="7"/>
  <c r="N157" i="7" s="1"/>
  <c r="H153" i="7"/>
  <c r="L153" i="7"/>
  <c r="H152" i="7"/>
  <c r="L152" i="7"/>
  <c r="H151" i="7"/>
  <c r="L151" i="7"/>
  <c r="H150" i="7"/>
  <c r="L150" i="7"/>
  <c r="H149" i="7"/>
  <c r="L149" i="7"/>
  <c r="H148" i="7"/>
  <c r="L148" i="7"/>
  <c r="H147" i="7"/>
  <c r="L147" i="7"/>
  <c r="H146" i="7"/>
  <c r="L146" i="7"/>
  <c r="H145" i="7"/>
  <c r="L145" i="7"/>
  <c r="H144" i="7"/>
  <c r="L144" i="7"/>
  <c r="H143" i="7"/>
  <c r="L143" i="7"/>
  <c r="H142" i="7"/>
  <c r="L142" i="7"/>
  <c r="H141" i="7"/>
  <c r="L141" i="7"/>
  <c r="H140" i="7"/>
  <c r="L140" i="7"/>
  <c r="H139" i="7"/>
  <c r="L139" i="7"/>
  <c r="N139" i="7" s="1"/>
  <c r="H136" i="7"/>
  <c r="L136" i="7"/>
  <c r="H135" i="7"/>
  <c r="L135" i="7"/>
  <c r="H133" i="7"/>
  <c r="L133" i="7"/>
  <c r="L131" i="7" s="1"/>
  <c r="N131" i="7" s="1"/>
  <c r="H129" i="7"/>
  <c r="L129" i="7"/>
  <c r="H125" i="7"/>
  <c r="L125" i="7"/>
  <c r="H124" i="7"/>
  <c r="L124" i="7"/>
  <c r="H120" i="7"/>
  <c r="L120" i="7"/>
  <c r="H119" i="7"/>
  <c r="L119" i="7"/>
  <c r="H118" i="7"/>
  <c r="L118" i="7"/>
  <c r="H117" i="7"/>
  <c r="L117" i="7"/>
  <c r="H116" i="7"/>
  <c r="L116" i="7"/>
  <c r="H113" i="7"/>
  <c r="L113" i="7"/>
  <c r="H112" i="7"/>
  <c r="L112" i="7"/>
  <c r="H110" i="7"/>
  <c r="L110" i="7"/>
  <c r="H109" i="7"/>
  <c r="L109" i="7"/>
  <c r="H108" i="7"/>
  <c r="L108" i="7"/>
  <c r="H107" i="7"/>
  <c r="L107" i="7"/>
  <c r="H106" i="7"/>
  <c r="L106" i="7"/>
  <c r="H105" i="7"/>
  <c r="L105" i="7"/>
  <c r="H102" i="7"/>
  <c r="L102" i="7"/>
  <c r="H101" i="7"/>
  <c r="L101" i="7"/>
  <c r="H100" i="7"/>
  <c r="L100" i="7"/>
  <c r="H99" i="7"/>
  <c r="L99" i="7"/>
  <c r="H94" i="7"/>
  <c r="L94" i="7"/>
  <c r="H93" i="7"/>
  <c r="L93" i="7"/>
  <c r="H92" i="7"/>
  <c r="L92" i="7"/>
  <c r="H91" i="7"/>
  <c r="L91" i="7"/>
  <c r="H90" i="7"/>
  <c r="L90" i="7"/>
  <c r="H83" i="7"/>
  <c r="L83" i="7"/>
  <c r="H82" i="7"/>
  <c r="L82" i="7"/>
  <c r="H81" i="7"/>
  <c r="L81" i="7"/>
  <c r="H80" i="7"/>
  <c r="L80" i="7"/>
  <c r="H79" i="7"/>
  <c r="L79" i="7"/>
  <c r="H78" i="7"/>
  <c r="L78" i="7"/>
  <c r="H77" i="7"/>
  <c r="L77" i="7"/>
  <c r="H76" i="7"/>
  <c r="L76" i="7"/>
  <c r="H75" i="7"/>
  <c r="L75" i="7"/>
  <c r="H74" i="7"/>
  <c r="L74" i="7"/>
  <c r="H73" i="7"/>
  <c r="L73" i="7"/>
  <c r="H70" i="7"/>
  <c r="L70" i="7"/>
  <c r="H69" i="7"/>
  <c r="L69" i="7"/>
  <c r="H68" i="7"/>
  <c r="L68" i="7"/>
  <c r="H67" i="7"/>
  <c r="L67" i="7"/>
  <c r="H65" i="7"/>
  <c r="L65" i="7"/>
  <c r="H64" i="7"/>
  <c r="L64" i="7"/>
  <c r="H63" i="7"/>
  <c r="L63" i="7"/>
  <c r="H62" i="7"/>
  <c r="L62" i="7"/>
  <c r="H61" i="7"/>
  <c r="L61" i="7"/>
  <c r="H60" i="7"/>
  <c r="L60" i="7"/>
  <c r="H59" i="7"/>
  <c r="L59" i="7"/>
  <c r="H58" i="7"/>
  <c r="L58" i="7"/>
  <c r="H57" i="7"/>
  <c r="L57" i="7"/>
  <c r="H56" i="7"/>
  <c r="L56" i="7"/>
  <c r="H55" i="7"/>
  <c r="L55" i="7"/>
  <c r="H54" i="7"/>
  <c r="L54" i="7"/>
  <c r="H48" i="7"/>
  <c r="L48" i="7"/>
  <c r="H47" i="7"/>
  <c r="L47" i="7"/>
  <c r="H46" i="7"/>
  <c r="L46" i="7"/>
  <c r="H45" i="7"/>
  <c r="L45" i="7"/>
  <c r="H42" i="7"/>
  <c r="L42" i="7"/>
  <c r="H41" i="7"/>
  <c r="L41" i="7"/>
  <c r="H40" i="7"/>
  <c r="L40" i="7"/>
  <c r="H35" i="7"/>
  <c r="L35" i="7"/>
  <c r="H34" i="7"/>
  <c r="L34" i="7"/>
  <c r="H31" i="7"/>
  <c r="L31" i="7"/>
  <c r="H30" i="7"/>
  <c r="L30" i="7"/>
  <c r="H29" i="7"/>
  <c r="L29" i="7"/>
  <c r="H28" i="7"/>
  <c r="L28" i="7"/>
  <c r="H27" i="7"/>
  <c r="L27" i="7"/>
  <c r="H26" i="7"/>
  <c r="L26" i="7"/>
  <c r="H25" i="7"/>
  <c r="L25" i="7"/>
  <c r="H24" i="7"/>
  <c r="L24" i="7"/>
  <c r="H23" i="7"/>
  <c r="L23" i="7"/>
  <c r="H22" i="7"/>
  <c r="L22" i="7"/>
  <c r="H21" i="7"/>
  <c r="L21" i="7"/>
  <c r="H20" i="7"/>
  <c r="L20" i="7"/>
  <c r="H19" i="7"/>
  <c r="L19" i="7"/>
  <c r="H18" i="7"/>
  <c r="L18" i="7"/>
  <c r="AE20" i="6"/>
  <c r="AF20" i="6" s="1"/>
  <c r="AL20" i="6" s="1"/>
  <c r="R159" i="6"/>
  <c r="S159" i="6" s="1"/>
  <c r="T159" i="6" s="1"/>
  <c r="V159" i="6"/>
  <c r="N160" i="6"/>
  <c r="K159" i="6"/>
  <c r="N156" i="6"/>
  <c r="K154" i="6"/>
  <c r="AE19" i="6"/>
  <c r="AF19" i="6" s="1"/>
  <c r="AL19" i="6" s="1"/>
  <c r="R154" i="6"/>
  <c r="S154" i="6" s="1"/>
  <c r="T154" i="6" s="1"/>
  <c r="V154" i="6"/>
  <c r="N138" i="6"/>
  <c r="K137" i="6"/>
  <c r="R137" i="6"/>
  <c r="S137" i="6" s="1"/>
  <c r="T137" i="6" s="1"/>
  <c r="V137" i="6"/>
  <c r="R130" i="6"/>
  <c r="S130" i="6" s="1"/>
  <c r="T130" i="6" s="1"/>
  <c r="V130" i="6"/>
  <c r="N131" i="6"/>
  <c r="K130" i="6"/>
  <c r="M125" i="6"/>
  <c r="W125" i="6"/>
  <c r="X125" i="6" s="1"/>
  <c r="R121" i="6"/>
  <c r="S121" i="6" s="1"/>
  <c r="T121" i="6" s="1"/>
  <c r="V121" i="6"/>
  <c r="R122" i="6"/>
  <c r="S122" i="6" s="1"/>
  <c r="T122" i="6" s="1"/>
  <c r="V122" i="6"/>
  <c r="AE18" i="6"/>
  <c r="AF18" i="6" s="1"/>
  <c r="AL18" i="6" s="1"/>
  <c r="M124" i="6"/>
  <c r="W124" i="6"/>
  <c r="X124" i="6" s="1"/>
  <c r="N123" i="6"/>
  <c r="K121" i="6"/>
  <c r="K122" i="6"/>
  <c r="M123" i="6"/>
  <c r="W123" i="6"/>
  <c r="X123" i="6" s="1"/>
  <c r="L122" i="6"/>
  <c r="N115" i="6"/>
  <c r="K114" i="6"/>
  <c r="R114" i="6"/>
  <c r="S114" i="6" s="1"/>
  <c r="T114" i="6" s="1"/>
  <c r="AE17" i="6"/>
  <c r="AF17" i="6" s="1"/>
  <c r="AL17" i="6" s="1"/>
  <c r="V114" i="6"/>
  <c r="M107" i="6"/>
  <c r="W107" i="6"/>
  <c r="X107" i="6" s="1"/>
  <c r="N104" i="6"/>
  <c r="K103" i="6"/>
  <c r="R103" i="6"/>
  <c r="S103" i="6" s="1"/>
  <c r="T103" i="6" s="1"/>
  <c r="AE16" i="6"/>
  <c r="AF16" i="6" s="1"/>
  <c r="AL16" i="6" s="1"/>
  <c r="V103" i="6"/>
  <c r="N96" i="6"/>
  <c r="K95" i="6"/>
  <c r="R95" i="6"/>
  <c r="S95" i="6" s="1"/>
  <c r="T95" i="6" s="1"/>
  <c r="V95" i="6"/>
  <c r="AE15" i="6"/>
  <c r="AF15" i="6" s="1"/>
  <c r="AL15" i="6" s="1"/>
  <c r="N89" i="6"/>
  <c r="K88" i="6"/>
  <c r="R88" i="6"/>
  <c r="S88" i="6" s="1"/>
  <c r="T88" i="6" s="1"/>
  <c r="V88" i="6"/>
  <c r="AE14" i="6"/>
  <c r="AF14" i="6" s="1"/>
  <c r="AL14" i="6" s="1"/>
  <c r="M84" i="6"/>
  <c r="W84" i="6"/>
  <c r="X84" i="6" s="1"/>
  <c r="W83" i="6"/>
  <c r="X83" i="6" s="1"/>
  <c r="M83" i="6"/>
  <c r="M82" i="6"/>
  <c r="W82" i="6"/>
  <c r="X82" i="6" s="1"/>
  <c r="M81" i="6"/>
  <c r="W81" i="6"/>
  <c r="X81" i="6" s="1"/>
  <c r="M80" i="6"/>
  <c r="W80" i="6"/>
  <c r="X80" i="6" s="1"/>
  <c r="M79" i="6"/>
  <c r="W79" i="6"/>
  <c r="X79" i="6" s="1"/>
  <c r="M78" i="6"/>
  <c r="W78" i="6"/>
  <c r="X78" i="6" s="1"/>
  <c r="M77" i="6"/>
  <c r="W77" i="6"/>
  <c r="X77" i="6" s="1"/>
  <c r="M75" i="6"/>
  <c r="W75" i="6"/>
  <c r="X75" i="6" s="1"/>
  <c r="AE13" i="6"/>
  <c r="AF13" i="6" s="1"/>
  <c r="AL13" i="6" s="1"/>
  <c r="R71" i="6"/>
  <c r="S71" i="6" s="1"/>
  <c r="T71" i="6" s="1"/>
  <c r="V71" i="6"/>
  <c r="N72" i="6"/>
  <c r="K71" i="6"/>
  <c r="M50" i="6"/>
  <c r="W50" i="6"/>
  <c r="X50" i="6" s="1"/>
  <c r="M49" i="6"/>
  <c r="W49" i="6"/>
  <c r="X49" i="6" s="1"/>
  <c r="M47" i="6"/>
  <c r="W47" i="6"/>
  <c r="X47" i="6" s="1"/>
  <c r="R44" i="6"/>
  <c r="S44" i="6" s="1"/>
  <c r="T44" i="6" s="1"/>
  <c r="V44" i="6"/>
  <c r="AE12" i="6"/>
  <c r="AF12" i="6" s="1"/>
  <c r="AL12" i="6" s="1"/>
  <c r="M46" i="6"/>
  <c r="W46" i="6"/>
  <c r="X46" i="6" s="1"/>
  <c r="M45" i="6"/>
  <c r="W45" i="6"/>
  <c r="X45" i="6" s="1"/>
  <c r="L44" i="6"/>
  <c r="N45" i="6"/>
  <c r="K44" i="6"/>
  <c r="N44" i="6" s="1"/>
  <c r="M42" i="6"/>
  <c r="W42" i="6"/>
  <c r="X42" i="6" s="1"/>
  <c r="M41" i="6"/>
  <c r="W41" i="6"/>
  <c r="X41" i="6" s="1"/>
  <c r="M40" i="6"/>
  <c r="W40" i="6"/>
  <c r="X40" i="6" s="1"/>
  <c r="M39" i="6"/>
  <c r="W39" i="6"/>
  <c r="X39" i="6" s="1"/>
  <c r="M38" i="6"/>
  <c r="W38" i="6"/>
  <c r="X38" i="6" s="1"/>
  <c r="N34" i="6"/>
  <c r="K33" i="6"/>
  <c r="R33" i="6"/>
  <c r="S33" i="6" s="1"/>
  <c r="T33" i="6" s="1"/>
  <c r="V33" i="6"/>
  <c r="AE11" i="6"/>
  <c r="AF11" i="6" s="1"/>
  <c r="AL11" i="6" s="1"/>
  <c r="R17" i="6"/>
  <c r="S17" i="6" s="1"/>
  <c r="T17" i="6" s="1"/>
  <c r="V17" i="6"/>
  <c r="AE10" i="6"/>
  <c r="I12" i="6"/>
  <c r="K17" i="6"/>
  <c r="N18" i="6"/>
  <c r="M14" i="6"/>
  <c r="T163" i="6"/>
  <c r="T161" i="6"/>
  <c r="T152" i="6"/>
  <c r="T138" i="6"/>
  <c r="T100" i="6"/>
  <c r="T62" i="6"/>
  <c r="T61" i="6"/>
  <c r="T37" i="6"/>
  <c r="T36" i="6"/>
  <c r="T22" i="6"/>
  <c r="T21" i="6"/>
  <c r="T119" i="6"/>
  <c r="T118" i="6"/>
  <c r="T106" i="6"/>
  <c r="T92" i="6"/>
  <c r="T65" i="6"/>
  <c r="T55" i="6"/>
  <c r="N81" i="6"/>
  <c r="N80" i="6"/>
  <c r="T77" i="6"/>
  <c r="N77" i="6"/>
  <c r="T76" i="6"/>
  <c r="T74" i="6"/>
  <c r="T60" i="6"/>
  <c r="T35" i="6"/>
  <c r="T20" i="6"/>
  <c r="T51" i="6"/>
  <c r="N50" i="6"/>
  <c r="T48" i="6"/>
  <c r="T47" i="6"/>
  <c r="N47" i="6"/>
  <c r="N46" i="6"/>
  <c r="N42" i="6"/>
  <c r="N41" i="6"/>
  <c r="N38" i="6"/>
  <c r="T34" i="6"/>
  <c r="T31" i="6"/>
  <c r="T19" i="6"/>
  <c r="T18" i="6"/>
  <c r="T150" i="6"/>
  <c r="T145" i="6"/>
  <c r="N107" i="6"/>
  <c r="T105" i="6"/>
  <c r="T104" i="6"/>
  <c r="T91" i="6"/>
  <c r="T90" i="6"/>
  <c r="T89" i="6"/>
  <c r="T63" i="6"/>
  <c r="T131" i="6"/>
  <c r="T126" i="6"/>
  <c r="T117" i="6"/>
  <c r="T85" i="6"/>
  <c r="T73" i="6"/>
  <c r="T59" i="6"/>
  <c r="T162" i="6"/>
  <c r="T135" i="6"/>
  <c r="T134" i="6"/>
  <c r="T99" i="6"/>
  <c r="T86" i="6"/>
  <c r="T58" i="6"/>
  <c r="T27" i="6"/>
  <c r="T149" i="6"/>
  <c r="T148" i="6"/>
  <c r="T144" i="6"/>
  <c r="T133" i="6"/>
  <c r="T132" i="6"/>
  <c r="T110" i="6"/>
  <c r="T93" i="6"/>
  <c r="T67" i="6"/>
  <c r="T64" i="6"/>
  <c r="T54" i="6"/>
  <c r="T23" i="6"/>
  <c r="T164" i="6"/>
  <c r="T147" i="6"/>
  <c r="T140" i="6"/>
  <c r="T139" i="6"/>
  <c r="T101" i="6"/>
  <c r="T53" i="6"/>
  <c r="T52" i="6"/>
  <c r="T30" i="6"/>
  <c r="T29" i="6"/>
  <c r="T160" i="6"/>
  <c r="T157" i="6"/>
  <c r="T143" i="6"/>
  <c r="T116" i="6"/>
  <c r="T115" i="6"/>
  <c r="T98" i="6"/>
  <c r="T72" i="6"/>
  <c r="T151" i="6"/>
  <c r="T128" i="6"/>
  <c r="T127" i="6"/>
  <c r="T112" i="6"/>
  <c r="T111" i="6"/>
  <c r="T97" i="6"/>
  <c r="T96" i="6"/>
  <c r="T69" i="6"/>
  <c r="T68" i="6"/>
  <c r="T57" i="6"/>
  <c r="T28" i="6"/>
  <c r="T26" i="6"/>
  <c r="T156" i="6"/>
  <c r="T146" i="6"/>
  <c r="T142" i="6"/>
  <c r="T141" i="6"/>
  <c r="T109" i="6"/>
  <c r="T108" i="6"/>
  <c r="T66" i="6"/>
  <c r="T56" i="6"/>
  <c r="T25" i="6"/>
  <c r="T24" i="6"/>
  <c r="H164" i="6"/>
  <c r="L164" i="6"/>
  <c r="H163" i="6"/>
  <c r="L163" i="6"/>
  <c r="H162" i="6"/>
  <c r="L162" i="6"/>
  <c r="H161" i="6"/>
  <c r="L161" i="6"/>
  <c r="H160" i="6"/>
  <c r="L160" i="6"/>
  <c r="H157" i="6"/>
  <c r="L157" i="6"/>
  <c r="H156" i="6"/>
  <c r="L156" i="6"/>
  <c r="H152" i="6"/>
  <c r="L152" i="6"/>
  <c r="H151" i="6"/>
  <c r="L151" i="6"/>
  <c r="H150" i="6"/>
  <c r="L150" i="6"/>
  <c r="H149" i="6"/>
  <c r="L149" i="6"/>
  <c r="H148" i="6"/>
  <c r="L148" i="6"/>
  <c r="H147" i="6"/>
  <c r="L147" i="6"/>
  <c r="H146" i="6"/>
  <c r="L146" i="6"/>
  <c r="H145" i="6"/>
  <c r="L145" i="6"/>
  <c r="H144" i="6"/>
  <c r="L144" i="6"/>
  <c r="H143" i="6"/>
  <c r="L143" i="6"/>
  <c r="H142" i="6"/>
  <c r="L142" i="6"/>
  <c r="H141" i="6"/>
  <c r="L141" i="6"/>
  <c r="H140" i="6"/>
  <c r="L140" i="6"/>
  <c r="H139" i="6"/>
  <c r="L139" i="6"/>
  <c r="H138" i="6"/>
  <c r="L138" i="6"/>
  <c r="H135" i="6"/>
  <c r="L135" i="6"/>
  <c r="H134" i="6"/>
  <c r="L134" i="6"/>
  <c r="H133" i="6"/>
  <c r="L133" i="6"/>
  <c r="H132" i="6"/>
  <c r="L132" i="6"/>
  <c r="H131" i="6"/>
  <c r="L131" i="6"/>
  <c r="H128" i="6"/>
  <c r="L128" i="6"/>
  <c r="H127" i="6"/>
  <c r="L127" i="6"/>
  <c r="H126" i="6"/>
  <c r="L126" i="6"/>
  <c r="H119" i="6"/>
  <c r="L119" i="6"/>
  <c r="H118" i="6"/>
  <c r="L118" i="6"/>
  <c r="H117" i="6"/>
  <c r="L117" i="6"/>
  <c r="H116" i="6"/>
  <c r="L116" i="6"/>
  <c r="H115" i="6"/>
  <c r="L115" i="6"/>
  <c r="H112" i="6"/>
  <c r="L112" i="6"/>
  <c r="H111" i="6"/>
  <c r="L111" i="6"/>
  <c r="H110" i="6"/>
  <c r="L110" i="6"/>
  <c r="H109" i="6"/>
  <c r="L109" i="6"/>
  <c r="H108" i="6"/>
  <c r="L108" i="6"/>
  <c r="H106" i="6"/>
  <c r="L106" i="6"/>
  <c r="H105" i="6"/>
  <c r="L105" i="6"/>
  <c r="H104" i="6"/>
  <c r="L104" i="6"/>
  <c r="H101" i="6"/>
  <c r="L101" i="6"/>
  <c r="H100" i="6"/>
  <c r="L100" i="6"/>
  <c r="H99" i="6"/>
  <c r="L99" i="6"/>
  <c r="H98" i="6"/>
  <c r="L98" i="6"/>
  <c r="H97" i="6"/>
  <c r="L97" i="6"/>
  <c r="H96" i="6"/>
  <c r="L96" i="6"/>
  <c r="H93" i="6"/>
  <c r="L93" i="6"/>
  <c r="H92" i="6"/>
  <c r="L92" i="6"/>
  <c r="H91" i="6"/>
  <c r="L91" i="6"/>
  <c r="H90" i="6"/>
  <c r="L90" i="6"/>
  <c r="H89" i="6"/>
  <c r="L89" i="6"/>
  <c r="H86" i="6"/>
  <c r="L86" i="6"/>
  <c r="H85" i="6"/>
  <c r="L85" i="6"/>
  <c r="H76" i="6"/>
  <c r="L76" i="6"/>
  <c r="H74" i="6"/>
  <c r="L74" i="6"/>
  <c r="H73" i="6"/>
  <c r="L73" i="6"/>
  <c r="H72" i="6"/>
  <c r="L72" i="6"/>
  <c r="H69" i="6"/>
  <c r="L69" i="6"/>
  <c r="H68" i="6"/>
  <c r="L68" i="6"/>
  <c r="H67" i="6"/>
  <c r="L67" i="6"/>
  <c r="H66" i="6"/>
  <c r="L66" i="6"/>
  <c r="H65" i="6"/>
  <c r="L65" i="6"/>
  <c r="H64" i="6"/>
  <c r="L64" i="6"/>
  <c r="H63" i="6"/>
  <c r="L63" i="6"/>
  <c r="H62" i="6"/>
  <c r="L62" i="6"/>
  <c r="H61" i="6"/>
  <c r="L61" i="6"/>
  <c r="H60" i="6"/>
  <c r="L60" i="6"/>
  <c r="H59" i="6"/>
  <c r="L59" i="6"/>
  <c r="H58" i="6"/>
  <c r="L58" i="6"/>
  <c r="H57" i="6"/>
  <c r="L57" i="6"/>
  <c r="H56" i="6"/>
  <c r="L56" i="6"/>
  <c r="H55" i="6"/>
  <c r="L55" i="6"/>
  <c r="H54" i="6"/>
  <c r="L54" i="6"/>
  <c r="H53" i="6"/>
  <c r="L53" i="6"/>
  <c r="H52" i="6"/>
  <c r="L52" i="6"/>
  <c r="H51" i="6"/>
  <c r="L51" i="6"/>
  <c r="H48" i="6"/>
  <c r="L48" i="6"/>
  <c r="H37" i="6"/>
  <c r="L37" i="6"/>
  <c r="H36" i="6"/>
  <c r="L36" i="6"/>
  <c r="H35" i="6"/>
  <c r="L35" i="6"/>
  <c r="H34" i="6"/>
  <c r="L34" i="6"/>
  <c r="H31" i="6"/>
  <c r="L31" i="6"/>
  <c r="H30" i="6"/>
  <c r="L30" i="6"/>
  <c r="H29" i="6"/>
  <c r="L29" i="6"/>
  <c r="H28" i="6"/>
  <c r="L28" i="6"/>
  <c r="H27" i="6"/>
  <c r="L27" i="6"/>
  <c r="H26" i="6"/>
  <c r="L26" i="6"/>
  <c r="H25" i="6"/>
  <c r="L25" i="6"/>
  <c r="H24" i="6"/>
  <c r="L24" i="6"/>
  <c r="H23" i="6"/>
  <c r="L23" i="6"/>
  <c r="H22" i="6"/>
  <c r="L22" i="6"/>
  <c r="H21" i="6"/>
  <c r="L21" i="6"/>
  <c r="H20" i="6"/>
  <c r="L20" i="6"/>
  <c r="H19" i="6"/>
  <c r="L19" i="6"/>
  <c r="H18" i="6"/>
  <c r="L18" i="6"/>
  <c r="R152" i="5"/>
  <c r="S152" i="5" s="1"/>
  <c r="T152" i="5" s="1"/>
  <c r="V152" i="5"/>
  <c r="AE20" i="5"/>
  <c r="AF20" i="5" s="1"/>
  <c r="AL20" i="5" s="1"/>
  <c r="K152" i="5"/>
  <c r="K147" i="5"/>
  <c r="R147" i="5"/>
  <c r="S147" i="5" s="1"/>
  <c r="T147" i="5" s="1"/>
  <c r="V147" i="5"/>
  <c r="AE19" i="5"/>
  <c r="AF19" i="5" s="1"/>
  <c r="AL19" i="5" s="1"/>
  <c r="R130" i="5"/>
  <c r="S130" i="5" s="1"/>
  <c r="T130" i="5" s="1"/>
  <c r="V130" i="5"/>
  <c r="K130" i="5"/>
  <c r="K124" i="5"/>
  <c r="R124" i="5"/>
  <c r="S124" i="5" s="1"/>
  <c r="T124" i="5" s="1"/>
  <c r="V124" i="5"/>
  <c r="R116" i="5"/>
  <c r="S116" i="5" s="1"/>
  <c r="T116" i="5" s="1"/>
  <c r="V116" i="5"/>
  <c r="R117" i="5"/>
  <c r="S117" i="5" s="1"/>
  <c r="T117" i="5" s="1"/>
  <c r="V117" i="5"/>
  <c r="AE18" i="5"/>
  <c r="AF18" i="5" s="1"/>
  <c r="AL18" i="5" s="1"/>
  <c r="M114" i="5"/>
  <c r="W114" i="5"/>
  <c r="X114" i="5" s="1"/>
  <c r="R109" i="5"/>
  <c r="S109" i="5" s="1"/>
  <c r="T109" i="5" s="1"/>
  <c r="V109" i="5"/>
  <c r="AE17" i="5"/>
  <c r="AF17" i="5" s="1"/>
  <c r="AL17" i="5" s="1"/>
  <c r="N110" i="5"/>
  <c r="K109" i="5"/>
  <c r="N102" i="5"/>
  <c r="K101" i="5"/>
  <c r="R101" i="5"/>
  <c r="S101" i="5" s="1"/>
  <c r="T101" i="5" s="1"/>
  <c r="V101" i="5"/>
  <c r="AE16" i="5"/>
  <c r="AF16" i="5" s="1"/>
  <c r="AL16" i="5" s="1"/>
  <c r="M95" i="5"/>
  <c r="W95" i="5"/>
  <c r="X95" i="5" s="1"/>
  <c r="AE15" i="5"/>
  <c r="AF15" i="5" s="1"/>
  <c r="AL15" i="5" s="1"/>
  <c r="R93" i="5"/>
  <c r="S93" i="5" s="1"/>
  <c r="T93" i="5" s="1"/>
  <c r="V93" i="5"/>
  <c r="N94" i="5"/>
  <c r="K93" i="5"/>
  <c r="N93" i="5" s="1"/>
  <c r="W94" i="5"/>
  <c r="X94" i="5" s="1"/>
  <c r="L93" i="5"/>
  <c r="M94" i="5"/>
  <c r="M91" i="5"/>
  <c r="W91" i="5"/>
  <c r="X91" i="5" s="1"/>
  <c r="AE14" i="5"/>
  <c r="AF14" i="5" s="1"/>
  <c r="AL14" i="5" s="1"/>
  <c r="R86" i="5"/>
  <c r="S86" i="5" s="1"/>
  <c r="T86" i="5" s="1"/>
  <c r="V86" i="5"/>
  <c r="N87" i="5"/>
  <c r="K86" i="5"/>
  <c r="M77" i="5"/>
  <c r="W77" i="5"/>
  <c r="X77" i="5" s="1"/>
  <c r="M76" i="5"/>
  <c r="W76" i="5"/>
  <c r="X76" i="5" s="1"/>
  <c r="M75" i="5"/>
  <c r="W75" i="5"/>
  <c r="X75" i="5" s="1"/>
  <c r="M74" i="5"/>
  <c r="W74" i="5"/>
  <c r="X74" i="5" s="1"/>
  <c r="R69" i="5"/>
  <c r="S69" i="5" s="1"/>
  <c r="T69" i="5" s="1"/>
  <c r="V69" i="5"/>
  <c r="AE13" i="5"/>
  <c r="AF13" i="5" s="1"/>
  <c r="AL13" i="5" s="1"/>
  <c r="N70" i="5"/>
  <c r="K69" i="5"/>
  <c r="R44" i="5"/>
  <c r="S44" i="5" s="1"/>
  <c r="T44" i="5" s="1"/>
  <c r="V44" i="5"/>
  <c r="AE12" i="5"/>
  <c r="AF12" i="5" s="1"/>
  <c r="AL12" i="5" s="1"/>
  <c r="N45" i="5"/>
  <c r="K44" i="5"/>
  <c r="M41" i="5"/>
  <c r="W41" i="5"/>
  <c r="X41" i="5" s="1"/>
  <c r="M40" i="5"/>
  <c r="W40" i="5"/>
  <c r="X40" i="5" s="1"/>
  <c r="M39" i="5"/>
  <c r="W39" i="5"/>
  <c r="X39" i="5" s="1"/>
  <c r="M38" i="5"/>
  <c r="W38" i="5"/>
  <c r="X38" i="5" s="1"/>
  <c r="M37" i="5"/>
  <c r="W37" i="5"/>
  <c r="X37" i="5" s="1"/>
  <c r="M36" i="5"/>
  <c r="W36" i="5"/>
  <c r="X36" i="5" s="1"/>
  <c r="R33" i="5"/>
  <c r="S33" i="5" s="1"/>
  <c r="T33" i="5" s="1"/>
  <c r="V33" i="5"/>
  <c r="AE11" i="5"/>
  <c r="AF11" i="5" s="1"/>
  <c r="AL11" i="5" s="1"/>
  <c r="K33" i="5"/>
  <c r="M30" i="5"/>
  <c r="W30" i="5"/>
  <c r="X30" i="5" s="1"/>
  <c r="W29" i="5"/>
  <c r="X29" i="5" s="1"/>
  <c r="M29" i="5"/>
  <c r="M28" i="5"/>
  <c r="W28" i="5"/>
  <c r="X28" i="5" s="1"/>
  <c r="K17" i="5"/>
  <c r="N18" i="5"/>
  <c r="R17" i="5"/>
  <c r="S17" i="5" s="1"/>
  <c r="T17" i="5" s="1"/>
  <c r="AE10" i="5"/>
  <c r="I12" i="5"/>
  <c r="V17" i="5"/>
  <c r="M14" i="5"/>
  <c r="AL9" i="5"/>
  <c r="T153" i="5"/>
  <c r="T125" i="5"/>
  <c r="T111" i="5"/>
  <c r="T110" i="5"/>
  <c r="T107" i="5"/>
  <c r="T88" i="5"/>
  <c r="T72" i="5"/>
  <c r="T48" i="5"/>
  <c r="T47" i="5"/>
  <c r="T19" i="5"/>
  <c r="T96" i="5"/>
  <c r="T91" i="5"/>
  <c r="N91" i="5"/>
  <c r="T90" i="5"/>
  <c r="N77" i="5"/>
  <c r="T61" i="5"/>
  <c r="T60" i="5"/>
  <c r="T50" i="5"/>
  <c r="T21" i="5"/>
  <c r="T20" i="5"/>
  <c r="N41" i="5"/>
  <c r="N39" i="5"/>
  <c r="N38" i="5"/>
  <c r="N37" i="5"/>
  <c r="N36" i="5"/>
  <c r="T35" i="5"/>
  <c r="T34" i="5"/>
  <c r="T31" i="5"/>
  <c r="T30" i="5"/>
  <c r="N30" i="5"/>
  <c r="T28" i="5"/>
  <c r="T140" i="5"/>
  <c r="T139" i="5"/>
  <c r="T133" i="5"/>
  <c r="T132" i="5"/>
  <c r="T120" i="5"/>
  <c r="T103" i="5"/>
  <c r="T82" i="5"/>
  <c r="T81" i="5"/>
  <c r="T70" i="5"/>
  <c r="T145" i="5"/>
  <c r="T127" i="5"/>
  <c r="T113" i="5"/>
  <c r="T78" i="5"/>
  <c r="T62" i="5"/>
  <c r="T51" i="5"/>
  <c r="T22" i="5"/>
  <c r="T131" i="5"/>
  <c r="T128" i="5"/>
  <c r="T63" i="5"/>
  <c r="T52" i="5"/>
  <c r="T23" i="5"/>
  <c r="T141" i="5"/>
  <c r="T134" i="5"/>
  <c r="T104" i="5"/>
  <c r="T87" i="5"/>
  <c r="T84" i="5"/>
  <c r="T66" i="5"/>
  <c r="T65" i="5"/>
  <c r="T55" i="5"/>
  <c r="T54" i="5"/>
  <c r="T42" i="5"/>
  <c r="T27" i="5"/>
  <c r="T25" i="5"/>
  <c r="T24" i="5"/>
  <c r="T150" i="5"/>
  <c r="T126" i="5"/>
  <c r="T112" i="5"/>
  <c r="T98" i="5"/>
  <c r="T97" i="5"/>
  <c r="T80" i="5"/>
  <c r="T79" i="5"/>
  <c r="T71" i="5"/>
  <c r="T58" i="5"/>
  <c r="T57" i="5"/>
  <c r="T46" i="5"/>
  <c r="T18" i="5"/>
  <c r="T142" i="5"/>
  <c r="T136" i="5"/>
  <c r="T135" i="5"/>
  <c r="T89" i="5"/>
  <c r="T73" i="5"/>
  <c r="T59" i="5"/>
  <c r="T49" i="5"/>
  <c r="T121" i="5"/>
  <c r="T64" i="5"/>
  <c r="T26" i="5"/>
  <c r="T149" i="5"/>
  <c r="T138" i="5"/>
  <c r="T137" i="5"/>
  <c r="T122" i="5"/>
  <c r="T106" i="5"/>
  <c r="T105" i="5"/>
  <c r="T67" i="5"/>
  <c r="T56" i="5"/>
  <c r="T45" i="5"/>
  <c r="T157" i="5"/>
  <c r="T156" i="5"/>
  <c r="T155" i="5"/>
  <c r="T154" i="5"/>
  <c r="T144" i="5"/>
  <c r="T143" i="5"/>
  <c r="T119" i="5"/>
  <c r="T102" i="5"/>
  <c r="T99" i="5"/>
  <c r="T83" i="5"/>
  <c r="T53" i="5"/>
  <c r="H157" i="5"/>
  <c r="L157" i="5"/>
  <c r="H156" i="5"/>
  <c r="L156" i="5"/>
  <c r="H155" i="5"/>
  <c r="L155" i="5"/>
  <c r="H154" i="5"/>
  <c r="L154" i="5"/>
  <c r="H153" i="5"/>
  <c r="L153" i="5"/>
  <c r="N153" i="5" s="1"/>
  <c r="H150" i="5"/>
  <c r="L150" i="5"/>
  <c r="H149" i="5"/>
  <c r="L149" i="5"/>
  <c r="N149" i="5" s="1"/>
  <c r="H145" i="5"/>
  <c r="L145" i="5"/>
  <c r="H144" i="5"/>
  <c r="L144" i="5"/>
  <c r="H143" i="5"/>
  <c r="L143" i="5"/>
  <c r="H142" i="5"/>
  <c r="L142" i="5"/>
  <c r="H141" i="5"/>
  <c r="L141" i="5"/>
  <c r="H140" i="5"/>
  <c r="L140" i="5"/>
  <c r="H139" i="5"/>
  <c r="L139" i="5"/>
  <c r="H138" i="5"/>
  <c r="L138" i="5"/>
  <c r="H137" i="5"/>
  <c r="L137" i="5"/>
  <c r="H136" i="5"/>
  <c r="L136" i="5"/>
  <c r="H135" i="5"/>
  <c r="L135" i="5"/>
  <c r="H134" i="5"/>
  <c r="L134" i="5"/>
  <c r="H133" i="5"/>
  <c r="L133" i="5"/>
  <c r="H132" i="5"/>
  <c r="L132" i="5"/>
  <c r="H131" i="5"/>
  <c r="L131" i="5"/>
  <c r="N131" i="5" s="1"/>
  <c r="H128" i="5"/>
  <c r="L128" i="5"/>
  <c r="H127" i="5"/>
  <c r="L127" i="5"/>
  <c r="H126" i="5"/>
  <c r="L126" i="5"/>
  <c r="H125" i="5"/>
  <c r="L125" i="5"/>
  <c r="N125" i="5" s="1"/>
  <c r="H122" i="5"/>
  <c r="L122" i="5"/>
  <c r="H121" i="5"/>
  <c r="L121" i="5"/>
  <c r="H120" i="5"/>
  <c r="L120" i="5"/>
  <c r="H119" i="5"/>
  <c r="L119" i="5"/>
  <c r="H113" i="5"/>
  <c r="L113" i="5"/>
  <c r="H112" i="5"/>
  <c r="L112" i="5"/>
  <c r="H111" i="5"/>
  <c r="L111" i="5"/>
  <c r="H110" i="5"/>
  <c r="L110" i="5"/>
  <c r="H107" i="5"/>
  <c r="L107" i="5"/>
  <c r="H106" i="5"/>
  <c r="L106" i="5"/>
  <c r="H105" i="5"/>
  <c r="L105" i="5"/>
  <c r="H104" i="5"/>
  <c r="L104" i="5"/>
  <c r="H103" i="5"/>
  <c r="L103" i="5"/>
  <c r="H102" i="5"/>
  <c r="L102" i="5"/>
  <c r="H99" i="5"/>
  <c r="L99" i="5"/>
  <c r="H98" i="5"/>
  <c r="L98" i="5"/>
  <c r="H97" i="5"/>
  <c r="L97" i="5"/>
  <c r="H96" i="5"/>
  <c r="L96" i="5"/>
  <c r="H90" i="5"/>
  <c r="L90" i="5"/>
  <c r="H89" i="5"/>
  <c r="L89" i="5"/>
  <c r="H88" i="5"/>
  <c r="L88" i="5"/>
  <c r="H87" i="5"/>
  <c r="L87" i="5"/>
  <c r="H84" i="5"/>
  <c r="L84" i="5"/>
  <c r="H83" i="5"/>
  <c r="L83" i="5"/>
  <c r="H82" i="5"/>
  <c r="L82" i="5"/>
  <c r="H81" i="5"/>
  <c r="L81" i="5"/>
  <c r="H80" i="5"/>
  <c r="L80" i="5"/>
  <c r="H79" i="5"/>
  <c r="L79" i="5"/>
  <c r="H78" i="5"/>
  <c r="L78" i="5"/>
  <c r="H73" i="5"/>
  <c r="L73" i="5"/>
  <c r="H72" i="5"/>
  <c r="L72" i="5"/>
  <c r="H71" i="5"/>
  <c r="L71" i="5"/>
  <c r="H70" i="5"/>
  <c r="L70" i="5"/>
  <c r="H67" i="5"/>
  <c r="L67" i="5"/>
  <c r="H66" i="5"/>
  <c r="L66" i="5"/>
  <c r="H65" i="5"/>
  <c r="L65" i="5"/>
  <c r="H64" i="5"/>
  <c r="L64" i="5"/>
  <c r="H63" i="5"/>
  <c r="L63" i="5"/>
  <c r="H62" i="5"/>
  <c r="L62" i="5"/>
  <c r="H61" i="5"/>
  <c r="L61" i="5"/>
  <c r="H60" i="5"/>
  <c r="L60" i="5"/>
  <c r="H59" i="5"/>
  <c r="L59" i="5"/>
  <c r="H58" i="5"/>
  <c r="L58" i="5"/>
  <c r="H57" i="5"/>
  <c r="L57" i="5"/>
  <c r="H56" i="5"/>
  <c r="L56" i="5"/>
  <c r="H55" i="5"/>
  <c r="L55" i="5"/>
  <c r="H54" i="5"/>
  <c r="L54" i="5"/>
  <c r="H53" i="5"/>
  <c r="L53" i="5"/>
  <c r="H52" i="5"/>
  <c r="L52" i="5"/>
  <c r="H51" i="5"/>
  <c r="L51" i="5"/>
  <c r="H50" i="5"/>
  <c r="L50" i="5"/>
  <c r="H49" i="5"/>
  <c r="L49" i="5"/>
  <c r="H48" i="5"/>
  <c r="L48" i="5"/>
  <c r="H47" i="5"/>
  <c r="L47" i="5"/>
  <c r="H46" i="5"/>
  <c r="L46" i="5"/>
  <c r="H45" i="5"/>
  <c r="L45" i="5"/>
  <c r="H42" i="5"/>
  <c r="L42" i="5"/>
  <c r="H35" i="5"/>
  <c r="L35" i="5"/>
  <c r="H34" i="5"/>
  <c r="L34" i="5"/>
  <c r="N34" i="5" s="1"/>
  <c r="H31" i="5"/>
  <c r="L31" i="5"/>
  <c r="H27" i="5"/>
  <c r="L27" i="5"/>
  <c r="H26" i="5"/>
  <c r="L26" i="5"/>
  <c r="H25" i="5"/>
  <c r="L25" i="5"/>
  <c r="H24" i="5"/>
  <c r="L24" i="5"/>
  <c r="H23" i="5"/>
  <c r="L23" i="5"/>
  <c r="H22" i="5"/>
  <c r="L22" i="5"/>
  <c r="H21" i="5"/>
  <c r="L21" i="5"/>
  <c r="H20" i="5"/>
  <c r="L20" i="5"/>
  <c r="H19" i="5"/>
  <c r="L19" i="5"/>
  <c r="H18" i="5"/>
  <c r="L18" i="5"/>
  <c r="W131" i="7" l="1"/>
  <c r="X131" i="7" s="1"/>
  <c r="AC15" i="7"/>
  <c r="AD15" i="7" s="1"/>
  <c r="AK15" i="7" s="1"/>
  <c r="W96" i="7"/>
  <c r="X96" i="7" s="1"/>
  <c r="K12" i="7"/>
  <c r="AF10" i="7"/>
  <c r="AE8" i="7"/>
  <c r="R12" i="7"/>
  <c r="S12" i="7" s="1"/>
  <c r="T12" i="7" s="1"/>
  <c r="T10" i="7" s="1"/>
  <c r="I10" i="7"/>
  <c r="Q12" i="7" s="1"/>
  <c r="N165" i="7"/>
  <c r="W165" i="7"/>
  <c r="X165" i="7" s="1"/>
  <c r="M165" i="7"/>
  <c r="W164" i="7"/>
  <c r="X164" i="7" s="1"/>
  <c r="M164" i="7"/>
  <c r="N164" i="7"/>
  <c r="W163" i="7"/>
  <c r="X163" i="7" s="1"/>
  <c r="M163" i="7"/>
  <c r="N163" i="7"/>
  <c r="N162" i="7"/>
  <c r="W162" i="7"/>
  <c r="X162" i="7" s="1"/>
  <c r="M162" i="7"/>
  <c r="L160" i="7"/>
  <c r="W161" i="7"/>
  <c r="X161" i="7" s="1"/>
  <c r="M161" i="7"/>
  <c r="N158" i="7"/>
  <c r="W158" i="7"/>
  <c r="X158" i="7" s="1"/>
  <c r="M158" i="7"/>
  <c r="L155" i="7"/>
  <c r="W157" i="7"/>
  <c r="X157" i="7" s="1"/>
  <c r="M157" i="7"/>
  <c r="M153" i="7"/>
  <c r="W153" i="7"/>
  <c r="X153" i="7" s="1"/>
  <c r="N153" i="7"/>
  <c r="N152" i="7"/>
  <c r="W152" i="7"/>
  <c r="X152" i="7" s="1"/>
  <c r="M152" i="7"/>
  <c r="W151" i="7"/>
  <c r="X151" i="7" s="1"/>
  <c r="M151" i="7"/>
  <c r="N151" i="7"/>
  <c r="W150" i="7"/>
  <c r="X150" i="7" s="1"/>
  <c r="M150" i="7"/>
  <c r="N150" i="7"/>
  <c r="W149" i="7"/>
  <c r="X149" i="7" s="1"/>
  <c r="M149" i="7"/>
  <c r="N149" i="7"/>
  <c r="N148" i="7"/>
  <c r="W148" i="7"/>
  <c r="X148" i="7" s="1"/>
  <c r="M148" i="7"/>
  <c r="W147" i="7"/>
  <c r="X147" i="7" s="1"/>
  <c r="M147" i="7"/>
  <c r="N147" i="7"/>
  <c r="W146" i="7"/>
  <c r="X146" i="7" s="1"/>
  <c r="M146" i="7"/>
  <c r="N146" i="7"/>
  <c r="N145" i="7"/>
  <c r="W145" i="7"/>
  <c r="X145" i="7" s="1"/>
  <c r="M145" i="7"/>
  <c r="W144" i="7"/>
  <c r="X144" i="7" s="1"/>
  <c r="M144" i="7"/>
  <c r="N144" i="7"/>
  <c r="W143" i="7"/>
  <c r="X143" i="7" s="1"/>
  <c r="M143" i="7"/>
  <c r="N143" i="7"/>
  <c r="W142" i="7"/>
  <c r="X142" i="7" s="1"/>
  <c r="M142" i="7"/>
  <c r="N142" i="7"/>
  <c r="W141" i="7"/>
  <c r="X141" i="7" s="1"/>
  <c r="M141" i="7"/>
  <c r="N141" i="7"/>
  <c r="M140" i="7"/>
  <c r="W140" i="7"/>
  <c r="X140" i="7" s="1"/>
  <c r="N140" i="7"/>
  <c r="W139" i="7"/>
  <c r="X139" i="7" s="1"/>
  <c r="M139" i="7"/>
  <c r="L138" i="7"/>
  <c r="W136" i="7"/>
  <c r="X136" i="7" s="1"/>
  <c r="M136" i="7"/>
  <c r="N136" i="7"/>
  <c r="W135" i="7"/>
  <c r="X135" i="7" s="1"/>
  <c r="M135" i="7"/>
  <c r="N135" i="7"/>
  <c r="N133" i="7"/>
  <c r="W133" i="7"/>
  <c r="X133" i="7" s="1"/>
  <c r="M133" i="7"/>
  <c r="M131" i="7" s="1"/>
  <c r="N129" i="7"/>
  <c r="M129" i="7"/>
  <c r="W129" i="7"/>
  <c r="X129" i="7" s="1"/>
  <c r="N125" i="7"/>
  <c r="W125" i="7"/>
  <c r="X125" i="7" s="1"/>
  <c r="M125" i="7"/>
  <c r="W124" i="7"/>
  <c r="X124" i="7" s="1"/>
  <c r="M124" i="7"/>
  <c r="L123" i="7"/>
  <c r="L122" i="7"/>
  <c r="M120" i="7"/>
  <c r="W120" i="7"/>
  <c r="X120" i="7" s="1"/>
  <c r="N120" i="7"/>
  <c r="W119" i="7"/>
  <c r="X119" i="7" s="1"/>
  <c r="M119" i="7"/>
  <c r="N119" i="7"/>
  <c r="W118" i="7"/>
  <c r="X118" i="7" s="1"/>
  <c r="M118" i="7"/>
  <c r="N118" i="7"/>
  <c r="N117" i="7"/>
  <c r="M117" i="7"/>
  <c r="W117" i="7"/>
  <c r="X117" i="7" s="1"/>
  <c r="L115" i="7"/>
  <c r="M116" i="7"/>
  <c r="W116" i="7"/>
  <c r="X116" i="7" s="1"/>
  <c r="N113" i="7"/>
  <c r="W113" i="7"/>
  <c r="X113" i="7" s="1"/>
  <c r="M113" i="7"/>
  <c r="W112" i="7"/>
  <c r="X112" i="7" s="1"/>
  <c r="M112" i="7"/>
  <c r="N112" i="7"/>
  <c r="W110" i="7"/>
  <c r="X110" i="7" s="1"/>
  <c r="M110" i="7"/>
  <c r="N110" i="7"/>
  <c r="W109" i="7"/>
  <c r="X109" i="7" s="1"/>
  <c r="M109" i="7"/>
  <c r="N109" i="7"/>
  <c r="W108" i="7"/>
  <c r="X108" i="7" s="1"/>
  <c r="M108" i="7"/>
  <c r="N108" i="7"/>
  <c r="N107" i="7"/>
  <c r="W107" i="7"/>
  <c r="X107" i="7" s="1"/>
  <c r="M107" i="7"/>
  <c r="W106" i="7"/>
  <c r="X106" i="7" s="1"/>
  <c r="M106" i="7"/>
  <c r="N106" i="7"/>
  <c r="L104" i="7"/>
  <c r="W105" i="7"/>
  <c r="X105" i="7" s="1"/>
  <c r="M105" i="7"/>
  <c r="N102" i="7"/>
  <c r="M102" i="7"/>
  <c r="M96" i="7" s="1"/>
  <c r="W102" i="7"/>
  <c r="X102" i="7" s="1"/>
  <c r="W101" i="7"/>
  <c r="X101" i="7" s="1"/>
  <c r="M101" i="7"/>
  <c r="N101" i="7"/>
  <c r="W100" i="7"/>
  <c r="X100" i="7" s="1"/>
  <c r="M100" i="7"/>
  <c r="N100" i="7"/>
  <c r="W99" i="7"/>
  <c r="X99" i="7" s="1"/>
  <c r="M99" i="7"/>
  <c r="N99" i="7"/>
  <c r="N94" i="7"/>
  <c r="W94" i="7"/>
  <c r="X94" i="7" s="1"/>
  <c r="M94" i="7"/>
  <c r="W93" i="7"/>
  <c r="X93" i="7" s="1"/>
  <c r="M93" i="7"/>
  <c r="N93" i="7"/>
  <c r="W92" i="7"/>
  <c r="X92" i="7" s="1"/>
  <c r="M92" i="7"/>
  <c r="N92" i="7"/>
  <c r="W91" i="7"/>
  <c r="X91" i="7" s="1"/>
  <c r="M91" i="7"/>
  <c r="N91" i="7"/>
  <c r="L89" i="7"/>
  <c r="W90" i="7"/>
  <c r="X90" i="7" s="1"/>
  <c r="M90" i="7"/>
  <c r="N83" i="7"/>
  <c r="W83" i="7"/>
  <c r="X83" i="7" s="1"/>
  <c r="M83" i="7"/>
  <c r="W82" i="7"/>
  <c r="X82" i="7" s="1"/>
  <c r="M82" i="7"/>
  <c r="N82" i="7"/>
  <c r="W81" i="7"/>
  <c r="X81" i="7" s="1"/>
  <c r="M81" i="7"/>
  <c r="N81" i="7"/>
  <c r="W80" i="7"/>
  <c r="X80" i="7" s="1"/>
  <c r="M80" i="7"/>
  <c r="N80" i="7"/>
  <c r="W79" i="7"/>
  <c r="X79" i="7" s="1"/>
  <c r="M79" i="7"/>
  <c r="N79" i="7"/>
  <c r="W78" i="7"/>
  <c r="X78" i="7" s="1"/>
  <c r="M78" i="7"/>
  <c r="N78" i="7"/>
  <c r="W77" i="7"/>
  <c r="X77" i="7" s="1"/>
  <c r="M77" i="7"/>
  <c r="N77" i="7"/>
  <c r="W76" i="7"/>
  <c r="X76" i="7" s="1"/>
  <c r="M76" i="7"/>
  <c r="N76" i="7"/>
  <c r="W75" i="7"/>
  <c r="X75" i="7" s="1"/>
  <c r="M75" i="7"/>
  <c r="N75" i="7"/>
  <c r="W74" i="7"/>
  <c r="X74" i="7" s="1"/>
  <c r="M74" i="7"/>
  <c r="N74" i="7"/>
  <c r="L72" i="7"/>
  <c r="W73" i="7"/>
  <c r="X73" i="7" s="1"/>
  <c r="M73" i="7"/>
  <c r="N70" i="7"/>
  <c r="W70" i="7"/>
  <c r="X70" i="7" s="1"/>
  <c r="M70" i="7"/>
  <c r="N69" i="7"/>
  <c r="W69" i="7"/>
  <c r="X69" i="7" s="1"/>
  <c r="M69" i="7"/>
  <c r="W68" i="7"/>
  <c r="X68" i="7" s="1"/>
  <c r="M68" i="7"/>
  <c r="N68" i="7"/>
  <c r="W67" i="7"/>
  <c r="X67" i="7" s="1"/>
  <c r="M67" i="7"/>
  <c r="N67" i="7"/>
  <c r="N65" i="7"/>
  <c r="W65" i="7"/>
  <c r="X65" i="7" s="1"/>
  <c r="M65" i="7"/>
  <c r="W64" i="7"/>
  <c r="X64" i="7" s="1"/>
  <c r="M64" i="7"/>
  <c r="N64" i="7"/>
  <c r="W63" i="7"/>
  <c r="X63" i="7" s="1"/>
  <c r="M63" i="7"/>
  <c r="N63" i="7"/>
  <c r="W62" i="7"/>
  <c r="X62" i="7" s="1"/>
  <c r="M62" i="7"/>
  <c r="N62" i="7"/>
  <c r="W61" i="7"/>
  <c r="X61" i="7" s="1"/>
  <c r="M61" i="7"/>
  <c r="N61" i="7"/>
  <c r="N60" i="7"/>
  <c r="W60" i="7"/>
  <c r="X60" i="7" s="1"/>
  <c r="M60" i="7"/>
  <c r="W59" i="7"/>
  <c r="X59" i="7" s="1"/>
  <c r="M59" i="7"/>
  <c r="N59" i="7"/>
  <c r="W58" i="7"/>
  <c r="X58" i="7" s="1"/>
  <c r="M58" i="7"/>
  <c r="N58" i="7"/>
  <c r="W57" i="7"/>
  <c r="X57" i="7" s="1"/>
  <c r="M57" i="7"/>
  <c r="N57" i="7"/>
  <c r="N56" i="7"/>
  <c r="W56" i="7"/>
  <c r="X56" i="7" s="1"/>
  <c r="M56" i="7"/>
  <c r="W55" i="7"/>
  <c r="X55" i="7" s="1"/>
  <c r="M55" i="7"/>
  <c r="N55" i="7"/>
  <c r="N54" i="7"/>
  <c r="W54" i="7"/>
  <c r="X54" i="7" s="1"/>
  <c r="M54" i="7"/>
  <c r="N48" i="7"/>
  <c r="W48" i="7"/>
  <c r="X48" i="7" s="1"/>
  <c r="M48" i="7"/>
  <c r="N47" i="7"/>
  <c r="W47" i="7"/>
  <c r="X47" i="7" s="1"/>
  <c r="M47" i="7"/>
  <c r="N46" i="7"/>
  <c r="W46" i="7"/>
  <c r="X46" i="7" s="1"/>
  <c r="M46" i="7"/>
  <c r="L44" i="7"/>
  <c r="W45" i="7"/>
  <c r="X45" i="7" s="1"/>
  <c r="M45" i="7"/>
  <c r="N42" i="7"/>
  <c r="M42" i="7"/>
  <c r="W42" i="7"/>
  <c r="X42" i="7" s="1"/>
  <c r="N41" i="7"/>
  <c r="W41" i="7"/>
  <c r="X41" i="7" s="1"/>
  <c r="M41" i="7"/>
  <c r="N40" i="7"/>
  <c r="W40" i="7"/>
  <c r="X40" i="7" s="1"/>
  <c r="M40" i="7"/>
  <c r="N35" i="7"/>
  <c r="M35" i="7"/>
  <c r="W35" i="7"/>
  <c r="X35" i="7" s="1"/>
  <c r="L33" i="7"/>
  <c r="W34" i="7"/>
  <c r="X34" i="7" s="1"/>
  <c r="M34" i="7"/>
  <c r="N31" i="7"/>
  <c r="M31" i="7"/>
  <c r="W31" i="7"/>
  <c r="X31" i="7" s="1"/>
  <c r="W30" i="7"/>
  <c r="X30" i="7" s="1"/>
  <c r="M30" i="7"/>
  <c r="N30" i="7"/>
  <c r="N29" i="7"/>
  <c r="W29" i="7"/>
  <c r="X29" i="7" s="1"/>
  <c r="M29" i="7"/>
  <c r="W28" i="7"/>
  <c r="X28" i="7" s="1"/>
  <c r="M28" i="7"/>
  <c r="N28" i="7"/>
  <c r="W27" i="7"/>
  <c r="X27" i="7" s="1"/>
  <c r="M27" i="7"/>
  <c r="N27" i="7"/>
  <c r="W26" i="7"/>
  <c r="X26" i="7" s="1"/>
  <c r="M26" i="7"/>
  <c r="N26" i="7"/>
  <c r="W25" i="7"/>
  <c r="X25" i="7" s="1"/>
  <c r="M25" i="7"/>
  <c r="N25" i="7"/>
  <c r="N24" i="7"/>
  <c r="W24" i="7"/>
  <c r="X24" i="7" s="1"/>
  <c r="M24" i="7"/>
  <c r="N23" i="7"/>
  <c r="W23" i="7"/>
  <c r="X23" i="7" s="1"/>
  <c r="M23" i="7"/>
  <c r="W22" i="7"/>
  <c r="X22" i="7" s="1"/>
  <c r="M22" i="7"/>
  <c r="N22" i="7"/>
  <c r="N21" i="7"/>
  <c r="W21" i="7"/>
  <c r="X21" i="7" s="1"/>
  <c r="M21" i="7"/>
  <c r="W20" i="7"/>
  <c r="X20" i="7" s="1"/>
  <c r="M20" i="7"/>
  <c r="N20" i="7"/>
  <c r="N19" i="7"/>
  <c r="W19" i="7"/>
  <c r="X19" i="7" s="1"/>
  <c r="M19" i="7"/>
  <c r="L17" i="7"/>
  <c r="N17" i="7" s="1"/>
  <c r="M18" i="7"/>
  <c r="W18" i="7"/>
  <c r="X18" i="7" s="1"/>
  <c r="N96" i="7"/>
  <c r="W122" i="6"/>
  <c r="X122" i="6" s="1"/>
  <c r="AC18" i="6"/>
  <c r="AD18" i="6" s="1"/>
  <c r="AK18" i="6" s="1"/>
  <c r="W44" i="6"/>
  <c r="X44" i="6" s="1"/>
  <c r="AC12" i="6"/>
  <c r="AD12" i="6" s="1"/>
  <c r="AK12" i="6" s="1"/>
  <c r="AF10" i="6"/>
  <c r="AE8" i="6"/>
  <c r="I10" i="6"/>
  <c r="Q12" i="6" s="1"/>
  <c r="R12" i="6"/>
  <c r="S12" i="6" s="1"/>
  <c r="T12" i="6" s="1"/>
  <c r="T10" i="6" s="1"/>
  <c r="K12" i="6"/>
  <c r="M164" i="6"/>
  <c r="W164" i="6"/>
  <c r="X164" i="6" s="1"/>
  <c r="N164" i="6"/>
  <c r="W163" i="6"/>
  <c r="X163" i="6" s="1"/>
  <c r="M163" i="6"/>
  <c r="N163" i="6"/>
  <c r="W162" i="6"/>
  <c r="X162" i="6" s="1"/>
  <c r="M162" i="6"/>
  <c r="N162" i="6"/>
  <c r="N161" i="6"/>
  <c r="M161" i="6"/>
  <c r="W161" i="6"/>
  <c r="X161" i="6" s="1"/>
  <c r="M160" i="6"/>
  <c r="L159" i="6"/>
  <c r="W160" i="6"/>
  <c r="X160" i="6" s="1"/>
  <c r="W157" i="6"/>
  <c r="X157" i="6" s="1"/>
  <c r="M157" i="6"/>
  <c r="N157" i="6"/>
  <c r="L154" i="6"/>
  <c r="W156" i="6"/>
  <c r="X156" i="6" s="1"/>
  <c r="M156" i="6"/>
  <c r="N152" i="6"/>
  <c r="M152" i="6"/>
  <c r="W152" i="6"/>
  <c r="X152" i="6" s="1"/>
  <c r="W151" i="6"/>
  <c r="X151" i="6" s="1"/>
  <c r="M151" i="6"/>
  <c r="N151" i="6"/>
  <c r="W150" i="6"/>
  <c r="X150" i="6" s="1"/>
  <c r="M150" i="6"/>
  <c r="N150" i="6"/>
  <c r="W149" i="6"/>
  <c r="X149" i="6" s="1"/>
  <c r="M149" i="6"/>
  <c r="N149" i="6"/>
  <c r="N148" i="6"/>
  <c r="W148" i="6"/>
  <c r="X148" i="6" s="1"/>
  <c r="M148" i="6"/>
  <c r="W147" i="6"/>
  <c r="X147" i="6" s="1"/>
  <c r="M147" i="6"/>
  <c r="N147" i="6"/>
  <c r="N146" i="6"/>
  <c r="W146" i="6"/>
  <c r="X146" i="6" s="1"/>
  <c r="M146" i="6"/>
  <c r="W145" i="6"/>
  <c r="X145" i="6" s="1"/>
  <c r="M145" i="6"/>
  <c r="N145" i="6"/>
  <c r="N144" i="6"/>
  <c r="W144" i="6"/>
  <c r="X144" i="6" s="1"/>
  <c r="M144" i="6"/>
  <c r="N143" i="6"/>
  <c r="W143" i="6"/>
  <c r="X143" i="6" s="1"/>
  <c r="M143" i="6"/>
  <c r="N142" i="6"/>
  <c r="W142" i="6"/>
  <c r="X142" i="6" s="1"/>
  <c r="M142" i="6"/>
  <c r="W141" i="6"/>
  <c r="X141" i="6" s="1"/>
  <c r="M141" i="6"/>
  <c r="N141" i="6"/>
  <c r="N140" i="6"/>
  <c r="W140" i="6"/>
  <c r="X140" i="6" s="1"/>
  <c r="M140" i="6"/>
  <c r="N139" i="6"/>
  <c r="W139" i="6"/>
  <c r="X139" i="6" s="1"/>
  <c r="M139" i="6"/>
  <c r="L137" i="6"/>
  <c r="W138" i="6"/>
  <c r="X138" i="6" s="1"/>
  <c r="M138" i="6"/>
  <c r="N135" i="6"/>
  <c r="W135" i="6"/>
  <c r="X135" i="6" s="1"/>
  <c r="M135" i="6"/>
  <c r="N134" i="6"/>
  <c r="W134" i="6"/>
  <c r="X134" i="6" s="1"/>
  <c r="M134" i="6"/>
  <c r="N133" i="6"/>
  <c r="W133" i="6"/>
  <c r="X133" i="6" s="1"/>
  <c r="M133" i="6"/>
  <c r="N132" i="6"/>
  <c r="W132" i="6"/>
  <c r="X132" i="6" s="1"/>
  <c r="M132" i="6"/>
  <c r="L130" i="6"/>
  <c r="W131" i="6"/>
  <c r="X131" i="6" s="1"/>
  <c r="M131" i="6"/>
  <c r="N128" i="6"/>
  <c r="W128" i="6"/>
  <c r="X128" i="6" s="1"/>
  <c r="M128" i="6"/>
  <c r="M127" i="6"/>
  <c r="W127" i="6"/>
  <c r="X127" i="6" s="1"/>
  <c r="N127" i="6"/>
  <c r="W126" i="6"/>
  <c r="X126" i="6" s="1"/>
  <c r="M126" i="6"/>
  <c r="N126" i="6"/>
  <c r="N119" i="6"/>
  <c r="W119" i="6"/>
  <c r="X119" i="6" s="1"/>
  <c r="M119" i="6"/>
  <c r="N118" i="6"/>
  <c r="M118" i="6"/>
  <c r="W118" i="6"/>
  <c r="X118" i="6" s="1"/>
  <c r="N117" i="6"/>
  <c r="W117" i="6"/>
  <c r="X117" i="6" s="1"/>
  <c r="M117" i="6"/>
  <c r="W116" i="6"/>
  <c r="X116" i="6" s="1"/>
  <c r="M116" i="6"/>
  <c r="N116" i="6"/>
  <c r="M115" i="6"/>
  <c r="L114" i="6"/>
  <c r="W115" i="6"/>
  <c r="X115" i="6" s="1"/>
  <c r="W112" i="6"/>
  <c r="X112" i="6" s="1"/>
  <c r="M112" i="6"/>
  <c r="N112" i="6"/>
  <c r="M111" i="6"/>
  <c r="W111" i="6"/>
  <c r="X111" i="6" s="1"/>
  <c r="N111" i="6"/>
  <c r="N110" i="6"/>
  <c r="W110" i="6"/>
  <c r="X110" i="6" s="1"/>
  <c r="M110" i="6"/>
  <c r="N109" i="6"/>
  <c r="W109" i="6"/>
  <c r="X109" i="6" s="1"/>
  <c r="M109" i="6"/>
  <c r="W108" i="6"/>
  <c r="X108" i="6" s="1"/>
  <c r="M108" i="6"/>
  <c r="N108" i="6"/>
  <c r="N106" i="6"/>
  <c r="W106" i="6"/>
  <c r="X106" i="6" s="1"/>
  <c r="M106" i="6"/>
  <c r="N105" i="6"/>
  <c r="W105" i="6"/>
  <c r="X105" i="6" s="1"/>
  <c r="M105" i="6"/>
  <c r="L103" i="6"/>
  <c r="W104" i="6"/>
  <c r="X104" i="6" s="1"/>
  <c r="M104" i="6"/>
  <c r="W101" i="6"/>
  <c r="X101" i="6" s="1"/>
  <c r="M101" i="6"/>
  <c r="N101" i="6"/>
  <c r="M100" i="6"/>
  <c r="W100" i="6"/>
  <c r="X100" i="6" s="1"/>
  <c r="N100" i="6"/>
  <c r="W99" i="6"/>
  <c r="X99" i="6" s="1"/>
  <c r="M99" i="6"/>
  <c r="N99" i="6"/>
  <c r="N98" i="6"/>
  <c r="M98" i="6"/>
  <c r="W98" i="6"/>
  <c r="X98" i="6" s="1"/>
  <c r="N97" i="6"/>
  <c r="W97" i="6"/>
  <c r="X97" i="6" s="1"/>
  <c r="M97" i="6"/>
  <c r="L95" i="6"/>
  <c r="W96" i="6"/>
  <c r="X96" i="6" s="1"/>
  <c r="M96" i="6"/>
  <c r="W93" i="6"/>
  <c r="X93" i="6" s="1"/>
  <c r="M93" i="6"/>
  <c r="N93" i="6"/>
  <c r="W92" i="6"/>
  <c r="X92" i="6" s="1"/>
  <c r="M92" i="6"/>
  <c r="N92" i="6"/>
  <c r="W91" i="6"/>
  <c r="X91" i="6" s="1"/>
  <c r="M91" i="6"/>
  <c r="N91" i="6"/>
  <c r="M90" i="6"/>
  <c r="W90" i="6"/>
  <c r="X90" i="6" s="1"/>
  <c r="N90" i="6"/>
  <c r="L88" i="6"/>
  <c r="W89" i="6"/>
  <c r="X89" i="6" s="1"/>
  <c r="M89" i="6"/>
  <c r="M86" i="6"/>
  <c r="W86" i="6"/>
  <c r="X86" i="6" s="1"/>
  <c r="N86" i="6"/>
  <c r="N85" i="6"/>
  <c r="W85" i="6"/>
  <c r="X85" i="6" s="1"/>
  <c r="M85" i="6"/>
  <c r="W76" i="6"/>
  <c r="X76" i="6" s="1"/>
  <c r="M76" i="6"/>
  <c r="N76" i="6"/>
  <c r="N74" i="6"/>
  <c r="W74" i="6"/>
  <c r="X74" i="6" s="1"/>
  <c r="M74" i="6"/>
  <c r="W73" i="6"/>
  <c r="X73" i="6" s="1"/>
  <c r="M73" i="6"/>
  <c r="N73" i="6"/>
  <c r="L71" i="6"/>
  <c r="W72" i="6"/>
  <c r="X72" i="6" s="1"/>
  <c r="M72" i="6"/>
  <c r="N69" i="6"/>
  <c r="M69" i="6"/>
  <c r="W69" i="6"/>
  <c r="X69" i="6" s="1"/>
  <c r="W68" i="6"/>
  <c r="X68" i="6" s="1"/>
  <c r="M68" i="6"/>
  <c r="N68" i="6"/>
  <c r="W67" i="6"/>
  <c r="X67" i="6" s="1"/>
  <c r="M67" i="6"/>
  <c r="N67" i="6"/>
  <c r="N66" i="6"/>
  <c r="W66" i="6"/>
  <c r="X66" i="6" s="1"/>
  <c r="M66" i="6"/>
  <c r="W65" i="6"/>
  <c r="X65" i="6" s="1"/>
  <c r="M65" i="6"/>
  <c r="N65" i="6"/>
  <c r="W64" i="6"/>
  <c r="X64" i="6" s="1"/>
  <c r="M64" i="6"/>
  <c r="N64" i="6"/>
  <c r="W63" i="6"/>
  <c r="X63" i="6" s="1"/>
  <c r="M63" i="6"/>
  <c r="N63" i="6"/>
  <c r="W62" i="6"/>
  <c r="X62" i="6" s="1"/>
  <c r="M62" i="6"/>
  <c r="N62" i="6"/>
  <c r="W61" i="6"/>
  <c r="X61" i="6" s="1"/>
  <c r="M61" i="6"/>
  <c r="N61" i="6"/>
  <c r="W60" i="6"/>
  <c r="X60" i="6" s="1"/>
  <c r="M60" i="6"/>
  <c r="N60" i="6"/>
  <c r="W59" i="6"/>
  <c r="X59" i="6" s="1"/>
  <c r="M59" i="6"/>
  <c r="N59" i="6"/>
  <c r="N58" i="6"/>
  <c r="W58" i="6"/>
  <c r="X58" i="6" s="1"/>
  <c r="M58" i="6"/>
  <c r="N57" i="6"/>
  <c r="W57" i="6"/>
  <c r="X57" i="6" s="1"/>
  <c r="M57" i="6"/>
  <c r="W56" i="6"/>
  <c r="X56" i="6" s="1"/>
  <c r="M56" i="6"/>
  <c r="N56" i="6"/>
  <c r="W55" i="6"/>
  <c r="X55" i="6" s="1"/>
  <c r="M55" i="6"/>
  <c r="N55" i="6"/>
  <c r="W54" i="6"/>
  <c r="X54" i="6" s="1"/>
  <c r="M54" i="6"/>
  <c r="N54" i="6"/>
  <c r="N53" i="6"/>
  <c r="W53" i="6"/>
  <c r="X53" i="6" s="1"/>
  <c r="M53" i="6"/>
  <c r="N52" i="6"/>
  <c r="W52" i="6"/>
  <c r="X52" i="6" s="1"/>
  <c r="M52" i="6"/>
  <c r="W51" i="6"/>
  <c r="X51" i="6" s="1"/>
  <c r="M51" i="6"/>
  <c r="N51" i="6"/>
  <c r="W48" i="6"/>
  <c r="X48" i="6" s="1"/>
  <c r="M48" i="6"/>
  <c r="M44" i="6" s="1"/>
  <c r="N48" i="6"/>
  <c r="N37" i="6"/>
  <c r="W37" i="6"/>
  <c r="X37" i="6" s="1"/>
  <c r="M37" i="6"/>
  <c r="M36" i="6"/>
  <c r="W36" i="6"/>
  <c r="X36" i="6" s="1"/>
  <c r="N36" i="6"/>
  <c r="M35" i="6"/>
  <c r="W35" i="6"/>
  <c r="X35" i="6" s="1"/>
  <c r="N35" i="6"/>
  <c r="L33" i="6"/>
  <c r="W34" i="6"/>
  <c r="X34" i="6" s="1"/>
  <c r="M34" i="6"/>
  <c r="M31" i="6"/>
  <c r="W31" i="6"/>
  <c r="X31" i="6" s="1"/>
  <c r="N31" i="6"/>
  <c r="N30" i="6"/>
  <c r="W30" i="6"/>
  <c r="X30" i="6" s="1"/>
  <c r="M30" i="6"/>
  <c r="M29" i="6"/>
  <c r="W29" i="6"/>
  <c r="X29" i="6" s="1"/>
  <c r="N29" i="6"/>
  <c r="N28" i="6"/>
  <c r="W28" i="6"/>
  <c r="X28" i="6" s="1"/>
  <c r="M28" i="6"/>
  <c r="N27" i="6"/>
  <c r="W27" i="6"/>
  <c r="X27" i="6" s="1"/>
  <c r="M27" i="6"/>
  <c r="N26" i="6"/>
  <c r="W26" i="6"/>
  <c r="X26" i="6" s="1"/>
  <c r="M26" i="6"/>
  <c r="W25" i="6"/>
  <c r="X25" i="6" s="1"/>
  <c r="M25" i="6"/>
  <c r="N25" i="6"/>
  <c r="N24" i="6"/>
  <c r="W24" i="6"/>
  <c r="X24" i="6" s="1"/>
  <c r="M24" i="6"/>
  <c r="W23" i="6"/>
  <c r="X23" i="6" s="1"/>
  <c r="M23" i="6"/>
  <c r="N23" i="6"/>
  <c r="N22" i="6"/>
  <c r="W22" i="6"/>
  <c r="X22" i="6" s="1"/>
  <c r="M22" i="6"/>
  <c r="W21" i="6"/>
  <c r="X21" i="6" s="1"/>
  <c r="M21" i="6"/>
  <c r="N21" i="6"/>
  <c r="W20" i="6"/>
  <c r="X20" i="6" s="1"/>
  <c r="M20" i="6"/>
  <c r="N20" i="6"/>
  <c r="N19" i="6"/>
  <c r="W19" i="6"/>
  <c r="X19" i="6" s="1"/>
  <c r="M19" i="6"/>
  <c r="L17" i="6"/>
  <c r="N17" i="6" s="1"/>
  <c r="W18" i="6"/>
  <c r="X18" i="6" s="1"/>
  <c r="M18" i="6"/>
  <c r="N122" i="6"/>
  <c r="K116" i="5"/>
  <c r="AC15" i="5"/>
  <c r="AD15" i="5" s="1"/>
  <c r="AK15" i="5" s="1"/>
  <c r="W93" i="5"/>
  <c r="X93" i="5" s="1"/>
  <c r="K12" i="5"/>
  <c r="AE8" i="5"/>
  <c r="AF10" i="5"/>
  <c r="R12" i="5"/>
  <c r="S12" i="5" s="1"/>
  <c r="T12" i="5" s="1"/>
  <c r="T10" i="5" s="1"/>
  <c r="I10" i="5"/>
  <c r="Q12" i="5" s="1"/>
  <c r="W157" i="5"/>
  <c r="X157" i="5" s="1"/>
  <c r="M157" i="5"/>
  <c r="N157" i="5"/>
  <c r="N156" i="5"/>
  <c r="W156" i="5"/>
  <c r="X156" i="5" s="1"/>
  <c r="M156" i="5"/>
  <c r="N155" i="5"/>
  <c r="W155" i="5"/>
  <c r="X155" i="5" s="1"/>
  <c r="M155" i="5"/>
  <c r="N154" i="5"/>
  <c r="W154" i="5"/>
  <c r="X154" i="5" s="1"/>
  <c r="M154" i="5"/>
  <c r="L152" i="5"/>
  <c r="W153" i="5"/>
  <c r="X153" i="5" s="1"/>
  <c r="M153" i="5"/>
  <c r="W150" i="5"/>
  <c r="X150" i="5" s="1"/>
  <c r="M150" i="5"/>
  <c r="N150" i="5"/>
  <c r="L147" i="5"/>
  <c r="M149" i="5"/>
  <c r="W149" i="5"/>
  <c r="X149" i="5" s="1"/>
  <c r="N145" i="5"/>
  <c r="W145" i="5"/>
  <c r="X145" i="5" s="1"/>
  <c r="M145" i="5"/>
  <c r="N144" i="5"/>
  <c r="W144" i="5"/>
  <c r="X144" i="5" s="1"/>
  <c r="M144" i="5"/>
  <c r="N143" i="5"/>
  <c r="W143" i="5"/>
  <c r="X143" i="5" s="1"/>
  <c r="M143" i="5"/>
  <c r="W142" i="5"/>
  <c r="X142" i="5" s="1"/>
  <c r="M142" i="5"/>
  <c r="N142" i="5"/>
  <c r="N141" i="5"/>
  <c r="W141" i="5"/>
  <c r="X141" i="5" s="1"/>
  <c r="M141" i="5"/>
  <c r="N140" i="5"/>
  <c r="W140" i="5"/>
  <c r="X140" i="5" s="1"/>
  <c r="M140" i="5"/>
  <c r="W139" i="5"/>
  <c r="X139" i="5" s="1"/>
  <c r="M139" i="5"/>
  <c r="N139" i="5"/>
  <c r="N138" i="5"/>
  <c r="W138" i="5"/>
  <c r="X138" i="5" s="1"/>
  <c r="M138" i="5"/>
  <c r="W137" i="5"/>
  <c r="X137" i="5" s="1"/>
  <c r="M137" i="5"/>
  <c r="N137" i="5"/>
  <c r="W136" i="5"/>
  <c r="X136" i="5" s="1"/>
  <c r="M136" i="5"/>
  <c r="N136" i="5"/>
  <c r="N135" i="5"/>
  <c r="W135" i="5"/>
  <c r="X135" i="5" s="1"/>
  <c r="M135" i="5"/>
  <c r="W134" i="5"/>
  <c r="X134" i="5" s="1"/>
  <c r="M134" i="5"/>
  <c r="N134" i="5"/>
  <c r="N133" i="5"/>
  <c r="W133" i="5"/>
  <c r="X133" i="5" s="1"/>
  <c r="M133" i="5"/>
  <c r="W132" i="5"/>
  <c r="X132" i="5" s="1"/>
  <c r="M132" i="5"/>
  <c r="N132" i="5"/>
  <c r="L130" i="5"/>
  <c r="W131" i="5"/>
  <c r="X131" i="5" s="1"/>
  <c r="M131" i="5"/>
  <c r="N128" i="5"/>
  <c r="M128" i="5"/>
  <c r="W128" i="5"/>
  <c r="X128" i="5" s="1"/>
  <c r="N127" i="5"/>
  <c r="W127" i="5"/>
  <c r="X127" i="5" s="1"/>
  <c r="M127" i="5"/>
  <c r="N126" i="5"/>
  <c r="W126" i="5"/>
  <c r="X126" i="5" s="1"/>
  <c r="M126" i="5"/>
  <c r="L124" i="5"/>
  <c r="N124" i="5" s="1"/>
  <c r="W125" i="5"/>
  <c r="X125" i="5" s="1"/>
  <c r="M125" i="5"/>
  <c r="M122" i="5"/>
  <c r="W122" i="5"/>
  <c r="X122" i="5" s="1"/>
  <c r="N122" i="5"/>
  <c r="W121" i="5"/>
  <c r="X121" i="5" s="1"/>
  <c r="M121" i="5"/>
  <c r="N121" i="5"/>
  <c r="W120" i="5"/>
  <c r="X120" i="5" s="1"/>
  <c r="M120" i="5"/>
  <c r="N120" i="5"/>
  <c r="N119" i="5"/>
  <c r="W119" i="5"/>
  <c r="X119" i="5" s="1"/>
  <c r="M119" i="5"/>
  <c r="L116" i="5"/>
  <c r="L117" i="5"/>
  <c r="N113" i="5"/>
  <c r="M113" i="5"/>
  <c r="W113" i="5"/>
  <c r="X113" i="5" s="1"/>
  <c r="M112" i="5"/>
  <c r="W112" i="5"/>
  <c r="X112" i="5" s="1"/>
  <c r="N112" i="5"/>
  <c r="W111" i="5"/>
  <c r="X111" i="5" s="1"/>
  <c r="M111" i="5"/>
  <c r="N111" i="5"/>
  <c r="L109" i="5"/>
  <c r="W110" i="5"/>
  <c r="X110" i="5" s="1"/>
  <c r="M110" i="5"/>
  <c r="N107" i="5"/>
  <c r="M107" i="5"/>
  <c r="W107" i="5"/>
  <c r="X107" i="5" s="1"/>
  <c r="W106" i="5"/>
  <c r="X106" i="5" s="1"/>
  <c r="M106" i="5"/>
  <c r="N106" i="5"/>
  <c r="N105" i="5"/>
  <c r="W105" i="5"/>
  <c r="X105" i="5" s="1"/>
  <c r="M105" i="5"/>
  <c r="W104" i="5"/>
  <c r="X104" i="5" s="1"/>
  <c r="M104" i="5"/>
  <c r="N104" i="5"/>
  <c r="W103" i="5"/>
  <c r="X103" i="5" s="1"/>
  <c r="M103" i="5"/>
  <c r="N103" i="5"/>
  <c r="L101" i="5"/>
  <c r="W102" i="5"/>
  <c r="X102" i="5" s="1"/>
  <c r="M102" i="5"/>
  <c r="W99" i="5"/>
  <c r="X99" i="5" s="1"/>
  <c r="M99" i="5"/>
  <c r="N99" i="5"/>
  <c r="W98" i="5"/>
  <c r="X98" i="5" s="1"/>
  <c r="M98" i="5"/>
  <c r="N98" i="5"/>
  <c r="W97" i="5"/>
  <c r="X97" i="5" s="1"/>
  <c r="M97" i="5"/>
  <c r="N97" i="5"/>
  <c r="W96" i="5"/>
  <c r="X96" i="5" s="1"/>
  <c r="M96" i="5"/>
  <c r="M93" i="5" s="1"/>
  <c r="N96" i="5"/>
  <c r="M90" i="5"/>
  <c r="W90" i="5"/>
  <c r="X90" i="5" s="1"/>
  <c r="N90" i="5"/>
  <c r="W89" i="5"/>
  <c r="X89" i="5" s="1"/>
  <c r="M89" i="5"/>
  <c r="N89" i="5"/>
  <c r="N88" i="5"/>
  <c r="W88" i="5"/>
  <c r="X88" i="5" s="1"/>
  <c r="M88" i="5"/>
  <c r="L86" i="5"/>
  <c r="W87" i="5"/>
  <c r="X87" i="5" s="1"/>
  <c r="M87" i="5"/>
  <c r="M84" i="5"/>
  <c r="W84" i="5"/>
  <c r="X84" i="5" s="1"/>
  <c r="N84" i="5"/>
  <c r="N83" i="5"/>
  <c r="W83" i="5"/>
  <c r="X83" i="5" s="1"/>
  <c r="M83" i="5"/>
  <c r="W82" i="5"/>
  <c r="X82" i="5" s="1"/>
  <c r="M82" i="5"/>
  <c r="N82" i="5"/>
  <c r="N81" i="5"/>
  <c r="W81" i="5"/>
  <c r="X81" i="5" s="1"/>
  <c r="M81" i="5"/>
  <c r="N80" i="5"/>
  <c r="W80" i="5"/>
  <c r="X80" i="5" s="1"/>
  <c r="M80" i="5"/>
  <c r="W79" i="5"/>
  <c r="X79" i="5" s="1"/>
  <c r="M79" i="5"/>
  <c r="N79" i="5"/>
  <c r="W78" i="5"/>
  <c r="X78" i="5" s="1"/>
  <c r="M78" i="5"/>
  <c r="N78" i="5"/>
  <c r="W73" i="5"/>
  <c r="X73" i="5" s="1"/>
  <c r="M73" i="5"/>
  <c r="N73" i="5"/>
  <c r="N72" i="5"/>
  <c r="W72" i="5"/>
  <c r="X72" i="5" s="1"/>
  <c r="M72" i="5"/>
  <c r="N71" i="5"/>
  <c r="W71" i="5"/>
  <c r="X71" i="5" s="1"/>
  <c r="M71" i="5"/>
  <c r="L69" i="5"/>
  <c r="W70" i="5"/>
  <c r="X70" i="5" s="1"/>
  <c r="M70" i="5"/>
  <c r="N67" i="5"/>
  <c r="M67" i="5"/>
  <c r="W67" i="5"/>
  <c r="X67" i="5" s="1"/>
  <c r="W66" i="5"/>
  <c r="X66" i="5" s="1"/>
  <c r="M66" i="5"/>
  <c r="N66" i="5"/>
  <c r="N65" i="5"/>
  <c r="W65" i="5"/>
  <c r="X65" i="5" s="1"/>
  <c r="M65" i="5"/>
  <c r="N64" i="5"/>
  <c r="W64" i="5"/>
  <c r="X64" i="5" s="1"/>
  <c r="M64" i="5"/>
  <c r="N63" i="5"/>
  <c r="W63" i="5"/>
  <c r="X63" i="5" s="1"/>
  <c r="M63" i="5"/>
  <c r="W62" i="5"/>
  <c r="X62" i="5" s="1"/>
  <c r="M62" i="5"/>
  <c r="N62" i="5"/>
  <c r="W61" i="5"/>
  <c r="X61" i="5" s="1"/>
  <c r="M61" i="5"/>
  <c r="N61" i="5"/>
  <c r="W60" i="5"/>
  <c r="X60" i="5" s="1"/>
  <c r="M60" i="5"/>
  <c r="N60" i="5"/>
  <c r="N59" i="5"/>
  <c r="M59" i="5"/>
  <c r="W59" i="5"/>
  <c r="X59" i="5" s="1"/>
  <c r="N58" i="5"/>
  <c r="W58" i="5"/>
  <c r="X58" i="5" s="1"/>
  <c r="M58" i="5"/>
  <c r="N57" i="5"/>
  <c r="W57" i="5"/>
  <c r="X57" i="5" s="1"/>
  <c r="M57" i="5"/>
  <c r="W56" i="5"/>
  <c r="X56" i="5" s="1"/>
  <c r="M56" i="5"/>
  <c r="N56" i="5"/>
  <c r="W55" i="5"/>
  <c r="X55" i="5" s="1"/>
  <c r="M55" i="5"/>
  <c r="N55" i="5"/>
  <c r="N54" i="5"/>
  <c r="W54" i="5"/>
  <c r="X54" i="5" s="1"/>
  <c r="M54" i="5"/>
  <c r="M53" i="5"/>
  <c r="W53" i="5"/>
  <c r="X53" i="5" s="1"/>
  <c r="N53" i="5"/>
  <c r="N52" i="5"/>
  <c r="W52" i="5"/>
  <c r="X52" i="5" s="1"/>
  <c r="M52" i="5"/>
  <c r="W51" i="5"/>
  <c r="X51" i="5" s="1"/>
  <c r="M51" i="5"/>
  <c r="N51" i="5"/>
  <c r="N50" i="5"/>
  <c r="W50" i="5"/>
  <c r="X50" i="5" s="1"/>
  <c r="M50" i="5"/>
  <c r="N49" i="5"/>
  <c r="W49" i="5"/>
  <c r="X49" i="5" s="1"/>
  <c r="M49" i="5"/>
  <c r="M48" i="5"/>
  <c r="W48" i="5"/>
  <c r="X48" i="5" s="1"/>
  <c r="N48" i="5"/>
  <c r="N47" i="5"/>
  <c r="W47" i="5"/>
  <c r="X47" i="5" s="1"/>
  <c r="M47" i="5"/>
  <c r="W46" i="5"/>
  <c r="X46" i="5" s="1"/>
  <c r="M46" i="5"/>
  <c r="N46" i="5"/>
  <c r="L44" i="5"/>
  <c r="W45" i="5"/>
  <c r="X45" i="5" s="1"/>
  <c r="M45" i="5"/>
  <c r="N42" i="5"/>
  <c r="W42" i="5"/>
  <c r="X42" i="5" s="1"/>
  <c r="M42" i="5"/>
  <c r="W35" i="5"/>
  <c r="X35" i="5" s="1"/>
  <c r="M35" i="5"/>
  <c r="N35" i="5"/>
  <c r="L33" i="5"/>
  <c r="W34" i="5"/>
  <c r="X34" i="5" s="1"/>
  <c r="M34" i="5"/>
  <c r="N31" i="5"/>
  <c r="W31" i="5"/>
  <c r="X31" i="5" s="1"/>
  <c r="M31" i="5"/>
  <c r="N27" i="5"/>
  <c r="W27" i="5"/>
  <c r="X27" i="5" s="1"/>
  <c r="M27" i="5"/>
  <c r="N26" i="5"/>
  <c r="W26" i="5"/>
  <c r="X26" i="5" s="1"/>
  <c r="M26" i="5"/>
  <c r="M25" i="5"/>
  <c r="W25" i="5"/>
  <c r="X25" i="5" s="1"/>
  <c r="N25" i="5"/>
  <c r="W24" i="5"/>
  <c r="X24" i="5" s="1"/>
  <c r="M24" i="5"/>
  <c r="N24" i="5"/>
  <c r="N23" i="5"/>
  <c r="W23" i="5"/>
  <c r="X23" i="5" s="1"/>
  <c r="M23" i="5"/>
  <c r="N22" i="5"/>
  <c r="W22" i="5"/>
  <c r="X22" i="5" s="1"/>
  <c r="M22" i="5"/>
  <c r="W21" i="5"/>
  <c r="X21" i="5" s="1"/>
  <c r="M21" i="5"/>
  <c r="N21" i="5"/>
  <c r="N20" i="5"/>
  <c r="W20" i="5"/>
  <c r="X20" i="5" s="1"/>
  <c r="M20" i="5"/>
  <c r="W19" i="5"/>
  <c r="X19" i="5" s="1"/>
  <c r="M19" i="5"/>
  <c r="N19" i="5"/>
  <c r="L17" i="5"/>
  <c r="N17" i="5" s="1"/>
  <c r="W18" i="5"/>
  <c r="X18" i="5" s="1"/>
  <c r="M18" i="5"/>
  <c r="K10" i="7" l="1"/>
  <c r="AF8" i="7"/>
  <c r="AL10" i="7"/>
  <c r="AL8" i="7" s="1"/>
  <c r="Q123" i="7"/>
  <c r="Q104" i="7"/>
  <c r="Q131" i="7"/>
  <c r="Q155" i="7"/>
  <c r="Q160" i="7"/>
  <c r="Q33" i="7"/>
  <c r="Q96" i="7"/>
  <c r="Q115" i="7"/>
  <c r="Q122" i="7"/>
  <c r="Q138" i="7"/>
  <c r="Q17" i="7"/>
  <c r="Q72" i="7"/>
  <c r="Q89" i="7"/>
  <c r="Q44" i="7"/>
  <c r="Q24" i="7"/>
  <c r="Q41" i="7"/>
  <c r="Q60" i="7"/>
  <c r="Q77" i="7"/>
  <c r="Q93" i="7"/>
  <c r="Q94" i="7"/>
  <c r="Q143" i="7"/>
  <c r="Q144" i="7"/>
  <c r="Q158" i="7"/>
  <c r="Q161" i="7"/>
  <c r="Q162" i="7"/>
  <c r="Q18" i="7"/>
  <c r="Q46" i="7"/>
  <c r="Q49" i="7"/>
  <c r="Q62" i="7"/>
  <c r="Q68" i="7"/>
  <c r="Q80" i="7"/>
  <c r="Q81" i="7"/>
  <c r="Q118" i="7"/>
  <c r="Q119" i="7"/>
  <c r="Q136" i="7"/>
  <c r="Q139" i="7"/>
  <c r="Q146" i="7"/>
  <c r="Q164" i="7"/>
  <c r="Q51" i="7"/>
  <c r="Q52" i="7"/>
  <c r="Q70" i="7"/>
  <c r="Q73" i="7"/>
  <c r="Q83" i="7"/>
  <c r="Q105" i="7"/>
  <c r="Q106" i="7"/>
  <c r="Q108" i="7"/>
  <c r="Q109" i="7"/>
  <c r="Q124" i="7"/>
  <c r="Q152" i="7"/>
  <c r="Q27" i="7"/>
  <c r="Q28" i="7"/>
  <c r="Q55" i="7"/>
  <c r="Q90" i="7"/>
  <c r="Q91" i="7"/>
  <c r="Q110" i="7"/>
  <c r="Q125" i="7"/>
  <c r="Q142" i="7"/>
  <c r="Q21" i="7"/>
  <c r="Q59" i="7"/>
  <c r="Q76" i="7"/>
  <c r="Q78" i="7"/>
  <c r="Q79" i="7"/>
  <c r="Q85" i="7"/>
  <c r="Q87" i="7"/>
  <c r="Q102" i="7"/>
  <c r="Q135" i="7"/>
  <c r="Q145" i="7"/>
  <c r="Q30" i="7"/>
  <c r="Q56" i="7"/>
  <c r="Q57" i="7"/>
  <c r="Q74" i="7"/>
  <c r="Q75" i="7"/>
  <c r="Q92" i="7"/>
  <c r="Q111" i="7"/>
  <c r="Q112" i="7"/>
  <c r="Q116" i="7"/>
  <c r="Q117" i="7"/>
  <c r="Q147" i="7"/>
  <c r="Q148" i="7"/>
  <c r="Q150" i="7"/>
  <c r="Q163" i="7"/>
  <c r="Q14" i="7"/>
  <c r="Q84" i="7"/>
  <c r="Q86" i="7"/>
  <c r="Q120" i="7"/>
  <c r="Q126" i="7"/>
  <c r="Q127" i="7"/>
  <c r="Q128" i="7"/>
  <c r="Q129" i="7"/>
  <c r="Q134" i="7"/>
  <c r="Q149" i="7"/>
  <c r="Q165" i="7"/>
  <c r="Q34" i="7"/>
  <c r="Q35" i="7"/>
  <c r="Q36" i="7"/>
  <c r="Q37" i="7"/>
  <c r="Q38" i="7"/>
  <c r="Q39" i="7"/>
  <c r="Q22" i="7"/>
  <c r="Q23" i="7"/>
  <c r="Q54" i="7"/>
  <c r="Q63" i="7"/>
  <c r="Q64" i="7"/>
  <c r="Q65" i="7"/>
  <c r="Q66" i="7"/>
  <c r="Q67" i="7"/>
  <c r="Q19" i="7"/>
  <c r="Q20" i="7"/>
  <c r="Q47" i="7"/>
  <c r="Q48" i="7"/>
  <c r="Q50" i="7"/>
  <c r="Q69" i="7"/>
  <c r="Q82" i="7"/>
  <c r="Q97" i="7"/>
  <c r="Q98" i="7"/>
  <c r="Q99" i="7"/>
  <c r="Q29" i="7"/>
  <c r="Q31" i="7"/>
  <c r="Q40" i="7"/>
  <c r="Q58" i="7"/>
  <c r="Q113" i="7"/>
  <c r="Q132" i="7"/>
  <c r="Q133" i="7"/>
  <c r="Q25" i="7"/>
  <c r="Q26" i="7"/>
  <c r="Q42" i="7"/>
  <c r="Q45" i="7"/>
  <c r="Q61" i="7"/>
  <c r="Q100" i="7"/>
  <c r="Q101" i="7"/>
  <c r="Q107" i="7"/>
  <c r="Q140" i="7"/>
  <c r="Q141" i="7"/>
  <c r="Q151" i="7"/>
  <c r="Q153" i="7"/>
  <c r="Q157" i="7"/>
  <c r="Q10" i="7"/>
  <c r="R10" i="7"/>
  <c r="S10" i="7" s="1"/>
  <c r="Q15" i="7"/>
  <c r="Q53" i="7"/>
  <c r="Q156" i="7"/>
  <c r="N160" i="7"/>
  <c r="W160" i="7"/>
  <c r="X160" i="7" s="1"/>
  <c r="AC20" i="7"/>
  <c r="AD20" i="7" s="1"/>
  <c r="AK20" i="7" s="1"/>
  <c r="M160" i="7"/>
  <c r="N155" i="7"/>
  <c r="W155" i="7"/>
  <c r="X155" i="7" s="1"/>
  <c r="AC19" i="7"/>
  <c r="AD19" i="7" s="1"/>
  <c r="AK19" i="7" s="1"/>
  <c r="M155" i="7"/>
  <c r="M138" i="7"/>
  <c r="N138" i="7"/>
  <c r="W138" i="7"/>
  <c r="X138" i="7" s="1"/>
  <c r="M123" i="7"/>
  <c r="M122" i="7"/>
  <c r="N123" i="7"/>
  <c r="W123" i="7"/>
  <c r="X123" i="7" s="1"/>
  <c r="AC18" i="7"/>
  <c r="AD18" i="7" s="1"/>
  <c r="AK18" i="7" s="1"/>
  <c r="N122" i="7"/>
  <c r="W122" i="7"/>
  <c r="X122" i="7" s="1"/>
  <c r="N115" i="7"/>
  <c r="W115" i="7"/>
  <c r="X115" i="7" s="1"/>
  <c r="AC17" i="7"/>
  <c r="AD17" i="7" s="1"/>
  <c r="AK17" i="7" s="1"/>
  <c r="M115" i="7"/>
  <c r="N104" i="7"/>
  <c r="AC16" i="7"/>
  <c r="AD16" i="7" s="1"/>
  <c r="AK16" i="7" s="1"/>
  <c r="W104" i="7"/>
  <c r="X104" i="7" s="1"/>
  <c r="M104" i="7"/>
  <c r="N89" i="7"/>
  <c r="W89" i="7"/>
  <c r="X89" i="7" s="1"/>
  <c r="AC14" i="7"/>
  <c r="AD14" i="7" s="1"/>
  <c r="AK14" i="7" s="1"/>
  <c r="M89" i="7"/>
  <c r="N72" i="7"/>
  <c r="W72" i="7"/>
  <c r="X72" i="7" s="1"/>
  <c r="AC13" i="7"/>
  <c r="AD13" i="7" s="1"/>
  <c r="AK13" i="7" s="1"/>
  <c r="M72" i="7"/>
  <c r="N44" i="7"/>
  <c r="W44" i="7"/>
  <c r="X44" i="7" s="1"/>
  <c r="AC12" i="7"/>
  <c r="AD12" i="7" s="1"/>
  <c r="AK12" i="7" s="1"/>
  <c r="M44" i="7"/>
  <c r="N33" i="7"/>
  <c r="W33" i="7"/>
  <c r="X33" i="7" s="1"/>
  <c r="AC11" i="7"/>
  <c r="AD11" i="7" s="1"/>
  <c r="AK11" i="7" s="1"/>
  <c r="M33" i="7"/>
  <c r="W17" i="7"/>
  <c r="X17" i="7" s="1"/>
  <c r="AC10" i="7"/>
  <c r="L12" i="7"/>
  <c r="N12" i="7" s="1"/>
  <c r="M17" i="7"/>
  <c r="AF8" i="6"/>
  <c r="AL10" i="6"/>
  <c r="AL8" i="6" s="1"/>
  <c r="Q71" i="6"/>
  <c r="Q33" i="6"/>
  <c r="Q114" i="6"/>
  <c r="Q44" i="6"/>
  <c r="Q88" i="6"/>
  <c r="Q122" i="6"/>
  <c r="Q121" i="6"/>
  <c r="Q130" i="6"/>
  <c r="Q137" i="6"/>
  <c r="Q159" i="6"/>
  <c r="Q17" i="6"/>
  <c r="Q154" i="6"/>
  <c r="Q95" i="6"/>
  <c r="Q103" i="6"/>
  <c r="Q24" i="6"/>
  <c r="Q56" i="6"/>
  <c r="Q66" i="6"/>
  <c r="Q92" i="6"/>
  <c r="Q93" i="6"/>
  <c r="Q108" i="6"/>
  <c r="Q109" i="6"/>
  <c r="Q141" i="6"/>
  <c r="Q142" i="6"/>
  <c r="Q146" i="6"/>
  <c r="Q156" i="6"/>
  <c r="Q26" i="6"/>
  <c r="Q57" i="6"/>
  <c r="Q58" i="6"/>
  <c r="Q68" i="6"/>
  <c r="Q69" i="6"/>
  <c r="Q96" i="6"/>
  <c r="Q97" i="6"/>
  <c r="Q111" i="6"/>
  <c r="Q112" i="6"/>
  <c r="Q115" i="6"/>
  <c r="Q127" i="6"/>
  <c r="Q128" i="6"/>
  <c r="Q151" i="6"/>
  <c r="Q25" i="6"/>
  <c r="Q59" i="6"/>
  <c r="Q72" i="6"/>
  <c r="Q116" i="6"/>
  <c r="Q143" i="6"/>
  <c r="Q157" i="6"/>
  <c r="Q160" i="6"/>
  <c r="Q14" i="6"/>
  <c r="Q29" i="6"/>
  <c r="Q30" i="6"/>
  <c r="Q31" i="6"/>
  <c r="Q53" i="6"/>
  <c r="Q90" i="6"/>
  <c r="Q101" i="6"/>
  <c r="Q139" i="6"/>
  <c r="Q147" i="6"/>
  <c r="Q148" i="6"/>
  <c r="Q163" i="6"/>
  <c r="Q164" i="6"/>
  <c r="Q54" i="6"/>
  <c r="Q64" i="6"/>
  <c r="Q65" i="6"/>
  <c r="Q67" i="6"/>
  <c r="Q132" i="6"/>
  <c r="Q133" i="6"/>
  <c r="Q144" i="6"/>
  <c r="Q145" i="6"/>
  <c r="Q149" i="6"/>
  <c r="Q27" i="6"/>
  <c r="Q28" i="6"/>
  <c r="Q86" i="6"/>
  <c r="Q99" i="6"/>
  <c r="Q134" i="6"/>
  <c r="Q135" i="6"/>
  <c r="Q85" i="6"/>
  <c r="Q98" i="6"/>
  <c r="Q117" i="6"/>
  <c r="Q118" i="6"/>
  <c r="Q131" i="6"/>
  <c r="Q140" i="6"/>
  <c r="Q52" i="6"/>
  <c r="Q63" i="6"/>
  <c r="Q89" i="6"/>
  <c r="Q91" i="6"/>
  <c r="Q104" i="6"/>
  <c r="Q105" i="6"/>
  <c r="Q107" i="6"/>
  <c r="Q110" i="6"/>
  <c r="Q150" i="6"/>
  <c r="Q18" i="6"/>
  <c r="Q19" i="6"/>
  <c r="Q34" i="6"/>
  <c r="Q37" i="6"/>
  <c r="Q38" i="6"/>
  <c r="Q39" i="6"/>
  <c r="Q40" i="6"/>
  <c r="Q41" i="6"/>
  <c r="Q42" i="6"/>
  <c r="Q46" i="6"/>
  <c r="Q47" i="6"/>
  <c r="Q48" i="6"/>
  <c r="Q49" i="6"/>
  <c r="Q50" i="6"/>
  <c r="Q51" i="6"/>
  <c r="Q20" i="6"/>
  <c r="Q35" i="6"/>
  <c r="Q60" i="6"/>
  <c r="Q61" i="6"/>
  <c r="Q73" i="6"/>
  <c r="Q74" i="6"/>
  <c r="Q75" i="6"/>
  <c r="Q76" i="6"/>
  <c r="Q77" i="6"/>
  <c r="Q78" i="6"/>
  <c r="Q79" i="6"/>
  <c r="Q80" i="6"/>
  <c r="Q81" i="6"/>
  <c r="Q83" i="6"/>
  <c r="Q84" i="6"/>
  <c r="Q23" i="6"/>
  <c r="Q55" i="6"/>
  <c r="Q106" i="6"/>
  <c r="Q119" i="6"/>
  <c r="Q123" i="6"/>
  <c r="Q124" i="6"/>
  <c r="Q125" i="6"/>
  <c r="Q126" i="6"/>
  <c r="Q21" i="6"/>
  <c r="Q22" i="6"/>
  <c r="Q36" i="6"/>
  <c r="Q62" i="6"/>
  <c r="Q100" i="6"/>
  <c r="Q138" i="6"/>
  <c r="Q152" i="6"/>
  <c r="Q161" i="6"/>
  <c r="Q162" i="6"/>
  <c r="Q155" i="6"/>
  <c r="R10" i="6"/>
  <c r="S10" i="6" s="1"/>
  <c r="Q15" i="6"/>
  <c r="Q45" i="6"/>
  <c r="Q82" i="6"/>
  <c r="Q10" i="6"/>
  <c r="K10" i="6"/>
  <c r="M159" i="6"/>
  <c r="N159" i="6"/>
  <c r="W159" i="6"/>
  <c r="X159" i="6" s="1"/>
  <c r="AC20" i="6"/>
  <c r="AD20" i="6" s="1"/>
  <c r="AK20" i="6" s="1"/>
  <c r="N154" i="6"/>
  <c r="W154" i="6"/>
  <c r="X154" i="6" s="1"/>
  <c r="AC19" i="6"/>
  <c r="AD19" i="6" s="1"/>
  <c r="AK19" i="6" s="1"/>
  <c r="M154" i="6"/>
  <c r="N137" i="6"/>
  <c r="W137" i="6"/>
  <c r="X137" i="6" s="1"/>
  <c r="M137" i="6"/>
  <c r="N130" i="6"/>
  <c r="L121" i="6"/>
  <c r="W130" i="6"/>
  <c r="X130" i="6" s="1"/>
  <c r="M130" i="6"/>
  <c r="N114" i="6"/>
  <c r="W114" i="6"/>
  <c r="X114" i="6" s="1"/>
  <c r="AC17" i="6"/>
  <c r="AD17" i="6" s="1"/>
  <c r="AK17" i="6" s="1"/>
  <c r="N103" i="6"/>
  <c r="W103" i="6"/>
  <c r="X103" i="6" s="1"/>
  <c r="AC16" i="6"/>
  <c r="AD16" i="6" s="1"/>
  <c r="AK16" i="6" s="1"/>
  <c r="M103" i="6"/>
  <c r="N95" i="6"/>
  <c r="W95" i="6"/>
  <c r="X95" i="6" s="1"/>
  <c r="AC15" i="6"/>
  <c r="AD15" i="6" s="1"/>
  <c r="AK15" i="6" s="1"/>
  <c r="M95" i="6"/>
  <c r="N88" i="6"/>
  <c r="W88" i="6"/>
  <c r="X88" i="6" s="1"/>
  <c r="AC14" i="6"/>
  <c r="AD14" i="6" s="1"/>
  <c r="AK14" i="6" s="1"/>
  <c r="M88" i="6"/>
  <c r="N71" i="6"/>
  <c r="W71" i="6"/>
  <c r="X71" i="6" s="1"/>
  <c r="AC13" i="6"/>
  <c r="AD13" i="6" s="1"/>
  <c r="AK13" i="6" s="1"/>
  <c r="M71" i="6"/>
  <c r="N33" i="6"/>
  <c r="W33" i="6"/>
  <c r="X33" i="6" s="1"/>
  <c r="AC11" i="6"/>
  <c r="AD11" i="6" s="1"/>
  <c r="AK11" i="6" s="1"/>
  <c r="M33" i="6"/>
  <c r="AC10" i="6"/>
  <c r="W17" i="6"/>
  <c r="X17" i="6" s="1"/>
  <c r="L12" i="6"/>
  <c r="N12" i="6" s="1"/>
  <c r="M17" i="6"/>
  <c r="M121" i="6"/>
  <c r="M114" i="6" s="1"/>
  <c r="M122" i="6"/>
  <c r="K10" i="5"/>
  <c r="AF8" i="5"/>
  <c r="AL10" i="5"/>
  <c r="AL8" i="5" s="1"/>
  <c r="Q44" i="5"/>
  <c r="Q101" i="5"/>
  <c r="Q69" i="5"/>
  <c r="Q116" i="5"/>
  <c r="Q124" i="5"/>
  <c r="Q130" i="5"/>
  <c r="Q93" i="5"/>
  <c r="Q147" i="5"/>
  <c r="Q86" i="5"/>
  <c r="Q17" i="5"/>
  <c r="Q33" i="5"/>
  <c r="Q109" i="5"/>
  <c r="Q117" i="5"/>
  <c r="Q152" i="5"/>
  <c r="Q52" i="5"/>
  <c r="Q53" i="5"/>
  <c r="Q99" i="5"/>
  <c r="Q119" i="5"/>
  <c r="Q143" i="5"/>
  <c r="Q144" i="5"/>
  <c r="Q154" i="5"/>
  <c r="Q155" i="5"/>
  <c r="Q156" i="5"/>
  <c r="Q157" i="5"/>
  <c r="Q45" i="5"/>
  <c r="Q56" i="5"/>
  <c r="Q67" i="5"/>
  <c r="Q105" i="5"/>
  <c r="Q106" i="5"/>
  <c r="Q122" i="5"/>
  <c r="Q149" i="5"/>
  <c r="Q150" i="5"/>
  <c r="Q26" i="5"/>
  <c r="Q64" i="5"/>
  <c r="Q65" i="5"/>
  <c r="Q83" i="5"/>
  <c r="Q84" i="5"/>
  <c r="Q103" i="5"/>
  <c r="Q121" i="5"/>
  <c r="Q20" i="5"/>
  <c r="Q49" i="5"/>
  <c r="Q59" i="5"/>
  <c r="Q60" i="5"/>
  <c r="Q73" i="5"/>
  <c r="Q89" i="5"/>
  <c r="Q90" i="5"/>
  <c r="Q135" i="5"/>
  <c r="Q136" i="5"/>
  <c r="Q137" i="5"/>
  <c r="Q142" i="5"/>
  <c r="Q14" i="5"/>
  <c r="Q18" i="5"/>
  <c r="Q46" i="5"/>
  <c r="Q47" i="5"/>
  <c r="Q71" i="5"/>
  <c r="Q80" i="5"/>
  <c r="Q98" i="5"/>
  <c r="Q113" i="5"/>
  <c r="Q126" i="5"/>
  <c r="Q24" i="5"/>
  <c r="Q25" i="5"/>
  <c r="Q27" i="5"/>
  <c r="Q41" i="5"/>
  <c r="Q42" i="5"/>
  <c r="Q54" i="5"/>
  <c r="Q55" i="5"/>
  <c r="Q66" i="5"/>
  <c r="Q87" i="5"/>
  <c r="Q104" i="5"/>
  <c r="Q107" i="5"/>
  <c r="Q134" i="5"/>
  <c r="Q141" i="5"/>
  <c r="Q23" i="5"/>
  <c r="Q63" i="5"/>
  <c r="Q128" i="5"/>
  <c r="Q131" i="5"/>
  <c r="Q22" i="5"/>
  <c r="Q51" i="5"/>
  <c r="Q62" i="5"/>
  <c r="Q79" i="5"/>
  <c r="Q97" i="5"/>
  <c r="Q112" i="5"/>
  <c r="Q114" i="5"/>
  <c r="Q127" i="5"/>
  <c r="Q145" i="5"/>
  <c r="Q57" i="5"/>
  <c r="Q70" i="5"/>
  <c r="Q81" i="5"/>
  <c r="Q82" i="5"/>
  <c r="Q102" i="5"/>
  <c r="Q120" i="5"/>
  <c r="Q132" i="5"/>
  <c r="Q133" i="5"/>
  <c r="Q139" i="5"/>
  <c r="Q140" i="5"/>
  <c r="Q28" i="5"/>
  <c r="Q29" i="5"/>
  <c r="Q30" i="5"/>
  <c r="Q31" i="5"/>
  <c r="Q34" i="5"/>
  <c r="Q35" i="5"/>
  <c r="Q36" i="5"/>
  <c r="Q37" i="5"/>
  <c r="Q38" i="5"/>
  <c r="Q39" i="5"/>
  <c r="Q40" i="5"/>
  <c r="Q21" i="5"/>
  <c r="Q50" i="5"/>
  <c r="Q61" i="5"/>
  <c r="Q74" i="5"/>
  <c r="Q75" i="5"/>
  <c r="Q76" i="5"/>
  <c r="Q78" i="5"/>
  <c r="Q91" i="5"/>
  <c r="Q94" i="5"/>
  <c r="Q95" i="5"/>
  <c r="Q96" i="5"/>
  <c r="Q19" i="5"/>
  <c r="Q48" i="5"/>
  <c r="Q58" i="5"/>
  <c r="Q72" i="5"/>
  <c r="Q88" i="5"/>
  <c r="Q110" i="5"/>
  <c r="Q111" i="5"/>
  <c r="Q125" i="5"/>
  <c r="Q138" i="5"/>
  <c r="Q153" i="5"/>
  <c r="Q118" i="5"/>
  <c r="Q148" i="5"/>
  <c r="Q10" i="5"/>
  <c r="R10" i="5"/>
  <c r="S10" i="5" s="1"/>
  <c r="Q15" i="5"/>
  <c r="Q77" i="5"/>
  <c r="N152" i="5"/>
  <c r="W152" i="5"/>
  <c r="X152" i="5" s="1"/>
  <c r="AC20" i="5"/>
  <c r="AD20" i="5" s="1"/>
  <c r="AK20" i="5" s="1"/>
  <c r="M152" i="5"/>
  <c r="N147" i="5"/>
  <c r="AC19" i="5"/>
  <c r="AD19" i="5" s="1"/>
  <c r="AK19" i="5" s="1"/>
  <c r="W147" i="5"/>
  <c r="X147" i="5" s="1"/>
  <c r="M147" i="5"/>
  <c r="N130" i="5"/>
  <c r="W130" i="5"/>
  <c r="X130" i="5" s="1"/>
  <c r="M130" i="5"/>
  <c r="W124" i="5"/>
  <c r="X124" i="5" s="1"/>
  <c r="M124" i="5"/>
  <c r="M117" i="5"/>
  <c r="M116" i="5"/>
  <c r="W116" i="5"/>
  <c r="X116" i="5" s="1"/>
  <c r="AC18" i="5"/>
  <c r="AD18" i="5" s="1"/>
  <c r="AK18" i="5" s="1"/>
  <c r="W117" i="5"/>
  <c r="X117" i="5" s="1"/>
  <c r="N117" i="5"/>
  <c r="N109" i="5"/>
  <c r="AC17" i="5"/>
  <c r="AD17" i="5" s="1"/>
  <c r="AK17" i="5" s="1"/>
  <c r="W109" i="5"/>
  <c r="X109" i="5" s="1"/>
  <c r="M109" i="5"/>
  <c r="N101" i="5"/>
  <c r="W101" i="5"/>
  <c r="X101" i="5" s="1"/>
  <c r="AC16" i="5"/>
  <c r="AD16" i="5" s="1"/>
  <c r="AK16" i="5" s="1"/>
  <c r="M101" i="5"/>
  <c r="N86" i="5"/>
  <c r="W86" i="5"/>
  <c r="X86" i="5" s="1"/>
  <c r="AC14" i="5"/>
  <c r="AD14" i="5" s="1"/>
  <c r="AK14" i="5" s="1"/>
  <c r="M86" i="5"/>
  <c r="N69" i="5"/>
  <c r="W69" i="5"/>
  <c r="X69" i="5" s="1"/>
  <c r="AC13" i="5"/>
  <c r="AD13" i="5" s="1"/>
  <c r="AK13" i="5" s="1"/>
  <c r="M69" i="5"/>
  <c r="N44" i="5"/>
  <c r="W44" i="5"/>
  <c r="X44" i="5" s="1"/>
  <c r="AC12" i="5"/>
  <c r="AD12" i="5" s="1"/>
  <c r="AK12" i="5" s="1"/>
  <c r="M44" i="5"/>
  <c r="N33" i="5"/>
  <c r="W33" i="5"/>
  <c r="X33" i="5" s="1"/>
  <c r="AC11" i="5"/>
  <c r="AD11" i="5" s="1"/>
  <c r="AK11" i="5" s="1"/>
  <c r="M33" i="5"/>
  <c r="W17" i="5"/>
  <c r="X17" i="5" s="1"/>
  <c r="AC10" i="5"/>
  <c r="L12" i="5"/>
  <c r="N12" i="5" s="1"/>
  <c r="M17" i="5"/>
  <c r="N116" i="5"/>
  <c r="AD10" i="7" l="1"/>
  <c r="AC8" i="7"/>
  <c r="L10" i="7"/>
  <c r="M12" i="7"/>
  <c r="W121" i="6"/>
  <c r="X121" i="6" s="1"/>
  <c r="N121" i="6"/>
  <c r="AC8" i="6"/>
  <c r="AD10" i="6"/>
  <c r="L10" i="6"/>
  <c r="M12" i="6"/>
  <c r="AD10" i="5"/>
  <c r="AC8" i="5"/>
  <c r="L10" i="5"/>
  <c r="M12" i="5"/>
  <c r="AD8" i="7" l="1"/>
  <c r="AK10" i="7"/>
  <c r="AK8" i="7" s="1"/>
  <c r="O17" i="7"/>
  <c r="O33" i="7"/>
  <c r="O122" i="7"/>
  <c r="O123" i="7"/>
  <c r="O138" i="7"/>
  <c r="O44" i="7"/>
  <c r="O72" i="7"/>
  <c r="O89" i="7"/>
  <c r="O160" i="7"/>
  <c r="O104" i="7"/>
  <c r="O115" i="7"/>
  <c r="O155" i="7"/>
  <c r="O45" i="7"/>
  <c r="O47" i="7"/>
  <c r="O110" i="7"/>
  <c r="O120" i="7"/>
  <c r="O140" i="7"/>
  <c r="O150" i="7"/>
  <c r="O158" i="7"/>
  <c r="O163" i="7"/>
  <c r="O164" i="7"/>
  <c r="O165" i="7"/>
  <c r="O131" i="7"/>
  <c r="O29" i="7"/>
  <c r="O30" i="7"/>
  <c r="O129" i="7"/>
  <c r="O149" i="7"/>
  <c r="O34" i="7"/>
  <c r="O48" i="7"/>
  <c r="O54" i="7"/>
  <c r="O101" i="7"/>
  <c r="O112" i="7"/>
  <c r="O113" i="7"/>
  <c r="O139" i="7"/>
  <c r="O151" i="7"/>
  <c r="O153" i="7"/>
  <c r="O157" i="7"/>
  <c r="O108" i="7"/>
  <c r="O109" i="7"/>
  <c r="O143" i="7"/>
  <c r="O144" i="7"/>
  <c r="O146" i="7"/>
  <c r="O147" i="7"/>
  <c r="O148" i="7"/>
  <c r="O161" i="7"/>
  <c r="O41" i="7"/>
  <c r="O107" i="7"/>
  <c r="O116" i="7"/>
  <c r="O117" i="7"/>
  <c r="O118" i="7"/>
  <c r="O119" i="7"/>
  <c r="O124" i="7"/>
  <c r="O125" i="7"/>
  <c r="O141" i="7"/>
  <c r="O142" i="7"/>
  <c r="O18" i="7"/>
  <c r="O19" i="7"/>
  <c r="O20" i="7"/>
  <c r="O21" i="7"/>
  <c r="O22" i="7"/>
  <c r="O23" i="7"/>
  <c r="O24" i="7"/>
  <c r="O25" i="7"/>
  <c r="O26" i="7"/>
  <c r="O27" i="7"/>
  <c r="O28" i="7"/>
  <c r="O42" i="7"/>
  <c r="O46" i="7"/>
  <c r="O55" i="7"/>
  <c r="O56" i="7"/>
  <c r="O57" i="7"/>
  <c r="O58" i="7"/>
  <c r="O59" i="7"/>
  <c r="O60" i="7"/>
  <c r="O61" i="7"/>
  <c r="O62" i="7"/>
  <c r="O63" i="7"/>
  <c r="O64" i="7"/>
  <c r="O65" i="7"/>
  <c r="O67" i="7"/>
  <c r="O68" i="7"/>
  <c r="O69" i="7"/>
  <c r="O70" i="7"/>
  <c r="O73" i="7"/>
  <c r="O74" i="7"/>
  <c r="O75" i="7"/>
  <c r="O76" i="7"/>
  <c r="O77" i="7"/>
  <c r="O78" i="7"/>
  <c r="O79" i="7"/>
  <c r="O80" i="7"/>
  <c r="O81" i="7"/>
  <c r="O82" i="7"/>
  <c r="O83" i="7"/>
  <c r="O90" i="7"/>
  <c r="O91" i="7"/>
  <c r="O92" i="7"/>
  <c r="O93" i="7"/>
  <c r="O94" i="7"/>
  <c r="O99" i="7"/>
  <c r="O100" i="7"/>
  <c r="O31" i="7"/>
  <c r="O133" i="7"/>
  <c r="O135" i="7"/>
  <c r="O136" i="7"/>
  <c r="O35" i="7"/>
  <c r="O40" i="7"/>
  <c r="O102" i="7"/>
  <c r="O105" i="7"/>
  <c r="O106" i="7"/>
  <c r="O145" i="7"/>
  <c r="O152" i="7"/>
  <c r="O162" i="7"/>
  <c r="O96" i="7"/>
  <c r="O49" i="7"/>
  <c r="O127" i="7"/>
  <c r="O37" i="7"/>
  <c r="O111" i="7"/>
  <c r="O36" i="7"/>
  <c r="O38" i="7"/>
  <c r="O66" i="7"/>
  <c r="O86" i="7"/>
  <c r="O98" i="7"/>
  <c r="O126" i="7"/>
  <c r="O132" i="7"/>
  <c r="O134" i="7"/>
  <c r="O50" i="7"/>
  <c r="O51" i="7"/>
  <c r="O52" i="7"/>
  <c r="O85" i="7"/>
  <c r="O97" i="7"/>
  <c r="O128" i="7"/>
  <c r="O84" i="7"/>
  <c r="O39" i="7"/>
  <c r="O87" i="7"/>
  <c r="O53" i="7"/>
  <c r="O156" i="7"/>
  <c r="O15" i="7"/>
  <c r="O14" i="7"/>
  <c r="O10" i="7"/>
  <c r="L5" i="7"/>
  <c r="N5" i="7" s="1"/>
  <c r="M10" i="7"/>
  <c r="P12" i="7" s="1"/>
  <c r="O12" i="7"/>
  <c r="N10" i="7"/>
  <c r="P5" i="7"/>
  <c r="AD8" i="6"/>
  <c r="AK10" i="6"/>
  <c r="AK8" i="6" s="1"/>
  <c r="O154" i="6"/>
  <c r="O159" i="6"/>
  <c r="O33" i="6"/>
  <c r="O71" i="6"/>
  <c r="O137" i="6"/>
  <c r="O17" i="6"/>
  <c r="O130" i="6"/>
  <c r="O88" i="6"/>
  <c r="O95" i="6"/>
  <c r="O103" i="6"/>
  <c r="O114" i="6"/>
  <c r="O59" i="6"/>
  <c r="O60" i="6"/>
  <c r="O101" i="6"/>
  <c r="O105" i="6"/>
  <c r="O106" i="6"/>
  <c r="O108" i="6"/>
  <c r="O109" i="6"/>
  <c r="O110" i="6"/>
  <c r="O24" i="6"/>
  <c r="O63" i="6"/>
  <c r="O65" i="6"/>
  <c r="O66" i="6"/>
  <c r="O67" i="6"/>
  <c r="O74" i="6"/>
  <c r="O86" i="6"/>
  <c r="O134" i="6"/>
  <c r="O139" i="6"/>
  <c r="O140" i="6"/>
  <c r="O163" i="6"/>
  <c r="O44" i="6"/>
  <c r="O64" i="6"/>
  <c r="O132" i="6"/>
  <c r="O143" i="6"/>
  <c r="O164" i="6"/>
  <c r="O19" i="6"/>
  <c r="O61" i="6"/>
  <c r="O89" i="6"/>
  <c r="O127" i="6"/>
  <c r="O128" i="6"/>
  <c r="O22" i="6"/>
  <c r="O62" i="6"/>
  <c r="O99" i="6"/>
  <c r="O126" i="6"/>
  <c r="O131" i="6"/>
  <c r="O116" i="6"/>
  <c r="O142" i="6"/>
  <c r="O156" i="6"/>
  <c r="O23" i="6"/>
  <c r="O73" i="6"/>
  <c r="O85" i="6"/>
  <c r="O100" i="6"/>
  <c r="O112" i="6"/>
  <c r="O151" i="6"/>
  <c r="O122" i="6"/>
  <c r="O20" i="6"/>
  <c r="O21" i="6"/>
  <c r="O76" i="6"/>
  <c r="O133" i="6"/>
  <c r="O144" i="6"/>
  <c r="O145" i="6"/>
  <c r="O146" i="6"/>
  <c r="O147" i="6"/>
  <c r="O148" i="6"/>
  <c r="O149" i="6"/>
  <c r="O150" i="6"/>
  <c r="O18" i="6"/>
  <c r="O28" i="6"/>
  <c r="O29" i="6"/>
  <c r="O30" i="6"/>
  <c r="O31" i="6"/>
  <c r="O34" i="6"/>
  <c r="O35" i="6"/>
  <c r="O36" i="6"/>
  <c r="O37" i="6"/>
  <c r="O48" i="6"/>
  <c r="O51" i="6"/>
  <c r="O52" i="6"/>
  <c r="O53" i="6"/>
  <c r="O54" i="6"/>
  <c r="O55" i="6"/>
  <c r="O56" i="6"/>
  <c r="O57" i="6"/>
  <c r="O72" i="6"/>
  <c r="O90" i="6"/>
  <c r="O91" i="6"/>
  <c r="O92" i="6"/>
  <c r="O93" i="6"/>
  <c r="O96" i="6"/>
  <c r="O97" i="6"/>
  <c r="O98" i="6"/>
  <c r="O27" i="6"/>
  <c r="O68" i="6"/>
  <c r="O69" i="6"/>
  <c r="O104" i="6"/>
  <c r="O115" i="6"/>
  <c r="O117" i="6"/>
  <c r="O25" i="6"/>
  <c r="O26" i="6"/>
  <c r="O58" i="6"/>
  <c r="O111" i="6"/>
  <c r="O118" i="6"/>
  <c r="O119" i="6"/>
  <c r="O135" i="6"/>
  <c r="O138" i="6"/>
  <c r="O141" i="6"/>
  <c r="O152" i="6"/>
  <c r="O157" i="6"/>
  <c r="O160" i="6"/>
  <c r="O161" i="6"/>
  <c r="O162" i="6"/>
  <c r="O39" i="6"/>
  <c r="O78" i="6"/>
  <c r="O82" i="6"/>
  <c r="O83" i="6"/>
  <c r="O124" i="6"/>
  <c r="O40" i="6"/>
  <c r="O41" i="6"/>
  <c r="O42" i="6"/>
  <c r="O75" i="6"/>
  <c r="O77" i="6"/>
  <c r="O81" i="6"/>
  <c r="O46" i="6"/>
  <c r="O50" i="6"/>
  <c r="O45" i="6"/>
  <c r="O125" i="6"/>
  <c r="O38" i="6"/>
  <c r="O47" i="6"/>
  <c r="O49" i="6"/>
  <c r="O79" i="6"/>
  <c r="O80" i="6"/>
  <c r="O84" i="6"/>
  <c r="O107" i="6"/>
  <c r="O123" i="6"/>
  <c r="O15" i="6"/>
  <c r="O155" i="6"/>
  <c r="O14" i="6"/>
  <c r="L5" i="6"/>
  <c r="N5" i="6" s="1"/>
  <c r="O10" i="6"/>
  <c r="M10" i="6"/>
  <c r="P12" i="6" s="1"/>
  <c r="O121" i="6"/>
  <c r="O12" i="6"/>
  <c r="P5" i="6"/>
  <c r="N10" i="6"/>
  <c r="AD8" i="5"/>
  <c r="AK10" i="5"/>
  <c r="AK8" i="5" s="1"/>
  <c r="O147" i="5"/>
  <c r="O152" i="5"/>
  <c r="O33" i="5"/>
  <c r="O69" i="5"/>
  <c r="O44" i="5"/>
  <c r="O109" i="5"/>
  <c r="O116" i="5"/>
  <c r="O124" i="5"/>
  <c r="O17" i="5"/>
  <c r="O86" i="5"/>
  <c r="O101" i="5"/>
  <c r="O117" i="5"/>
  <c r="O130" i="5"/>
  <c r="O42" i="5"/>
  <c r="O55" i="5"/>
  <c r="O98" i="5"/>
  <c r="O142" i="5"/>
  <c r="O24" i="5"/>
  <c r="O66" i="5"/>
  <c r="O105" i="5"/>
  <c r="O144" i="5"/>
  <c r="O154" i="5"/>
  <c r="O157" i="5"/>
  <c r="O93" i="5"/>
  <c r="O27" i="5"/>
  <c r="O56" i="5"/>
  <c r="O62" i="5"/>
  <c r="O97" i="5"/>
  <c r="O99" i="5"/>
  <c r="O141" i="5"/>
  <c r="O150" i="5"/>
  <c r="O31" i="5"/>
  <c r="O65" i="5"/>
  <c r="O110" i="5"/>
  <c r="O135" i="5"/>
  <c r="O136" i="5"/>
  <c r="O155" i="5"/>
  <c r="O140" i="5"/>
  <c r="O49" i="5"/>
  <c r="O102" i="5"/>
  <c r="O119" i="5"/>
  <c r="O137" i="5"/>
  <c r="O143" i="5"/>
  <c r="O153" i="5"/>
  <c r="O156" i="5"/>
  <c r="O26" i="5"/>
  <c r="O48" i="5"/>
  <c r="O70" i="5"/>
  <c r="O106" i="5"/>
  <c r="O120" i="5"/>
  <c r="O121" i="5"/>
  <c r="O133" i="5"/>
  <c r="O134" i="5"/>
  <c r="O145" i="5"/>
  <c r="O149" i="5"/>
  <c r="O104" i="5"/>
  <c r="O107" i="5"/>
  <c r="O111" i="5"/>
  <c r="O112" i="5"/>
  <c r="O113" i="5"/>
  <c r="O138" i="5"/>
  <c r="O139" i="5"/>
  <c r="O18" i="5"/>
  <c r="O19" i="5"/>
  <c r="O20" i="5"/>
  <c r="O21" i="5"/>
  <c r="O22" i="5"/>
  <c r="O23" i="5"/>
  <c r="O25" i="5"/>
  <c r="O35" i="5"/>
  <c r="O57" i="5"/>
  <c r="O58" i="5"/>
  <c r="O46" i="5"/>
  <c r="O47" i="5"/>
  <c r="O67" i="5"/>
  <c r="O71" i="5"/>
  <c r="O72" i="5"/>
  <c r="O73" i="5"/>
  <c r="O78" i="5"/>
  <c r="O79" i="5"/>
  <c r="O80" i="5"/>
  <c r="O81" i="5"/>
  <c r="O82" i="5"/>
  <c r="O83" i="5"/>
  <c r="O84" i="5"/>
  <c r="O87" i="5"/>
  <c r="O88" i="5"/>
  <c r="O89" i="5"/>
  <c r="O90" i="5"/>
  <c r="O34" i="5"/>
  <c r="O53" i="5"/>
  <c r="O54" i="5"/>
  <c r="O59" i="5"/>
  <c r="O60" i="5"/>
  <c r="O61" i="5"/>
  <c r="O63" i="5"/>
  <c r="O64" i="5"/>
  <c r="O96" i="5"/>
  <c r="O103" i="5"/>
  <c r="O122" i="5"/>
  <c r="O125" i="5"/>
  <c r="O126" i="5"/>
  <c r="O127" i="5"/>
  <c r="O128" i="5"/>
  <c r="O131" i="5"/>
  <c r="O132" i="5"/>
  <c r="O45" i="5"/>
  <c r="O50" i="5"/>
  <c r="O51" i="5"/>
  <c r="O52" i="5"/>
  <c r="O39" i="5"/>
  <c r="O76" i="5"/>
  <c r="O40" i="5"/>
  <c r="O91" i="5"/>
  <c r="O94" i="5"/>
  <c r="O41" i="5"/>
  <c r="O38" i="5"/>
  <c r="O75" i="5"/>
  <c r="O77" i="5"/>
  <c r="O74" i="5"/>
  <c r="O28" i="5"/>
  <c r="O29" i="5"/>
  <c r="O30" i="5"/>
  <c r="O36" i="5"/>
  <c r="O37" i="5"/>
  <c r="O95" i="5"/>
  <c r="O114" i="5"/>
  <c r="O148" i="5"/>
  <c r="O15" i="5"/>
  <c r="O118" i="5"/>
  <c r="O14" i="5"/>
  <c r="L5" i="5"/>
  <c r="N5" i="5" s="1"/>
  <c r="O10" i="5"/>
  <c r="M10" i="5"/>
  <c r="P12" i="5" s="1"/>
  <c r="N10" i="5"/>
  <c r="P5" i="5"/>
  <c r="O12" i="5"/>
  <c r="P17" i="7" l="1"/>
  <c r="P44" i="7"/>
  <c r="P45" i="7"/>
  <c r="P116" i="7"/>
  <c r="P18" i="7"/>
  <c r="P155" i="7"/>
  <c r="P123" i="7"/>
  <c r="P124" i="7"/>
  <c r="P138" i="7"/>
  <c r="P139" i="7"/>
  <c r="P122" i="7"/>
  <c r="P157" i="7"/>
  <c r="P33" i="7"/>
  <c r="P34" i="7"/>
  <c r="P72" i="7"/>
  <c r="P73" i="7"/>
  <c r="P89" i="7"/>
  <c r="P90" i="7"/>
  <c r="P104" i="7"/>
  <c r="P105" i="7"/>
  <c r="P115" i="7"/>
  <c r="P160" i="7"/>
  <c r="P161" i="7"/>
  <c r="P131" i="7"/>
  <c r="P96" i="7"/>
  <c r="P42" i="7"/>
  <c r="P46" i="7"/>
  <c r="P112" i="7"/>
  <c r="P113" i="7"/>
  <c r="P120" i="7"/>
  <c r="P147" i="7"/>
  <c r="P148" i="7"/>
  <c r="P149" i="7"/>
  <c r="P150" i="7"/>
  <c r="P158" i="7"/>
  <c r="P163" i="7"/>
  <c r="P165" i="7"/>
  <c r="P14" i="7"/>
  <c r="P132" i="7"/>
  <c r="P31" i="7"/>
  <c r="P35" i="7"/>
  <c r="P47" i="7"/>
  <c r="P40" i="7"/>
  <c r="P152" i="7"/>
  <c r="P102" i="7"/>
  <c r="P136" i="7"/>
  <c r="P144" i="7"/>
  <c r="P145" i="7"/>
  <c r="P151" i="7"/>
  <c r="P153" i="7"/>
  <c r="P164" i="7"/>
  <c r="P108" i="7"/>
  <c r="P109" i="7"/>
  <c r="P110" i="7"/>
  <c r="P143" i="7"/>
  <c r="P146" i="7"/>
  <c r="P106" i="7"/>
  <c r="P107" i="7"/>
  <c r="P117" i="7"/>
  <c r="P118" i="7"/>
  <c r="P119" i="7"/>
  <c r="P125" i="7"/>
  <c r="P133" i="7"/>
  <c r="P140" i="7"/>
  <c r="P141" i="7"/>
  <c r="P142" i="7"/>
  <c r="P19" i="7"/>
  <c r="P20" i="7"/>
  <c r="P21" i="7"/>
  <c r="P22" i="7"/>
  <c r="P23" i="7"/>
  <c r="P24" i="7"/>
  <c r="P25" i="7"/>
  <c r="P26" i="7"/>
  <c r="P27" i="7"/>
  <c r="P28" i="7"/>
  <c r="P48" i="7"/>
  <c r="P54" i="7"/>
  <c r="P55" i="7"/>
  <c r="P56" i="7"/>
  <c r="P57" i="7"/>
  <c r="P58" i="7"/>
  <c r="P59" i="7"/>
  <c r="P60" i="7"/>
  <c r="P61" i="7"/>
  <c r="P62" i="7"/>
  <c r="P63" i="7"/>
  <c r="P64" i="7"/>
  <c r="P65" i="7"/>
  <c r="P67" i="7"/>
  <c r="P68" i="7"/>
  <c r="P69" i="7"/>
  <c r="P70" i="7"/>
  <c r="P74" i="7"/>
  <c r="P75" i="7"/>
  <c r="P76" i="7"/>
  <c r="P77" i="7"/>
  <c r="P78" i="7"/>
  <c r="P79" i="7"/>
  <c r="P80" i="7"/>
  <c r="P81" i="7"/>
  <c r="P82" i="7"/>
  <c r="P83" i="7"/>
  <c r="P91" i="7"/>
  <c r="P92" i="7"/>
  <c r="P93" i="7"/>
  <c r="P94" i="7"/>
  <c r="P99" i="7"/>
  <c r="P100" i="7"/>
  <c r="P101" i="7"/>
  <c r="P29" i="7"/>
  <c r="P30" i="7"/>
  <c r="P129" i="7"/>
  <c r="P135" i="7"/>
  <c r="P41" i="7"/>
  <c r="P162" i="7"/>
  <c r="P97" i="7"/>
  <c r="P49" i="7"/>
  <c r="P51" i="7"/>
  <c r="P127" i="7"/>
  <c r="P38" i="7"/>
  <c r="P111" i="7"/>
  <c r="P37" i="7"/>
  <c r="P52" i="7"/>
  <c r="P66" i="7"/>
  <c r="P98" i="7"/>
  <c r="P134" i="7"/>
  <c r="P50" i="7"/>
  <c r="P36" i="7"/>
  <c r="P84" i="7"/>
  <c r="P126" i="7"/>
  <c r="P128" i="7"/>
  <c r="P156" i="7"/>
  <c r="P15" i="7"/>
  <c r="P39" i="7"/>
  <c r="P85" i="7"/>
  <c r="P86" i="7"/>
  <c r="P87" i="7"/>
  <c r="P53" i="7"/>
  <c r="P10" i="7"/>
  <c r="P17" i="6"/>
  <c r="P114" i="6"/>
  <c r="P122" i="6"/>
  <c r="P154" i="6"/>
  <c r="P72" i="6"/>
  <c r="P33" i="6"/>
  <c r="P34" i="6"/>
  <c r="P71" i="6"/>
  <c r="P95" i="6"/>
  <c r="P96" i="6"/>
  <c r="P156" i="6"/>
  <c r="P159" i="6"/>
  <c r="P130" i="6"/>
  <c r="P131" i="6"/>
  <c r="P121" i="6"/>
  <c r="P103" i="6"/>
  <c r="P115" i="6"/>
  <c r="P137" i="6"/>
  <c r="P138" i="6"/>
  <c r="P160" i="6"/>
  <c r="P18" i="6"/>
  <c r="P88" i="6"/>
  <c r="P89" i="6"/>
  <c r="P104" i="6"/>
  <c r="P44" i="6"/>
  <c r="P60" i="6"/>
  <c r="P61" i="6"/>
  <c r="P62" i="6"/>
  <c r="P101" i="6"/>
  <c r="P105" i="6"/>
  <c r="P117" i="6"/>
  <c r="P118" i="6"/>
  <c r="P126" i="6"/>
  <c r="P128" i="6"/>
  <c r="P23" i="6"/>
  <c r="P85" i="6"/>
  <c r="P119" i="6"/>
  <c r="P141" i="6"/>
  <c r="P142" i="6"/>
  <c r="P157" i="6"/>
  <c r="P163" i="6"/>
  <c r="P66" i="6"/>
  <c r="P67" i="6"/>
  <c r="P108" i="6"/>
  <c r="P110" i="6"/>
  <c r="P112" i="6"/>
  <c r="P132" i="6"/>
  <c r="P133" i="6"/>
  <c r="P134" i="6"/>
  <c r="P150" i="6"/>
  <c r="P14" i="6"/>
  <c r="P63" i="6"/>
  <c r="P65" i="6"/>
  <c r="P100" i="6"/>
  <c r="P19" i="6"/>
  <c r="P20" i="6"/>
  <c r="P21" i="6"/>
  <c r="P64" i="6"/>
  <c r="P127" i="6"/>
  <c r="P143" i="6"/>
  <c r="P25" i="6"/>
  <c r="P68" i="6"/>
  <c r="P152" i="6"/>
  <c r="P22" i="6"/>
  <c r="P73" i="6"/>
  <c r="P76" i="6"/>
  <c r="P86" i="6"/>
  <c r="P111" i="6"/>
  <c r="P151" i="6"/>
  <c r="P123" i="6"/>
  <c r="P24" i="6"/>
  <c r="P26" i="6"/>
  <c r="P74" i="6"/>
  <c r="P99" i="6"/>
  <c r="P144" i="6"/>
  <c r="P145" i="6"/>
  <c r="P146" i="6"/>
  <c r="P147" i="6"/>
  <c r="P148" i="6"/>
  <c r="P149" i="6"/>
  <c r="P28" i="6"/>
  <c r="P29" i="6"/>
  <c r="P30" i="6"/>
  <c r="P31" i="6"/>
  <c r="P35" i="6"/>
  <c r="P36" i="6"/>
  <c r="P37" i="6"/>
  <c r="P48" i="6"/>
  <c r="P51" i="6"/>
  <c r="P52" i="6"/>
  <c r="P53" i="6"/>
  <c r="P54" i="6"/>
  <c r="P55" i="6"/>
  <c r="P56" i="6"/>
  <c r="P57" i="6"/>
  <c r="P58" i="6"/>
  <c r="P90" i="6"/>
  <c r="P91" i="6"/>
  <c r="P92" i="6"/>
  <c r="P93" i="6"/>
  <c r="P97" i="6"/>
  <c r="P98" i="6"/>
  <c r="P59" i="6"/>
  <c r="P69" i="6"/>
  <c r="P116" i="6"/>
  <c r="P27" i="6"/>
  <c r="P106" i="6"/>
  <c r="P109" i="6"/>
  <c r="P135" i="6"/>
  <c r="P139" i="6"/>
  <c r="P140" i="6"/>
  <c r="P161" i="6"/>
  <c r="P162" i="6"/>
  <c r="P164" i="6"/>
  <c r="P45" i="6"/>
  <c r="P39" i="6"/>
  <c r="P50" i="6"/>
  <c r="P82" i="6"/>
  <c r="P83" i="6"/>
  <c r="P124" i="6"/>
  <c r="P81" i="6"/>
  <c r="P15" i="6"/>
  <c r="P40" i="6"/>
  <c r="P41" i="6"/>
  <c r="P42" i="6"/>
  <c r="P75" i="6"/>
  <c r="P77" i="6"/>
  <c r="P78" i="6"/>
  <c r="P46" i="6"/>
  <c r="P125" i="6"/>
  <c r="P155" i="6"/>
  <c r="P38" i="6"/>
  <c r="P47" i="6"/>
  <c r="P49" i="6"/>
  <c r="P79" i="6"/>
  <c r="P80" i="6"/>
  <c r="P84" i="6"/>
  <c r="P107" i="6"/>
  <c r="P10" i="6"/>
  <c r="P17" i="5"/>
  <c r="P18" i="5"/>
  <c r="P33" i="5"/>
  <c r="P34" i="5"/>
  <c r="P45" i="5"/>
  <c r="P69" i="5"/>
  <c r="P70" i="5"/>
  <c r="P86" i="5"/>
  <c r="P109" i="5"/>
  <c r="P110" i="5"/>
  <c r="P117" i="5"/>
  <c r="P87" i="5"/>
  <c r="P119" i="5"/>
  <c r="P152" i="5"/>
  <c r="P153" i="5"/>
  <c r="P44" i="5"/>
  <c r="P102" i="5"/>
  <c r="P101" i="5"/>
  <c r="P116" i="5"/>
  <c r="P124" i="5"/>
  <c r="P125" i="5"/>
  <c r="P130" i="5"/>
  <c r="P131" i="5"/>
  <c r="P149" i="5"/>
  <c r="P147" i="5"/>
  <c r="P93" i="5"/>
  <c r="P99" i="5"/>
  <c r="P103" i="5"/>
  <c r="P143" i="5"/>
  <c r="P24" i="5"/>
  <c r="P26" i="5"/>
  <c r="P31" i="5"/>
  <c r="P64" i="5"/>
  <c r="P104" i="5"/>
  <c r="P144" i="5"/>
  <c r="P154" i="5"/>
  <c r="P157" i="5"/>
  <c r="P35" i="5"/>
  <c r="P61" i="5"/>
  <c r="P134" i="5"/>
  <c r="P150" i="5"/>
  <c r="P14" i="5"/>
  <c r="P111" i="5"/>
  <c r="P135" i="5"/>
  <c r="P138" i="5"/>
  <c r="P145" i="5"/>
  <c r="P155" i="5"/>
  <c r="P156" i="5"/>
  <c r="P96" i="5"/>
  <c r="P140" i="5"/>
  <c r="P141" i="5"/>
  <c r="P142" i="5"/>
  <c r="P94" i="5"/>
  <c r="P51" i="5"/>
  <c r="P25" i="5"/>
  <c r="P50" i="5"/>
  <c r="P52" i="5"/>
  <c r="P67" i="5"/>
  <c r="P107" i="5"/>
  <c r="P121" i="5"/>
  <c r="P27" i="5"/>
  <c r="P62" i="5"/>
  <c r="P106" i="5"/>
  <c r="P112" i="5"/>
  <c r="P113" i="5"/>
  <c r="P120" i="5"/>
  <c r="P19" i="5"/>
  <c r="P20" i="5"/>
  <c r="P21" i="5"/>
  <c r="P22" i="5"/>
  <c r="P42" i="5"/>
  <c r="P54" i="5"/>
  <c r="P57" i="5"/>
  <c r="P58" i="5"/>
  <c r="P59" i="5"/>
  <c r="P23" i="5"/>
  <c r="P48" i="5"/>
  <c r="P63" i="5"/>
  <c r="P65" i="5"/>
  <c r="P71" i="5"/>
  <c r="P72" i="5"/>
  <c r="P73" i="5"/>
  <c r="P78" i="5"/>
  <c r="P79" i="5"/>
  <c r="P80" i="5"/>
  <c r="P81" i="5"/>
  <c r="P82" i="5"/>
  <c r="P83" i="5"/>
  <c r="P84" i="5"/>
  <c r="P88" i="5"/>
  <c r="P89" i="5"/>
  <c r="P90" i="5"/>
  <c r="P53" i="5"/>
  <c r="P55" i="5"/>
  <c r="P56" i="5"/>
  <c r="P60" i="5"/>
  <c r="P66" i="5"/>
  <c r="P97" i="5"/>
  <c r="P98" i="5"/>
  <c r="P105" i="5"/>
  <c r="P122" i="5"/>
  <c r="P126" i="5"/>
  <c r="P127" i="5"/>
  <c r="P128" i="5"/>
  <c r="P132" i="5"/>
  <c r="P133" i="5"/>
  <c r="P46" i="5"/>
  <c r="P47" i="5"/>
  <c r="P49" i="5"/>
  <c r="P136" i="5"/>
  <c r="P137" i="5"/>
  <c r="P139" i="5"/>
  <c r="P15" i="5"/>
  <c r="P37" i="5"/>
  <c r="P38" i="5"/>
  <c r="P40" i="5"/>
  <c r="P76" i="5"/>
  <c r="P95" i="5"/>
  <c r="P91" i="5"/>
  <c r="P148" i="5"/>
  <c r="P75" i="5"/>
  <c r="P39" i="5"/>
  <c r="P41" i="5"/>
  <c r="P74" i="5"/>
  <c r="P77" i="5"/>
  <c r="P28" i="5"/>
  <c r="P29" i="5"/>
  <c r="P30" i="5"/>
  <c r="P36" i="5"/>
  <c r="P114" i="5"/>
  <c r="P118" i="5"/>
  <c r="P10" i="5"/>
  <c r="E66" i="18" l="1"/>
  <c r="E65" i="18"/>
  <c r="E64" i="18"/>
  <c r="E63" i="18"/>
  <c r="E62" i="18"/>
  <c r="E61" i="18"/>
  <c r="E60" i="18"/>
  <c r="E59" i="18"/>
  <c r="E58" i="18"/>
  <c r="E57" i="18"/>
  <c r="E56" i="18"/>
  <c r="E38" i="18"/>
  <c r="E37" i="18"/>
  <c r="E36" i="18"/>
  <c r="E35" i="18"/>
  <c r="E34" i="18"/>
  <c r="E33" i="18"/>
  <c r="E30" i="18"/>
  <c r="E29" i="18"/>
  <c r="E28" i="18"/>
  <c r="E27" i="18"/>
  <c r="E26" i="18"/>
  <c r="E25" i="18"/>
  <c r="E24" i="18"/>
  <c r="E23" i="18"/>
  <c r="E22" i="18"/>
  <c r="E21" i="18"/>
  <c r="E20" i="18"/>
  <c r="E19" i="18"/>
  <c r="C142" i="18"/>
  <c r="C141" i="18"/>
  <c r="C140" i="18"/>
  <c r="C138" i="18"/>
  <c r="C137" i="18"/>
  <c r="C136" i="18"/>
  <c r="C135" i="18"/>
  <c r="C134" i="18"/>
  <c r="C133" i="18"/>
  <c r="C132" i="18"/>
  <c r="C131" i="18"/>
  <c r="C130" i="18"/>
  <c r="E111" i="18"/>
  <c r="E110" i="18"/>
  <c r="E108" i="18"/>
  <c r="E107" i="18"/>
  <c r="E104" i="18"/>
  <c r="C104" i="18"/>
  <c r="C100" i="18"/>
  <c r="E89" i="18"/>
  <c r="E88" i="18"/>
  <c r="E87" i="18"/>
  <c r="E86" i="18"/>
  <c r="E85" i="18"/>
  <c r="C79" i="18"/>
  <c r="C78" i="18"/>
  <c r="E55" i="18"/>
  <c r="E49" i="18"/>
  <c r="E48" i="18"/>
  <c r="E47" i="18"/>
  <c r="E46" i="18"/>
  <c r="E45" i="18"/>
  <c r="E44" i="18"/>
  <c r="E41" i="18"/>
  <c r="E40" i="18"/>
  <c r="E39" i="18"/>
  <c r="C139" i="18"/>
  <c r="C129" i="18"/>
  <c r="E54" i="18"/>
  <c r="E53" i="18"/>
  <c r="E109" i="18"/>
  <c r="E137" i="18"/>
  <c r="E136" i="18"/>
  <c r="E135" i="18"/>
  <c r="E134" i="18"/>
  <c r="E133" i="18"/>
  <c r="E52" i="18"/>
  <c r="E51" i="18"/>
  <c r="E50" i="18"/>
  <c r="E141" i="18"/>
  <c r="E142" i="18"/>
  <c r="E140" i="18"/>
  <c r="E138" i="18"/>
  <c r="E139" i="18"/>
  <c r="C125" i="18" l="1"/>
  <c r="C118" i="18"/>
  <c r="C95" i="18"/>
  <c r="C96" i="18"/>
  <c r="C72" i="18"/>
  <c r="C73" i="18"/>
  <c r="C74" i="18"/>
  <c r="C75" i="18"/>
  <c r="C76" i="18"/>
  <c r="C77" i="18"/>
  <c r="C80" i="18"/>
  <c r="C81" i="18"/>
  <c r="C82" i="18"/>
  <c r="C119" i="18"/>
  <c r="C111" i="18"/>
  <c r="C86" i="18"/>
  <c r="C85" i="18"/>
  <c r="C48" i="18"/>
  <c r="C53" i="18"/>
  <c r="C57" i="18"/>
  <c r="C61" i="18"/>
  <c r="C34" i="18"/>
  <c r="C36" i="18"/>
  <c r="C40" i="18"/>
  <c r="C22" i="18"/>
  <c r="C26" i="18"/>
  <c r="C30" i="18"/>
  <c r="C109" i="18"/>
  <c r="C88" i="18"/>
  <c r="C46" i="18"/>
  <c r="C52" i="18"/>
  <c r="C56" i="18"/>
  <c r="C60" i="18"/>
  <c r="C44" i="18"/>
  <c r="C38" i="18"/>
  <c r="C33" i="18"/>
  <c r="C21" i="18"/>
  <c r="C25" i="18"/>
  <c r="C29" i="18"/>
  <c r="C108" i="18"/>
  <c r="C107" i="18"/>
  <c r="C87" i="18"/>
  <c r="C45" i="18"/>
  <c r="C47" i="18"/>
  <c r="C50" i="18"/>
  <c r="C54" i="18"/>
  <c r="C58" i="18"/>
  <c r="C62" i="18"/>
  <c r="C65" i="18"/>
  <c r="C35" i="18"/>
  <c r="C39" i="18"/>
  <c r="C20" i="18"/>
  <c r="C23" i="18"/>
  <c r="C27" i="18"/>
  <c r="C110" i="18"/>
  <c r="C97" i="18"/>
  <c r="C89" i="18"/>
  <c r="C49" i="18"/>
  <c r="C51" i="18"/>
  <c r="C55" i="18"/>
  <c r="C59" i="18"/>
  <c r="C63" i="18"/>
  <c r="C66" i="18"/>
  <c r="C37" i="18"/>
  <c r="C41" i="18"/>
  <c r="C24" i="18"/>
  <c r="C28" i="18"/>
  <c r="C19" i="18"/>
  <c r="C128" i="18"/>
  <c r="C122" i="18"/>
  <c r="C123" i="18"/>
  <c r="C124" i="18"/>
  <c r="C115" i="18"/>
  <c r="C116" i="18"/>
  <c r="C117" i="18"/>
  <c r="C101" i="18"/>
  <c r="C102" i="18"/>
  <c r="C103" i="18"/>
  <c r="C93" i="18"/>
  <c r="C94" i="18"/>
  <c r="C70" i="18"/>
  <c r="C71" i="18"/>
  <c r="E132" i="18" l="1"/>
  <c r="E96" i="18" l="1"/>
  <c r="E117" i="18" l="1"/>
  <c r="E94" i="18"/>
  <c r="E79" i="18"/>
  <c r="E78" i="18"/>
  <c r="E77" i="18"/>
  <c r="E150" i="18" l="1"/>
  <c r="C150" i="18"/>
  <c r="E95" i="18" l="1"/>
  <c r="E69" i="18" l="1"/>
  <c r="E18" i="18"/>
  <c r="C5" i="18"/>
  <c r="E154" i="18"/>
  <c r="E153" i="18"/>
  <c r="E152" i="18"/>
  <c r="E151" i="18"/>
  <c r="E131" i="18"/>
  <c r="E130" i="18"/>
  <c r="E129" i="18"/>
  <c r="E128" i="18"/>
  <c r="E125" i="18"/>
  <c r="E124" i="18"/>
  <c r="E123" i="18"/>
  <c r="E122" i="18"/>
  <c r="E118" i="18"/>
  <c r="E116" i="18"/>
  <c r="E115" i="18"/>
  <c r="E103" i="18"/>
  <c r="E102" i="18"/>
  <c r="E101" i="18"/>
  <c r="E100" i="18"/>
  <c r="E93" i="18"/>
  <c r="E92" i="18"/>
  <c r="E82" i="18"/>
  <c r="E81" i="18"/>
  <c r="E80" i="18"/>
  <c r="E76" i="18"/>
  <c r="E75" i="18"/>
  <c r="E74" i="18"/>
  <c r="E73" i="18"/>
  <c r="E72" i="18"/>
  <c r="E71" i="18"/>
  <c r="E70" i="18"/>
  <c r="C154" i="18"/>
  <c r="C153" i="18"/>
  <c r="C152" i="18"/>
  <c r="C151" i="18"/>
  <c r="C92" i="18"/>
  <c r="C69" i="18"/>
  <c r="C18" i="18"/>
  <c r="C15" i="18"/>
  <c r="X126" i="18"/>
  <c r="W126" i="18"/>
  <c r="V126" i="18"/>
  <c r="A21" i="18" l="1"/>
  <c r="A22" i="18" s="1"/>
  <c r="A23" i="18" s="1"/>
  <c r="A24" i="18" s="1"/>
  <c r="A25" i="18" s="1"/>
  <c r="A26" i="18" s="1"/>
  <c r="A27" i="18" s="1"/>
  <c r="A28" i="18" s="1"/>
  <c r="A29" i="18" s="1"/>
  <c r="A30" i="18" s="1"/>
  <c r="AH6" i="18" l="1"/>
  <c r="AD6" i="18"/>
  <c r="C13" i="19" l="1"/>
  <c r="C14" i="19"/>
  <c r="C15" i="19"/>
  <c r="C16" i="19"/>
  <c r="C12" i="19"/>
  <c r="D16" i="19"/>
  <c r="D13" i="19"/>
  <c r="D15" i="19"/>
  <c r="D14" i="19"/>
  <c r="D12" i="19"/>
  <c r="B16" i="19" l="1"/>
  <c r="B13" i="19"/>
  <c r="B15" i="19"/>
  <c r="B14" i="19"/>
  <c r="B12" i="19"/>
  <c r="V83" i="18" l="1"/>
  <c r="V143" i="18" l="1"/>
  <c r="X112" i="18"/>
  <c r="W112" i="18"/>
  <c r="V112" i="18"/>
  <c r="X148" i="18"/>
  <c r="W148" i="18"/>
  <c r="V148" i="18"/>
  <c r="X98" i="18"/>
  <c r="W98" i="18"/>
  <c r="V98" i="18"/>
  <c r="C3" i="19"/>
  <c r="C4" i="19"/>
  <c r="C5" i="19"/>
  <c r="C6" i="19"/>
  <c r="C7" i="19"/>
  <c r="C8" i="19"/>
  <c r="C9" i="19"/>
  <c r="C10" i="19"/>
  <c r="C11" i="19"/>
  <c r="C2" i="19"/>
  <c r="D6" i="19"/>
  <c r="D11" i="19"/>
  <c r="D9" i="19"/>
  <c r="D8" i="19"/>
  <c r="D7" i="19"/>
  <c r="D2" i="19"/>
  <c r="D3" i="19"/>
  <c r="D5" i="19"/>
  <c r="D10" i="19"/>
  <c r="B10" i="19" l="1"/>
  <c r="B9" i="19"/>
  <c r="B8" i="19"/>
  <c r="B7" i="19"/>
  <c r="B6" i="19"/>
  <c r="B5" i="19"/>
  <c r="B11" i="19"/>
  <c r="B3" i="19"/>
  <c r="B2" i="19"/>
  <c r="D4" i="19"/>
  <c r="B4" i="19" l="1"/>
  <c r="L145" i="18" s="1"/>
  <c r="L141" i="18" l="1"/>
  <c r="K145" i="18"/>
  <c r="M145" i="18" s="1"/>
  <c r="I146" i="18"/>
  <c r="V146" i="18" s="1"/>
  <c r="I147" i="18"/>
  <c r="V147" i="18" s="1"/>
  <c r="L147" i="18"/>
  <c r="L146" i="18"/>
  <c r="K147" i="18"/>
  <c r="K146" i="18"/>
  <c r="AJ19" i="18"/>
  <c r="K140" i="18"/>
  <c r="AH20" i="18"/>
  <c r="AH19" i="18"/>
  <c r="AJ20" i="18"/>
  <c r="I141" i="18"/>
  <c r="K141" i="18"/>
  <c r="I140" i="18"/>
  <c r="L140" i="18"/>
  <c r="F127" i="18"/>
  <c r="I138" i="18"/>
  <c r="V138" i="18" s="1"/>
  <c r="K132" i="18"/>
  <c r="K131" i="18"/>
  <c r="L139" i="18"/>
  <c r="K138" i="18"/>
  <c r="K139" i="18"/>
  <c r="L138" i="18"/>
  <c r="I139" i="18"/>
  <c r="V139" i="18" s="1"/>
  <c r="I110" i="18"/>
  <c r="K110" i="18"/>
  <c r="K137" i="18"/>
  <c r="L110" i="18"/>
  <c r="I137" i="18"/>
  <c r="L137" i="18"/>
  <c r="L142" i="18"/>
  <c r="I142" i="18"/>
  <c r="K142" i="18"/>
  <c r="L135" i="18"/>
  <c r="I135" i="18"/>
  <c r="K135" i="18"/>
  <c r="L134" i="18"/>
  <c r="K136" i="18"/>
  <c r="I136" i="18"/>
  <c r="L136" i="18"/>
  <c r="K134" i="18"/>
  <c r="I134" i="18"/>
  <c r="K133" i="18"/>
  <c r="L132" i="18"/>
  <c r="I133" i="18"/>
  <c r="L133" i="18"/>
  <c r="I132" i="18"/>
  <c r="L107" i="18"/>
  <c r="L109" i="18"/>
  <c r="K108" i="18"/>
  <c r="I44" i="18"/>
  <c r="I61" i="18"/>
  <c r="V61" i="18" s="1"/>
  <c r="K50" i="18"/>
  <c r="L62" i="18"/>
  <c r="K46" i="18"/>
  <c r="K56" i="18"/>
  <c r="L56" i="18"/>
  <c r="I94" i="18"/>
  <c r="I51" i="18"/>
  <c r="K63" i="18"/>
  <c r="I47" i="18"/>
  <c r="V47" i="18" s="1"/>
  <c r="I64" i="18"/>
  <c r="V64" i="18" s="1"/>
  <c r="L52" i="18"/>
  <c r="L48" i="18"/>
  <c r="I54" i="18"/>
  <c r="V54" i="18" s="1"/>
  <c r="I55" i="18"/>
  <c r="V55" i="18" s="1"/>
  <c r="K60" i="18"/>
  <c r="I62" i="18"/>
  <c r="K59" i="18"/>
  <c r="L44" i="18"/>
  <c r="L61" i="18"/>
  <c r="L55" i="18"/>
  <c r="K53" i="18"/>
  <c r="L64" i="18"/>
  <c r="L47" i="18"/>
  <c r="I46" i="18"/>
  <c r="I63" i="18"/>
  <c r="K62" i="18"/>
  <c r="L58" i="18"/>
  <c r="I66" i="18"/>
  <c r="I49" i="18"/>
  <c r="I65" i="18"/>
  <c r="L45" i="18"/>
  <c r="I60" i="18"/>
  <c r="L50" i="18"/>
  <c r="K52" i="18"/>
  <c r="K44" i="18"/>
  <c r="L54" i="18"/>
  <c r="L66" i="18"/>
  <c r="K48" i="18"/>
  <c r="K64" i="18"/>
  <c r="K45" i="18"/>
  <c r="L57" i="18"/>
  <c r="L49" i="18"/>
  <c r="I56" i="18"/>
  <c r="I52" i="18"/>
  <c r="L51" i="18"/>
  <c r="I57" i="18"/>
  <c r="I59" i="18"/>
  <c r="K61" i="18"/>
  <c r="L46" i="18"/>
  <c r="I53" i="18"/>
  <c r="K57" i="18"/>
  <c r="I50" i="18"/>
  <c r="K54" i="18"/>
  <c r="L65" i="18"/>
  <c r="I48" i="18"/>
  <c r="K58" i="18"/>
  <c r="K55" i="18"/>
  <c r="K47" i="18"/>
  <c r="L59" i="18"/>
  <c r="K51" i="18"/>
  <c r="L63" i="18"/>
  <c r="I45" i="18"/>
  <c r="L60" i="18"/>
  <c r="K49" i="18"/>
  <c r="K65" i="18"/>
  <c r="I58" i="18"/>
  <c r="L53" i="18"/>
  <c r="K66" i="18"/>
  <c r="K37" i="18"/>
  <c r="L36" i="18"/>
  <c r="L37" i="18"/>
  <c r="I38" i="18"/>
  <c r="I37" i="18"/>
  <c r="I33" i="18"/>
  <c r="I39" i="18"/>
  <c r="K38" i="18"/>
  <c r="I34" i="18"/>
  <c r="L35" i="18"/>
  <c r="K39" i="18"/>
  <c r="K33" i="18"/>
  <c r="L39" i="18"/>
  <c r="I40" i="18"/>
  <c r="L38" i="18"/>
  <c r="L33" i="18"/>
  <c r="L40" i="18"/>
  <c r="I36" i="18"/>
  <c r="I35" i="18"/>
  <c r="K34" i="18"/>
  <c r="K35" i="18"/>
  <c r="L34" i="18"/>
  <c r="K36" i="18"/>
  <c r="K40" i="18"/>
  <c r="L108" i="18"/>
  <c r="I30" i="18"/>
  <c r="V30" i="18" s="1"/>
  <c r="L26" i="18"/>
  <c r="L19" i="18"/>
  <c r="K87" i="18"/>
  <c r="L87" i="18"/>
  <c r="I89" i="18"/>
  <c r="V89" i="18" s="1"/>
  <c r="K89" i="18"/>
  <c r="L89" i="18"/>
  <c r="I86" i="18"/>
  <c r="V86" i="18" s="1"/>
  <c r="K86" i="18"/>
  <c r="L86" i="18"/>
  <c r="K88" i="18"/>
  <c r="I88" i="18"/>
  <c r="L88" i="18"/>
  <c r="I87" i="18"/>
  <c r="L24" i="18"/>
  <c r="L23" i="18"/>
  <c r="I19" i="18"/>
  <c r="V19" i="18" s="1"/>
  <c r="I20" i="18"/>
  <c r="V20" i="18" s="1"/>
  <c r="I29" i="18"/>
  <c r="V29" i="18" s="1"/>
  <c r="L22" i="18"/>
  <c r="K27" i="18"/>
  <c r="K29" i="18"/>
  <c r="K20" i="18"/>
  <c r="L25" i="18"/>
  <c r="I22" i="18"/>
  <c r="K22" i="18"/>
  <c r="L30" i="18"/>
  <c r="I21" i="18"/>
  <c r="K24" i="18"/>
  <c r="L29" i="18"/>
  <c r="I24" i="18"/>
  <c r="K26" i="18"/>
  <c r="L21" i="18"/>
  <c r="I23" i="18"/>
  <c r="L20" i="18"/>
  <c r="K28" i="18"/>
  <c r="K19" i="18"/>
  <c r="I26" i="18"/>
  <c r="K30" i="18"/>
  <c r="L28" i="18"/>
  <c r="I25" i="18"/>
  <c r="K21" i="18"/>
  <c r="K23" i="18"/>
  <c r="L27" i="18"/>
  <c r="I28" i="18"/>
  <c r="I27" i="18"/>
  <c r="K25" i="18"/>
  <c r="I96" i="18"/>
  <c r="L96" i="18"/>
  <c r="K96" i="18"/>
  <c r="I108" i="18"/>
  <c r="I107" i="18"/>
  <c r="K107" i="18"/>
  <c r="I109" i="18"/>
  <c r="K109" i="18"/>
  <c r="K94" i="18"/>
  <c r="L94" i="18"/>
  <c r="L150" i="18"/>
  <c r="K117" i="18"/>
  <c r="L117" i="18"/>
  <c r="I117" i="18"/>
  <c r="K79" i="18"/>
  <c r="L79" i="18"/>
  <c r="L78" i="18"/>
  <c r="I77" i="18"/>
  <c r="K78" i="18"/>
  <c r="I78" i="18"/>
  <c r="K77" i="18"/>
  <c r="L77" i="18"/>
  <c r="I79" i="18"/>
  <c r="AJ18" i="18"/>
  <c r="AH18" i="18"/>
  <c r="K150" i="18"/>
  <c r="I150" i="18"/>
  <c r="I111" i="18"/>
  <c r="V111" i="18" s="1"/>
  <c r="K111" i="18"/>
  <c r="L111" i="18"/>
  <c r="AH17" i="18"/>
  <c r="I95" i="18"/>
  <c r="L95" i="18"/>
  <c r="K95" i="18"/>
  <c r="L85" i="18"/>
  <c r="I85" i="18"/>
  <c r="K85" i="18"/>
  <c r="AJ16" i="18"/>
  <c r="AH16" i="18"/>
  <c r="AJ17" i="18"/>
  <c r="L72" i="18"/>
  <c r="I72" i="18"/>
  <c r="K72" i="18"/>
  <c r="I124" i="18"/>
  <c r="V124" i="18" s="1"/>
  <c r="I131" i="18"/>
  <c r="L131" i="18"/>
  <c r="G121" i="18"/>
  <c r="L124" i="18"/>
  <c r="I93" i="18"/>
  <c r="V93" i="18" s="1"/>
  <c r="K125" i="18"/>
  <c r="L122" i="18"/>
  <c r="L125" i="18"/>
  <c r="K122" i="18"/>
  <c r="K124" i="18"/>
  <c r="I123" i="18"/>
  <c r="L123" i="18"/>
  <c r="I125" i="18"/>
  <c r="F121" i="18"/>
  <c r="I122" i="18"/>
  <c r="K123" i="18"/>
  <c r="L93" i="18"/>
  <c r="K93" i="18"/>
  <c r="L80" i="18"/>
  <c r="L81" i="18"/>
  <c r="L76" i="18"/>
  <c r="L75" i="18"/>
  <c r="L74" i="18"/>
  <c r="I73" i="18"/>
  <c r="L73" i="18"/>
  <c r="I74" i="18"/>
  <c r="I76" i="18"/>
  <c r="I75" i="18"/>
  <c r="I81" i="18"/>
  <c r="I80" i="18"/>
  <c r="K73" i="18"/>
  <c r="K74" i="18"/>
  <c r="K75" i="18"/>
  <c r="K76" i="18"/>
  <c r="K80" i="18"/>
  <c r="K81" i="18"/>
  <c r="I15" i="18"/>
  <c r="V15" i="18" s="1"/>
  <c r="L103" i="18"/>
  <c r="G149" i="18"/>
  <c r="F149" i="18"/>
  <c r="G127" i="18"/>
  <c r="G114" i="18"/>
  <c r="F114" i="18"/>
  <c r="G113" i="18"/>
  <c r="F113" i="18"/>
  <c r="K5" i="18"/>
  <c r="T4" i="18"/>
  <c r="L102" i="18"/>
  <c r="K102" i="18"/>
  <c r="I102" i="18"/>
  <c r="K103" i="18"/>
  <c r="I103" i="18"/>
  <c r="AI5" i="18"/>
  <c r="AH10" i="18"/>
  <c r="AJ14" i="18"/>
  <c r="AJ12" i="18"/>
  <c r="AJ11" i="18"/>
  <c r="AJ15" i="18"/>
  <c r="AJ13" i="18"/>
  <c r="AJ10" i="18"/>
  <c r="AJ9" i="18"/>
  <c r="AH15" i="18"/>
  <c r="AH14" i="18"/>
  <c r="AH13" i="18"/>
  <c r="AH11" i="18"/>
  <c r="AH12" i="18"/>
  <c r="AH9" i="18"/>
  <c r="L41" i="18"/>
  <c r="K41" i="18"/>
  <c r="I41" i="18"/>
  <c r="L153" i="18"/>
  <c r="L151" i="18"/>
  <c r="L154" i="18"/>
  <c r="L152" i="18"/>
  <c r="L130" i="18"/>
  <c r="L18" i="18"/>
  <c r="L128" i="18"/>
  <c r="L129" i="18"/>
  <c r="L118" i="18"/>
  <c r="L115" i="18"/>
  <c r="L116" i="18"/>
  <c r="L119" i="18"/>
  <c r="L104" i="18"/>
  <c r="L101" i="18"/>
  <c r="L100" i="18"/>
  <c r="L97" i="18"/>
  <c r="L92" i="18"/>
  <c r="L70" i="18"/>
  <c r="L71" i="18"/>
  <c r="L82" i="18"/>
  <c r="L69" i="18"/>
  <c r="L15" i="18"/>
  <c r="K151" i="18"/>
  <c r="K154" i="18"/>
  <c r="K153" i="18"/>
  <c r="K152" i="18"/>
  <c r="K101" i="18"/>
  <c r="K129" i="18"/>
  <c r="K130" i="18"/>
  <c r="K128" i="18"/>
  <c r="K119" i="18"/>
  <c r="K118" i="18"/>
  <c r="K116" i="18"/>
  <c r="K104" i="18"/>
  <c r="K115" i="18"/>
  <c r="K100" i="18"/>
  <c r="K97" i="18"/>
  <c r="K92" i="18"/>
  <c r="K70" i="18"/>
  <c r="K71" i="18"/>
  <c r="K82" i="18"/>
  <c r="K69" i="18"/>
  <c r="K18" i="18"/>
  <c r="I151" i="18"/>
  <c r="I153" i="18"/>
  <c r="K15" i="18"/>
  <c r="I154" i="18"/>
  <c r="I152" i="18"/>
  <c r="I145" i="18"/>
  <c r="I144" i="18" s="1"/>
  <c r="I101" i="18"/>
  <c r="I130" i="18"/>
  <c r="I128" i="18"/>
  <c r="I129" i="18"/>
  <c r="I115" i="18"/>
  <c r="I116" i="18"/>
  <c r="I118" i="18"/>
  <c r="I119" i="18"/>
  <c r="I104" i="18"/>
  <c r="I100" i="18"/>
  <c r="I92" i="18"/>
  <c r="I97" i="18"/>
  <c r="V97" i="18" s="1"/>
  <c r="I70" i="18"/>
  <c r="I82" i="18"/>
  <c r="I71" i="18"/>
  <c r="I69" i="18"/>
  <c r="I18" i="18"/>
  <c r="X12" i="18"/>
  <c r="I121" i="18" l="1"/>
  <c r="G147" i="18"/>
  <c r="M147" i="18"/>
  <c r="N147" i="18"/>
  <c r="F147" i="18"/>
  <c r="F146" i="18"/>
  <c r="M146" i="18"/>
  <c r="R146" i="18"/>
  <c r="R147" i="18"/>
  <c r="W146" i="18"/>
  <c r="X146" i="18" s="1"/>
  <c r="W147" i="18"/>
  <c r="X147" i="18" s="1"/>
  <c r="F138" i="18"/>
  <c r="F142" i="18"/>
  <c r="G141" i="18"/>
  <c r="V141" i="18"/>
  <c r="F141" i="18"/>
  <c r="M141" i="18"/>
  <c r="N141" i="18"/>
  <c r="F140" i="18"/>
  <c r="V140" i="18"/>
  <c r="N140" i="18"/>
  <c r="G140" i="18"/>
  <c r="M140" i="18"/>
  <c r="AK19" i="18"/>
  <c r="AI19" i="18"/>
  <c r="AI20" i="18"/>
  <c r="AK20" i="18"/>
  <c r="R140" i="18"/>
  <c r="R141" i="18"/>
  <c r="W141" i="18"/>
  <c r="W140" i="18"/>
  <c r="I127" i="18"/>
  <c r="I106" i="18"/>
  <c r="AF17" i="18" s="1"/>
  <c r="I114" i="18"/>
  <c r="M139" i="18"/>
  <c r="G139" i="18"/>
  <c r="F139" i="18"/>
  <c r="N139" i="18"/>
  <c r="G138" i="18"/>
  <c r="M138" i="18"/>
  <c r="N138" i="18"/>
  <c r="W139" i="18"/>
  <c r="X139" i="18" s="1"/>
  <c r="R139" i="18"/>
  <c r="F137" i="18"/>
  <c r="V137" i="18"/>
  <c r="W138" i="18"/>
  <c r="X138" i="18" s="1"/>
  <c r="R138" i="18"/>
  <c r="N137" i="18"/>
  <c r="M137" i="18"/>
  <c r="G137" i="18"/>
  <c r="V110" i="18"/>
  <c r="G110" i="18"/>
  <c r="M110" i="18"/>
  <c r="F110" i="18"/>
  <c r="N110" i="18"/>
  <c r="G142" i="18"/>
  <c r="M142" i="18"/>
  <c r="V142" i="18"/>
  <c r="N142" i="18"/>
  <c r="R110" i="18"/>
  <c r="W110" i="18"/>
  <c r="W142" i="18"/>
  <c r="R142" i="18"/>
  <c r="R137" i="18"/>
  <c r="W137" i="18"/>
  <c r="G52" i="18"/>
  <c r="V51" i="18"/>
  <c r="G62" i="18"/>
  <c r="V44" i="18"/>
  <c r="M109" i="18"/>
  <c r="F94" i="18"/>
  <c r="G94" i="18"/>
  <c r="W150" i="18"/>
  <c r="M62" i="18"/>
  <c r="G26" i="18"/>
  <c r="V94" i="18"/>
  <c r="R94" i="18"/>
  <c r="F135" i="18"/>
  <c r="N135" i="18"/>
  <c r="V135" i="18"/>
  <c r="R135" i="18"/>
  <c r="W135" i="18"/>
  <c r="G135" i="18"/>
  <c r="M135" i="18"/>
  <c r="F46" i="18"/>
  <c r="N46" i="18"/>
  <c r="M48" i="18"/>
  <c r="V134" i="18"/>
  <c r="R134" i="18"/>
  <c r="F134" i="18"/>
  <c r="N134" i="18"/>
  <c r="W136" i="18"/>
  <c r="G136" i="18"/>
  <c r="M136" i="18"/>
  <c r="V136" i="18"/>
  <c r="R136" i="18"/>
  <c r="F136" i="18"/>
  <c r="N136" i="18"/>
  <c r="G134" i="18"/>
  <c r="M134" i="18"/>
  <c r="W134" i="18"/>
  <c r="N50" i="18"/>
  <c r="N108" i="18"/>
  <c r="F108" i="18"/>
  <c r="F63" i="18"/>
  <c r="V132" i="18"/>
  <c r="R132" i="18"/>
  <c r="M133" i="18"/>
  <c r="W133" i="18"/>
  <c r="G133" i="18"/>
  <c r="R133" i="18"/>
  <c r="V133" i="18"/>
  <c r="W132" i="18"/>
  <c r="G132" i="18"/>
  <c r="M132" i="18"/>
  <c r="N132" i="18"/>
  <c r="F132" i="18"/>
  <c r="N133" i="18"/>
  <c r="F133" i="18"/>
  <c r="M56" i="18"/>
  <c r="G56" i="18"/>
  <c r="N56" i="18"/>
  <c r="V62" i="18"/>
  <c r="I43" i="18"/>
  <c r="M108" i="18"/>
  <c r="F60" i="18"/>
  <c r="F56" i="18"/>
  <c r="N44" i="18"/>
  <c r="F44" i="18"/>
  <c r="R49" i="18"/>
  <c r="V49" i="18"/>
  <c r="W60" i="18"/>
  <c r="M60" i="18"/>
  <c r="G60" i="18"/>
  <c r="N58" i="18"/>
  <c r="F58" i="18"/>
  <c r="R47" i="18"/>
  <c r="F52" i="18"/>
  <c r="N52" i="18"/>
  <c r="G47" i="18"/>
  <c r="W47" i="18"/>
  <c r="X47" i="18" s="1"/>
  <c r="M47" i="18"/>
  <c r="V45" i="18"/>
  <c r="R45" i="18"/>
  <c r="V48" i="18"/>
  <c r="R48" i="18"/>
  <c r="V50" i="18"/>
  <c r="R50" i="18"/>
  <c r="R61" i="18"/>
  <c r="N60" i="18"/>
  <c r="G48" i="18"/>
  <c r="F66" i="18"/>
  <c r="N66" i="18"/>
  <c r="M63" i="18"/>
  <c r="W63" i="18"/>
  <c r="G63" i="18"/>
  <c r="G65" i="18"/>
  <c r="M65" i="18"/>
  <c r="W65" i="18"/>
  <c r="F57" i="18"/>
  <c r="N57" i="18"/>
  <c r="M52" i="18"/>
  <c r="W48" i="18"/>
  <c r="W62" i="18"/>
  <c r="M53" i="18"/>
  <c r="W53" i="18"/>
  <c r="G53" i="18"/>
  <c r="N51" i="18"/>
  <c r="F51" i="18"/>
  <c r="N54" i="18"/>
  <c r="F54" i="18"/>
  <c r="V53" i="18"/>
  <c r="R53" i="18"/>
  <c r="W56" i="18"/>
  <c r="M46" i="18"/>
  <c r="W46" i="18"/>
  <c r="G46" i="18"/>
  <c r="N63" i="18"/>
  <c r="W52" i="18"/>
  <c r="F50" i="18"/>
  <c r="V58" i="18"/>
  <c r="R58" i="18"/>
  <c r="G59" i="18"/>
  <c r="M59" i="18"/>
  <c r="W59" i="18"/>
  <c r="F61" i="18"/>
  <c r="N61" i="18"/>
  <c r="V57" i="18"/>
  <c r="R57" i="18"/>
  <c r="W50" i="18"/>
  <c r="G50" i="18"/>
  <c r="M50" i="18"/>
  <c r="M64" i="18"/>
  <c r="W64" i="18"/>
  <c r="X64" i="18" s="1"/>
  <c r="G64" i="18"/>
  <c r="F47" i="18"/>
  <c r="N47" i="18"/>
  <c r="M51" i="18"/>
  <c r="W51" i="18"/>
  <c r="G51" i="18"/>
  <c r="F45" i="18"/>
  <c r="N45" i="18"/>
  <c r="V60" i="18"/>
  <c r="R60" i="18"/>
  <c r="V66" i="18"/>
  <c r="R66" i="18"/>
  <c r="N53" i="18"/>
  <c r="F53" i="18"/>
  <c r="N65" i="18"/>
  <c r="F65" i="18"/>
  <c r="R59" i="18"/>
  <c r="V59" i="18"/>
  <c r="R52" i="18"/>
  <c r="V52" i="18"/>
  <c r="N64" i="18"/>
  <c r="F64" i="18"/>
  <c r="M58" i="18"/>
  <c r="W58" i="18"/>
  <c r="G58" i="18"/>
  <c r="W55" i="18"/>
  <c r="X55" i="18" s="1"/>
  <c r="G55" i="18"/>
  <c r="M55" i="18"/>
  <c r="R44" i="18"/>
  <c r="F49" i="18"/>
  <c r="N49" i="18"/>
  <c r="R55" i="18"/>
  <c r="R51" i="18"/>
  <c r="R56" i="18"/>
  <c r="V56" i="18"/>
  <c r="N48" i="18"/>
  <c r="F48" i="18"/>
  <c r="W45" i="18"/>
  <c r="M45" i="18"/>
  <c r="G45" i="18"/>
  <c r="F62" i="18"/>
  <c r="N62" i="18"/>
  <c r="M61" i="18"/>
  <c r="W61" i="18"/>
  <c r="X61" i="18" s="1"/>
  <c r="G61" i="18"/>
  <c r="G49" i="18"/>
  <c r="M49" i="18"/>
  <c r="W49" i="18"/>
  <c r="W66" i="18"/>
  <c r="G66" i="18"/>
  <c r="M66" i="18"/>
  <c r="V63" i="18"/>
  <c r="R63" i="18"/>
  <c r="M44" i="18"/>
  <c r="G44" i="18"/>
  <c r="W44" i="18"/>
  <c r="R64" i="18"/>
  <c r="R62" i="18"/>
  <c r="F55" i="18"/>
  <c r="N55" i="18"/>
  <c r="R54" i="18"/>
  <c r="G57" i="18"/>
  <c r="W57" i="18"/>
  <c r="M57" i="18"/>
  <c r="M54" i="18"/>
  <c r="W54" i="18"/>
  <c r="X54" i="18" s="1"/>
  <c r="G54" i="18"/>
  <c r="R65" i="18"/>
  <c r="V65" i="18"/>
  <c r="R46" i="18"/>
  <c r="V46" i="18"/>
  <c r="F59" i="18"/>
  <c r="N59" i="18"/>
  <c r="G19" i="18"/>
  <c r="M34" i="18"/>
  <c r="W34" i="18"/>
  <c r="G34" i="18"/>
  <c r="N39" i="18"/>
  <c r="F39" i="18"/>
  <c r="W35" i="18"/>
  <c r="G35" i="18"/>
  <c r="M35" i="18"/>
  <c r="F34" i="18"/>
  <c r="N34" i="18"/>
  <c r="V34" i="18"/>
  <c r="R34" i="18"/>
  <c r="F35" i="18"/>
  <c r="N35" i="18"/>
  <c r="M19" i="18"/>
  <c r="F38" i="18"/>
  <c r="N38" i="18"/>
  <c r="V35" i="18"/>
  <c r="R35" i="18"/>
  <c r="R39" i="18"/>
  <c r="V39" i="18"/>
  <c r="V36" i="18"/>
  <c r="R36" i="18"/>
  <c r="V33" i="18"/>
  <c r="R33" i="18"/>
  <c r="W40" i="18"/>
  <c r="G40" i="18"/>
  <c r="M40" i="18"/>
  <c r="R37" i="18"/>
  <c r="V37" i="18"/>
  <c r="W33" i="18"/>
  <c r="G33" i="18"/>
  <c r="M33" i="18"/>
  <c r="V38" i="18"/>
  <c r="R38" i="18"/>
  <c r="M38" i="18"/>
  <c r="W38" i="18"/>
  <c r="G38" i="18"/>
  <c r="G37" i="18"/>
  <c r="W37" i="18"/>
  <c r="M37" i="18"/>
  <c r="F40" i="18"/>
  <c r="N40" i="18"/>
  <c r="V40" i="18"/>
  <c r="R40" i="18"/>
  <c r="M36" i="18"/>
  <c r="W36" i="18"/>
  <c r="G36" i="18"/>
  <c r="N36" i="18"/>
  <c r="F36" i="18"/>
  <c r="G39" i="18"/>
  <c r="M39" i="18"/>
  <c r="W39" i="18"/>
  <c r="N33" i="18"/>
  <c r="F33" i="18"/>
  <c r="F37" i="18"/>
  <c r="N37" i="18"/>
  <c r="F89" i="18"/>
  <c r="M23" i="18"/>
  <c r="N89" i="18"/>
  <c r="M87" i="18"/>
  <c r="F29" i="18"/>
  <c r="G89" i="18"/>
  <c r="M89" i="18"/>
  <c r="N87" i="18"/>
  <c r="R86" i="18"/>
  <c r="R87" i="18"/>
  <c r="V87" i="18"/>
  <c r="M88" i="18"/>
  <c r="W88" i="18"/>
  <c r="G88" i="18"/>
  <c r="W89" i="18"/>
  <c r="X89" i="18" s="1"/>
  <c r="V88" i="18"/>
  <c r="R88" i="18"/>
  <c r="F88" i="18"/>
  <c r="N88" i="18"/>
  <c r="M86" i="18"/>
  <c r="W86" i="18"/>
  <c r="X86" i="18" s="1"/>
  <c r="G86" i="18"/>
  <c r="N86" i="18"/>
  <c r="F86" i="18"/>
  <c r="W87" i="18"/>
  <c r="N29" i="18"/>
  <c r="R89" i="18"/>
  <c r="F87" i="18"/>
  <c r="G87" i="18"/>
  <c r="G22" i="18"/>
  <c r="M22" i="18"/>
  <c r="F24" i="18"/>
  <c r="N24" i="18"/>
  <c r="F20" i="18"/>
  <c r="N20" i="18"/>
  <c r="R20" i="18"/>
  <c r="M20" i="18"/>
  <c r="W20" i="18"/>
  <c r="X20" i="18" s="1"/>
  <c r="G20" i="18"/>
  <c r="R19" i="18"/>
  <c r="W23" i="18"/>
  <c r="V28" i="18"/>
  <c r="R28" i="18"/>
  <c r="N19" i="18"/>
  <c r="F19" i="18"/>
  <c r="V23" i="18"/>
  <c r="R23" i="18"/>
  <c r="G23" i="18"/>
  <c r="M21" i="18"/>
  <c r="W21" i="18"/>
  <c r="G21" i="18"/>
  <c r="W19" i="18"/>
  <c r="X19" i="18" s="1"/>
  <c r="F26" i="18"/>
  <c r="N26" i="18"/>
  <c r="W24" i="18"/>
  <c r="F21" i="18"/>
  <c r="N21" i="18"/>
  <c r="F28" i="18"/>
  <c r="N28" i="18"/>
  <c r="V24" i="18"/>
  <c r="R24" i="18"/>
  <c r="M24" i="18"/>
  <c r="V25" i="18"/>
  <c r="R25" i="18"/>
  <c r="W26" i="18"/>
  <c r="M27" i="18"/>
  <c r="W27" i="18"/>
  <c r="G27" i="18"/>
  <c r="G28" i="18"/>
  <c r="M28" i="18"/>
  <c r="W28" i="18"/>
  <c r="V21" i="18"/>
  <c r="R21" i="18"/>
  <c r="G24" i="18"/>
  <c r="M26" i="18"/>
  <c r="N23" i="18"/>
  <c r="F23" i="18"/>
  <c r="F30" i="18"/>
  <c r="N30" i="18"/>
  <c r="W22" i="18"/>
  <c r="M29" i="18"/>
  <c r="W29" i="18"/>
  <c r="X29" i="18" s="1"/>
  <c r="G29" i="18"/>
  <c r="G30" i="18"/>
  <c r="M30" i="18"/>
  <c r="W30" i="18"/>
  <c r="X30" i="18" s="1"/>
  <c r="M25" i="18"/>
  <c r="W25" i="18"/>
  <c r="G25" i="18"/>
  <c r="R29" i="18"/>
  <c r="V26" i="18"/>
  <c r="R26" i="18"/>
  <c r="F22" i="18"/>
  <c r="N22" i="18"/>
  <c r="N25" i="18"/>
  <c r="F25" i="18"/>
  <c r="V22" i="18"/>
  <c r="R22" i="18"/>
  <c r="N27" i="18"/>
  <c r="V27" i="18"/>
  <c r="R27" i="18"/>
  <c r="R30" i="18"/>
  <c r="F27" i="18"/>
  <c r="F96" i="18"/>
  <c r="N96" i="18"/>
  <c r="W96" i="18"/>
  <c r="M96" i="18"/>
  <c r="G96" i="18"/>
  <c r="V96" i="18"/>
  <c r="R96" i="18"/>
  <c r="V109" i="18"/>
  <c r="R109" i="18"/>
  <c r="F107" i="18"/>
  <c r="N107" i="18"/>
  <c r="R108" i="18"/>
  <c r="V108" i="18"/>
  <c r="V107" i="18"/>
  <c r="R107" i="18"/>
  <c r="M107" i="18"/>
  <c r="G107" i="18"/>
  <c r="W107" i="18"/>
  <c r="G108" i="18"/>
  <c r="W108" i="18"/>
  <c r="G109" i="18"/>
  <c r="F109" i="18"/>
  <c r="N109" i="18"/>
  <c r="W109" i="18"/>
  <c r="N94" i="18"/>
  <c r="M94" i="18"/>
  <c r="V117" i="18"/>
  <c r="R117" i="18"/>
  <c r="W117" i="18"/>
  <c r="G117" i="18"/>
  <c r="M117" i="18"/>
  <c r="F117" i="18"/>
  <c r="N117" i="18"/>
  <c r="W94" i="18"/>
  <c r="I84" i="18"/>
  <c r="V84" i="18" s="1"/>
  <c r="V79" i="18"/>
  <c r="R79" i="18"/>
  <c r="W77" i="18"/>
  <c r="G77" i="18"/>
  <c r="M77" i="18"/>
  <c r="F77" i="18"/>
  <c r="N77" i="18"/>
  <c r="R78" i="18"/>
  <c r="V78" i="18"/>
  <c r="N78" i="18"/>
  <c r="F78" i="18"/>
  <c r="V77" i="18"/>
  <c r="R77" i="18"/>
  <c r="M78" i="18"/>
  <c r="W78" i="18"/>
  <c r="G78" i="18"/>
  <c r="W79" i="18"/>
  <c r="G79" i="18"/>
  <c r="M79" i="18"/>
  <c r="F79" i="18"/>
  <c r="N79" i="18"/>
  <c r="AI18" i="18"/>
  <c r="AK18" i="18"/>
  <c r="N150" i="18"/>
  <c r="F150" i="18"/>
  <c r="M150" i="18"/>
  <c r="I149" i="18"/>
  <c r="AF20" i="18" s="1"/>
  <c r="R111" i="18"/>
  <c r="V150" i="18"/>
  <c r="R150" i="18"/>
  <c r="G150" i="18"/>
  <c r="K106" i="18"/>
  <c r="L106" i="18"/>
  <c r="AD17" i="18" s="1"/>
  <c r="F111" i="18"/>
  <c r="L99" i="18"/>
  <c r="K99" i="18"/>
  <c r="I99" i="18"/>
  <c r="M111" i="18"/>
  <c r="W111" i="18"/>
  <c r="X111" i="18" s="1"/>
  <c r="G111" i="18"/>
  <c r="N111" i="18"/>
  <c r="F95" i="18"/>
  <c r="N95" i="18"/>
  <c r="W95" i="18"/>
  <c r="G95" i="18"/>
  <c r="M95" i="18"/>
  <c r="V95" i="18"/>
  <c r="R95" i="18"/>
  <c r="N85" i="18"/>
  <c r="F85" i="18"/>
  <c r="V85" i="18"/>
  <c r="R85" i="18"/>
  <c r="W85" i="18"/>
  <c r="G85" i="18"/>
  <c r="M85" i="18"/>
  <c r="AK17" i="18"/>
  <c r="AI16" i="18"/>
  <c r="AK16" i="18"/>
  <c r="AI17" i="18"/>
  <c r="G124" i="18"/>
  <c r="H121" i="18"/>
  <c r="F72" i="18"/>
  <c r="N72" i="18"/>
  <c r="V72" i="18"/>
  <c r="R72" i="18"/>
  <c r="W72" i="18"/>
  <c r="G72" i="18"/>
  <c r="M72" i="18"/>
  <c r="F125" i="18"/>
  <c r="M124" i="18"/>
  <c r="M122" i="18"/>
  <c r="W131" i="18"/>
  <c r="M131" i="18"/>
  <c r="G131" i="18"/>
  <c r="V131" i="18"/>
  <c r="R131" i="18"/>
  <c r="F131" i="18"/>
  <c r="N131" i="18"/>
  <c r="W143" i="18"/>
  <c r="X143" i="18" s="1"/>
  <c r="L121" i="18"/>
  <c r="N125" i="18"/>
  <c r="W122" i="18"/>
  <c r="V123" i="18"/>
  <c r="R123" i="18"/>
  <c r="W124" i="18"/>
  <c r="X124" i="18" s="1"/>
  <c r="N124" i="18"/>
  <c r="F124" i="18"/>
  <c r="V125" i="18"/>
  <c r="R125" i="18"/>
  <c r="R124" i="18"/>
  <c r="F123" i="18"/>
  <c r="N123" i="18"/>
  <c r="N122" i="18"/>
  <c r="F122" i="18"/>
  <c r="V122" i="18"/>
  <c r="R122" i="18"/>
  <c r="W123" i="18"/>
  <c r="G123" i="18"/>
  <c r="M123" i="18"/>
  <c r="W125" i="18"/>
  <c r="G125" i="18"/>
  <c r="M125" i="18"/>
  <c r="G122" i="18"/>
  <c r="K121" i="18"/>
  <c r="R93" i="18"/>
  <c r="F93" i="18"/>
  <c r="N93" i="18"/>
  <c r="W93" i="18"/>
  <c r="X93" i="18" s="1"/>
  <c r="G93" i="18"/>
  <c r="M93" i="18"/>
  <c r="R75" i="18"/>
  <c r="V75" i="18"/>
  <c r="V76" i="18"/>
  <c r="R76" i="18"/>
  <c r="F81" i="18"/>
  <c r="N81" i="18"/>
  <c r="V74" i="18"/>
  <c r="R74" i="18"/>
  <c r="N80" i="18"/>
  <c r="F80" i="18"/>
  <c r="W73" i="18"/>
  <c r="G73" i="18"/>
  <c r="M73" i="18"/>
  <c r="F76" i="18"/>
  <c r="N76" i="18"/>
  <c r="V73" i="18"/>
  <c r="R73" i="18"/>
  <c r="N75" i="18"/>
  <c r="F75" i="18"/>
  <c r="W74" i="18"/>
  <c r="G74" i="18"/>
  <c r="M74" i="18"/>
  <c r="F74" i="18"/>
  <c r="N74" i="18"/>
  <c r="G75" i="18"/>
  <c r="M75" i="18"/>
  <c r="W75" i="18"/>
  <c r="W76" i="18"/>
  <c r="G76" i="18"/>
  <c r="M76" i="18"/>
  <c r="F73" i="18"/>
  <c r="N73" i="18"/>
  <c r="W81" i="18"/>
  <c r="G81" i="18"/>
  <c r="M81" i="18"/>
  <c r="V80" i="18"/>
  <c r="R80" i="18"/>
  <c r="M80" i="18"/>
  <c r="G80" i="18"/>
  <c r="W80" i="18"/>
  <c r="V81" i="18"/>
  <c r="R81" i="18"/>
  <c r="W103" i="18"/>
  <c r="G152" i="18"/>
  <c r="G154" i="18"/>
  <c r="G151" i="18"/>
  <c r="G153" i="18"/>
  <c r="R102" i="18"/>
  <c r="V102" i="18"/>
  <c r="N102" i="18"/>
  <c r="F102" i="18"/>
  <c r="G102" i="18"/>
  <c r="W102" i="18"/>
  <c r="M102" i="18"/>
  <c r="R103" i="18"/>
  <c r="V103" i="18"/>
  <c r="F103" i="18"/>
  <c r="N103" i="18"/>
  <c r="M103" i="18"/>
  <c r="G103" i="18"/>
  <c r="T5" i="18"/>
  <c r="AE5" i="18"/>
  <c r="R41" i="18"/>
  <c r="V41" i="18"/>
  <c r="N41" i="18"/>
  <c r="F41" i="18"/>
  <c r="G41" i="18"/>
  <c r="M41" i="18"/>
  <c r="W41" i="18"/>
  <c r="V18" i="18"/>
  <c r="R18" i="18"/>
  <c r="F18" i="18"/>
  <c r="N18" i="18"/>
  <c r="G18" i="18"/>
  <c r="W18" i="18"/>
  <c r="M18" i="18"/>
  <c r="G15" i="18"/>
  <c r="M15" i="18"/>
  <c r="L32" i="18"/>
  <c r="AD11" i="18" s="1"/>
  <c r="AH8" i="18"/>
  <c r="L17" i="18"/>
  <c r="AD10" i="18" s="1"/>
  <c r="K17" i="18"/>
  <c r="I17" i="18"/>
  <c r="AJ8" i="18"/>
  <c r="G145" i="18"/>
  <c r="K32" i="18"/>
  <c r="I32" i="18"/>
  <c r="V118" i="18"/>
  <c r="R118" i="18"/>
  <c r="F118" i="18"/>
  <c r="N118" i="18"/>
  <c r="V119" i="18"/>
  <c r="R119" i="18"/>
  <c r="F119" i="18"/>
  <c r="N119" i="18"/>
  <c r="W119" i="18"/>
  <c r="G119" i="18"/>
  <c r="M119" i="18"/>
  <c r="M118" i="18"/>
  <c r="G118" i="18"/>
  <c r="W118" i="18"/>
  <c r="AI10" i="18"/>
  <c r="AK14" i="18"/>
  <c r="AK11" i="18"/>
  <c r="AK15" i="18"/>
  <c r="AK12" i="18"/>
  <c r="AK10" i="18"/>
  <c r="AK13" i="18"/>
  <c r="AK9" i="18"/>
  <c r="AI9" i="18"/>
  <c r="I14" i="18"/>
  <c r="AF9" i="18" s="1"/>
  <c r="R15" i="18"/>
  <c r="AI12" i="18"/>
  <c r="AI13" i="18"/>
  <c r="AI15" i="18"/>
  <c r="AI14" i="18"/>
  <c r="AI11" i="18"/>
  <c r="F92" i="18"/>
  <c r="F115" i="18"/>
  <c r="N115" i="18"/>
  <c r="V115" i="18"/>
  <c r="R115" i="18"/>
  <c r="M115" i="18"/>
  <c r="W115" i="18"/>
  <c r="G115" i="18"/>
  <c r="W116" i="18"/>
  <c r="M116" i="18"/>
  <c r="G116" i="18"/>
  <c r="N116" i="18"/>
  <c r="F116" i="18"/>
  <c r="V116" i="18"/>
  <c r="R116" i="18"/>
  <c r="F101" i="18"/>
  <c r="G128" i="18"/>
  <c r="F128" i="18"/>
  <c r="G130" i="18"/>
  <c r="G129" i="18"/>
  <c r="G100" i="18"/>
  <c r="F129" i="18"/>
  <c r="F130" i="18"/>
  <c r="G104" i="18"/>
  <c r="M101" i="18"/>
  <c r="G101" i="18"/>
  <c r="F104" i="18"/>
  <c r="F100" i="18"/>
  <c r="G71" i="18"/>
  <c r="F97" i="18"/>
  <c r="G92" i="18"/>
  <c r="F69" i="18"/>
  <c r="G97" i="18"/>
  <c r="F71" i="18"/>
  <c r="F82" i="18"/>
  <c r="F70" i="18"/>
  <c r="G70" i="18"/>
  <c r="G69" i="18"/>
  <c r="G82" i="18"/>
  <c r="M128" i="18"/>
  <c r="M130" i="18"/>
  <c r="L14" i="18"/>
  <c r="AD9" i="18" s="1"/>
  <c r="K14" i="18"/>
  <c r="N101" i="18"/>
  <c r="N128" i="18"/>
  <c r="M97" i="18"/>
  <c r="K114" i="18"/>
  <c r="M69" i="18"/>
  <c r="M129" i="18"/>
  <c r="W97" i="18"/>
  <c r="X97" i="18" s="1"/>
  <c r="M82" i="18"/>
  <c r="I68" i="18"/>
  <c r="L144" i="18"/>
  <c r="AD19" i="18" s="1"/>
  <c r="L91" i="18"/>
  <c r="M154" i="18"/>
  <c r="M71" i="18"/>
  <c r="K127" i="18"/>
  <c r="N151" i="18"/>
  <c r="M70" i="18"/>
  <c r="AF19" i="18"/>
  <c r="I91" i="18"/>
  <c r="N130" i="18"/>
  <c r="N97" i="18"/>
  <c r="K91" i="18"/>
  <c r="L149" i="18"/>
  <c r="AD20" i="18" s="1"/>
  <c r="N152" i="18"/>
  <c r="M153" i="18"/>
  <c r="N145" i="18"/>
  <c r="K43" i="18"/>
  <c r="N129" i="18"/>
  <c r="L43" i="18"/>
  <c r="M152" i="18"/>
  <c r="N153" i="18"/>
  <c r="N71" i="18"/>
  <c r="L114" i="18"/>
  <c r="AD18" i="18" s="1"/>
  <c r="N82" i="18"/>
  <c r="M104" i="18"/>
  <c r="K68" i="18"/>
  <c r="L68" i="18"/>
  <c r="M151" i="18"/>
  <c r="M92" i="18"/>
  <c r="N69" i="18"/>
  <c r="N100" i="18"/>
  <c r="L127" i="18"/>
  <c r="N104" i="18"/>
  <c r="N92" i="18"/>
  <c r="N15" i="18"/>
  <c r="N154" i="18"/>
  <c r="K149" i="18"/>
  <c r="M100" i="18"/>
  <c r="N70" i="18"/>
  <c r="K84" i="18"/>
  <c r="L84" i="18"/>
  <c r="AG19" i="18" l="1"/>
  <c r="AM19" i="18" s="1"/>
  <c r="H147" i="18"/>
  <c r="H142" i="18"/>
  <c r="H138" i="18"/>
  <c r="S146" i="18"/>
  <c r="T146" i="18" s="1"/>
  <c r="AE19" i="18"/>
  <c r="AL19" i="18" s="1"/>
  <c r="S147" i="18"/>
  <c r="T147" i="18" s="1"/>
  <c r="X140" i="18"/>
  <c r="H141" i="18"/>
  <c r="H140" i="18"/>
  <c r="H110" i="18"/>
  <c r="AE20" i="18"/>
  <c r="AL20" i="18" s="1"/>
  <c r="H137" i="18"/>
  <c r="X141" i="18"/>
  <c r="AG20" i="18"/>
  <c r="AM20" i="18" s="1"/>
  <c r="X137" i="18"/>
  <c r="S140" i="18"/>
  <c r="T140" i="18" s="1"/>
  <c r="S141" i="18"/>
  <c r="T141" i="18" s="1"/>
  <c r="X110" i="18"/>
  <c r="X142" i="18"/>
  <c r="H139" i="18"/>
  <c r="S139" i="18"/>
  <c r="T139" i="18" s="1"/>
  <c r="S138" i="18"/>
  <c r="T138" i="18" s="1"/>
  <c r="S110" i="18"/>
  <c r="T110" i="18" s="1"/>
  <c r="H135" i="18"/>
  <c r="S142" i="18"/>
  <c r="T142" i="18" s="1"/>
  <c r="S137" i="18"/>
  <c r="T137" i="18" s="1"/>
  <c r="H52" i="18"/>
  <c r="X51" i="18"/>
  <c r="H26" i="18"/>
  <c r="S94" i="18"/>
  <c r="T94" i="18" s="1"/>
  <c r="H62" i="18"/>
  <c r="X44" i="18"/>
  <c r="H94" i="18"/>
  <c r="X150" i="18"/>
  <c r="X94" i="18"/>
  <c r="S135" i="18"/>
  <c r="T135" i="18" s="1"/>
  <c r="X135" i="18"/>
  <c r="H46" i="18"/>
  <c r="H136" i="18"/>
  <c r="H134" i="18"/>
  <c r="S134" i="18"/>
  <c r="T134" i="18" s="1"/>
  <c r="X134" i="18"/>
  <c r="S136" i="18"/>
  <c r="T136" i="18" s="1"/>
  <c r="X136" i="18"/>
  <c r="H108" i="18"/>
  <c r="X132" i="18"/>
  <c r="H63" i="18"/>
  <c r="S133" i="18"/>
  <c r="T133" i="18" s="1"/>
  <c r="H133" i="18"/>
  <c r="S132" i="18"/>
  <c r="T132" i="18" s="1"/>
  <c r="H132" i="18"/>
  <c r="X133" i="18"/>
  <c r="X46" i="18"/>
  <c r="H58" i="18"/>
  <c r="H56" i="18"/>
  <c r="X62" i="18"/>
  <c r="H66" i="18"/>
  <c r="H49" i="18"/>
  <c r="H57" i="18"/>
  <c r="H60" i="18"/>
  <c r="H45" i="18"/>
  <c r="X63" i="18"/>
  <c r="X60" i="18"/>
  <c r="H51" i="18"/>
  <c r="X48" i="18"/>
  <c r="H54" i="18"/>
  <c r="H50" i="18"/>
  <c r="H44" i="18"/>
  <c r="X66" i="18"/>
  <c r="S47" i="18"/>
  <c r="T47" i="18" s="1"/>
  <c r="X52" i="18"/>
  <c r="S46" i="18"/>
  <c r="T46" i="18" s="1"/>
  <c r="H55" i="18"/>
  <c r="S54" i="18"/>
  <c r="T54" i="18" s="1"/>
  <c r="H61" i="18"/>
  <c r="X56" i="18"/>
  <c r="S52" i="18"/>
  <c r="T52" i="18" s="1"/>
  <c r="H59" i="18"/>
  <c r="S48" i="18"/>
  <c r="T48" i="18" s="1"/>
  <c r="S49" i="18"/>
  <c r="T49" i="18" s="1"/>
  <c r="X65" i="18"/>
  <c r="S56" i="18"/>
  <c r="T56" i="18" s="1"/>
  <c r="S60" i="18"/>
  <c r="T60" i="18" s="1"/>
  <c r="S53" i="18"/>
  <c r="T53" i="18" s="1"/>
  <c r="X59" i="18"/>
  <c r="S58" i="18"/>
  <c r="T58" i="18" s="1"/>
  <c r="X53" i="18"/>
  <c r="S65" i="18"/>
  <c r="T65" i="18" s="1"/>
  <c r="S59" i="18"/>
  <c r="T59" i="18" s="1"/>
  <c r="X58" i="18"/>
  <c r="S45" i="18"/>
  <c r="T45" i="18" s="1"/>
  <c r="S62" i="18"/>
  <c r="T62" i="18" s="1"/>
  <c r="S51" i="18"/>
  <c r="T51" i="18" s="1"/>
  <c r="H48" i="18"/>
  <c r="X45" i="18"/>
  <c r="X38" i="18"/>
  <c r="S64" i="18"/>
  <c r="T64" i="18" s="1"/>
  <c r="S55" i="18"/>
  <c r="T55" i="18" s="1"/>
  <c r="S57" i="18"/>
  <c r="T57" i="18" s="1"/>
  <c r="X57" i="18"/>
  <c r="H65" i="18"/>
  <c r="S61" i="18"/>
  <c r="T61" i="18" s="1"/>
  <c r="S44" i="18"/>
  <c r="T44" i="18" s="1"/>
  <c r="H64" i="18"/>
  <c r="H53" i="18"/>
  <c r="H47" i="18"/>
  <c r="S50" i="18"/>
  <c r="T50" i="18" s="1"/>
  <c r="S63" i="18"/>
  <c r="T63" i="18" s="1"/>
  <c r="S66" i="18"/>
  <c r="T66" i="18" s="1"/>
  <c r="X50" i="18"/>
  <c r="X49" i="18"/>
  <c r="H19" i="18"/>
  <c r="X40" i="18"/>
  <c r="X34" i="18"/>
  <c r="X35" i="18"/>
  <c r="H39" i="18"/>
  <c r="X36" i="18"/>
  <c r="H35" i="18"/>
  <c r="H40" i="18"/>
  <c r="H38" i="18"/>
  <c r="H34" i="18"/>
  <c r="H89" i="18"/>
  <c r="S33" i="18"/>
  <c r="T33" i="18" s="1"/>
  <c r="X33" i="18"/>
  <c r="H33" i="18"/>
  <c r="S36" i="18"/>
  <c r="T36" i="18" s="1"/>
  <c r="H36" i="18"/>
  <c r="H37" i="18"/>
  <c r="X37" i="18"/>
  <c r="X39" i="18"/>
  <c r="S37" i="18"/>
  <c r="T37" i="18" s="1"/>
  <c r="S39" i="18"/>
  <c r="T39" i="18" s="1"/>
  <c r="S34" i="18"/>
  <c r="T34" i="18" s="1"/>
  <c r="S40" i="18"/>
  <c r="T40" i="18" s="1"/>
  <c r="S35" i="18"/>
  <c r="T35" i="18" s="1"/>
  <c r="S38" i="18"/>
  <c r="T38" i="18" s="1"/>
  <c r="X27" i="18"/>
  <c r="H87" i="18"/>
  <c r="H29" i="18"/>
  <c r="X25" i="18"/>
  <c r="H86" i="18"/>
  <c r="H88" i="18"/>
  <c r="S88" i="18"/>
  <c r="T88" i="18" s="1"/>
  <c r="X88" i="18"/>
  <c r="X87" i="18"/>
  <c r="H22" i="18"/>
  <c r="S87" i="18"/>
  <c r="T87" i="18" s="1"/>
  <c r="S86" i="18"/>
  <c r="T86" i="18" s="1"/>
  <c r="S89" i="18"/>
  <c r="T89" i="18" s="1"/>
  <c r="X24" i="18"/>
  <c r="H23" i="18"/>
  <c r="H24" i="18"/>
  <c r="H21" i="18"/>
  <c r="H30" i="18"/>
  <c r="X21" i="18"/>
  <c r="S19" i="18"/>
  <c r="T19" i="18" s="1"/>
  <c r="X26" i="18"/>
  <c r="S24" i="18"/>
  <c r="T24" i="18" s="1"/>
  <c r="S21" i="18"/>
  <c r="T21" i="18" s="1"/>
  <c r="S27" i="18"/>
  <c r="T27" i="18" s="1"/>
  <c r="H20" i="18"/>
  <c r="S29" i="18"/>
  <c r="T29" i="18" s="1"/>
  <c r="S23" i="18"/>
  <c r="T23" i="18" s="1"/>
  <c r="H25" i="18"/>
  <c r="X23" i="18"/>
  <c r="S22" i="18"/>
  <c r="T22" i="18" s="1"/>
  <c r="S25" i="18"/>
  <c r="T25" i="18" s="1"/>
  <c r="S20" i="18"/>
  <c r="T20" i="18" s="1"/>
  <c r="X22" i="18"/>
  <c r="H28" i="18"/>
  <c r="S26" i="18"/>
  <c r="T26" i="18" s="1"/>
  <c r="H27" i="18"/>
  <c r="S28" i="18"/>
  <c r="T28" i="18" s="1"/>
  <c r="S30" i="18"/>
  <c r="T30" i="18" s="1"/>
  <c r="X28" i="18"/>
  <c r="S96" i="18"/>
  <c r="T96" i="18" s="1"/>
  <c r="X96" i="18"/>
  <c r="H96" i="18"/>
  <c r="X107" i="18"/>
  <c r="H107" i="18"/>
  <c r="H109" i="18"/>
  <c r="S107" i="18"/>
  <c r="T107" i="18" s="1"/>
  <c r="X108" i="18"/>
  <c r="S108" i="18"/>
  <c r="T108" i="18" s="1"/>
  <c r="S109" i="18"/>
  <c r="T109" i="18" s="1"/>
  <c r="X109" i="18"/>
  <c r="X117" i="18"/>
  <c r="H117" i="18"/>
  <c r="S117" i="18"/>
  <c r="T117" i="18" s="1"/>
  <c r="H79" i="18"/>
  <c r="H78" i="18"/>
  <c r="X77" i="18"/>
  <c r="X78" i="18"/>
  <c r="S78" i="18"/>
  <c r="T78" i="18" s="1"/>
  <c r="S77" i="18"/>
  <c r="T77" i="18" s="1"/>
  <c r="H77" i="18"/>
  <c r="S79" i="18"/>
  <c r="T79" i="18" s="1"/>
  <c r="X79" i="18"/>
  <c r="AE18" i="18"/>
  <c r="AL18" i="18" s="1"/>
  <c r="AF18" i="18"/>
  <c r="AG18" i="18" s="1"/>
  <c r="AM18" i="18" s="1"/>
  <c r="H150" i="18"/>
  <c r="S150" i="18"/>
  <c r="T150" i="18" s="1"/>
  <c r="N106" i="18"/>
  <c r="M106" i="18"/>
  <c r="H111" i="18"/>
  <c r="AD16" i="18"/>
  <c r="AE16" i="18" s="1"/>
  <c r="AL16" i="18" s="1"/>
  <c r="M99" i="18"/>
  <c r="S126" i="18"/>
  <c r="T126" i="18" s="1"/>
  <c r="R106" i="18"/>
  <c r="S106" i="18" s="1"/>
  <c r="T106" i="18" s="1"/>
  <c r="AF16" i="18"/>
  <c r="AG16" i="18" s="1"/>
  <c r="AM16" i="18" s="1"/>
  <c r="S111" i="18"/>
  <c r="T111" i="18" s="1"/>
  <c r="X95" i="18"/>
  <c r="S95" i="18"/>
  <c r="T95" i="18" s="1"/>
  <c r="H95" i="18"/>
  <c r="H85" i="18"/>
  <c r="X85" i="18"/>
  <c r="S85" i="18"/>
  <c r="T85" i="18" s="1"/>
  <c r="AG17" i="18"/>
  <c r="AM17" i="18" s="1"/>
  <c r="AE17" i="18"/>
  <c r="AL17" i="18" s="1"/>
  <c r="H124" i="18"/>
  <c r="H72" i="18"/>
  <c r="S72" i="18"/>
  <c r="T72" i="18" s="1"/>
  <c r="X131" i="18"/>
  <c r="X72" i="18"/>
  <c r="H125" i="18"/>
  <c r="S131" i="18"/>
  <c r="T131" i="18" s="1"/>
  <c r="H131" i="18"/>
  <c r="N121" i="18"/>
  <c r="H122" i="18"/>
  <c r="H123" i="18"/>
  <c r="S122" i="18"/>
  <c r="T122" i="18" s="1"/>
  <c r="X123" i="18"/>
  <c r="X122" i="18"/>
  <c r="S125" i="18"/>
  <c r="T125" i="18" s="1"/>
  <c r="X125" i="18"/>
  <c r="R121" i="18"/>
  <c r="S121" i="18" s="1"/>
  <c r="T121" i="18" s="1"/>
  <c r="S123" i="18"/>
  <c r="T123" i="18" s="1"/>
  <c r="M121" i="18"/>
  <c r="S124" i="18"/>
  <c r="T124" i="18" s="1"/>
  <c r="H76" i="18"/>
  <c r="H93" i="18"/>
  <c r="S93" i="18"/>
  <c r="T93" i="18" s="1"/>
  <c r="H80" i="18"/>
  <c r="X74" i="18"/>
  <c r="X81" i="18"/>
  <c r="X73" i="18"/>
  <c r="S81" i="18"/>
  <c r="T81" i="18" s="1"/>
  <c r="H74" i="18"/>
  <c r="S80" i="18"/>
  <c r="T80" i="18" s="1"/>
  <c r="H73" i="18"/>
  <c r="X80" i="18"/>
  <c r="S76" i="18"/>
  <c r="T76" i="18" s="1"/>
  <c r="X76" i="18"/>
  <c r="X75" i="18"/>
  <c r="S75" i="18"/>
  <c r="T75" i="18" s="1"/>
  <c r="H81" i="18"/>
  <c r="H75" i="18"/>
  <c r="S73" i="18"/>
  <c r="T73" i="18" s="1"/>
  <c r="S74" i="18"/>
  <c r="T74" i="18" s="1"/>
  <c r="X103" i="18"/>
  <c r="I113" i="18"/>
  <c r="X102" i="18"/>
  <c r="S102" i="18"/>
  <c r="T102" i="18" s="1"/>
  <c r="H102" i="18"/>
  <c r="H103" i="18"/>
  <c r="S103" i="18"/>
  <c r="T103" i="18" s="1"/>
  <c r="S116" i="18"/>
  <c r="T116" i="18" s="1"/>
  <c r="S118" i="18"/>
  <c r="T118" i="18" s="1"/>
  <c r="S115" i="18"/>
  <c r="T115" i="18" s="1"/>
  <c r="S15" i="18"/>
  <c r="T15" i="18" s="1"/>
  <c r="S18" i="18"/>
  <c r="T18" i="18" s="1"/>
  <c r="S90" i="18"/>
  <c r="T90" i="18" s="1"/>
  <c r="S119" i="18"/>
  <c r="T119" i="18" s="1"/>
  <c r="S11" i="18"/>
  <c r="T11" i="18" s="1"/>
  <c r="S120" i="18"/>
  <c r="T120" i="18" s="1"/>
  <c r="S112" i="18"/>
  <c r="T112" i="18" s="1"/>
  <c r="S143" i="18"/>
  <c r="T143" i="18" s="1"/>
  <c r="S42" i="18"/>
  <c r="T42" i="18" s="1"/>
  <c r="S67" i="18"/>
  <c r="T67" i="18" s="1"/>
  <c r="S31" i="18"/>
  <c r="T31" i="18" s="1"/>
  <c r="S155" i="18"/>
  <c r="T155" i="18" s="1"/>
  <c r="S98" i="18"/>
  <c r="T98" i="18" s="1"/>
  <c r="S41" i="18"/>
  <c r="T41" i="18" s="1"/>
  <c r="S83" i="18"/>
  <c r="T83" i="18" s="1"/>
  <c r="S148" i="18"/>
  <c r="T148" i="18" s="1"/>
  <c r="H41" i="18"/>
  <c r="X41" i="18"/>
  <c r="X18" i="18"/>
  <c r="H18" i="18"/>
  <c r="N32" i="18"/>
  <c r="AE10" i="18"/>
  <c r="AL10" i="18" s="1"/>
  <c r="R17" i="18"/>
  <c r="S17" i="18" s="1"/>
  <c r="T17" i="18" s="1"/>
  <c r="N17" i="18"/>
  <c r="M17" i="18"/>
  <c r="AF10" i="18"/>
  <c r="AG10" i="18" s="1"/>
  <c r="AI8" i="18"/>
  <c r="AK8" i="18"/>
  <c r="H118" i="18"/>
  <c r="AG9" i="18"/>
  <c r="AM9" i="18" s="1"/>
  <c r="AF13" i="18"/>
  <c r="AG13" i="18" s="1"/>
  <c r="AD12" i="18"/>
  <c r="AD13" i="18"/>
  <c r="AE13" i="18" s="1"/>
  <c r="AF11" i="18"/>
  <c r="AG11" i="18" s="1"/>
  <c r="AE11" i="18"/>
  <c r="AF15" i="18"/>
  <c r="AG15" i="18" s="1"/>
  <c r="R32" i="18"/>
  <c r="S32" i="18" s="1"/>
  <c r="T32" i="18" s="1"/>
  <c r="M32" i="18"/>
  <c r="AD15" i="18"/>
  <c r="AE15" i="18" s="1"/>
  <c r="AF14" i="18"/>
  <c r="AG14" i="18" s="1"/>
  <c r="AD14" i="18"/>
  <c r="AE14" i="18" s="1"/>
  <c r="X118" i="18"/>
  <c r="H119" i="18"/>
  <c r="X119" i="18"/>
  <c r="AF12" i="18"/>
  <c r="AG12" i="18" s="1"/>
  <c r="AE9" i="18"/>
  <c r="H115" i="18"/>
  <c r="X115" i="18"/>
  <c r="X116" i="18"/>
  <c r="H116" i="18"/>
  <c r="H145" i="18"/>
  <c r="H97" i="18"/>
  <c r="N14" i="18"/>
  <c r="N149" i="18"/>
  <c r="L113" i="18"/>
  <c r="K12" i="18"/>
  <c r="I12" i="18"/>
  <c r="L12" i="18"/>
  <c r="H70" i="18"/>
  <c r="H92" i="18"/>
  <c r="H82" i="18"/>
  <c r="H69" i="18"/>
  <c r="H71" i="18"/>
  <c r="H101" i="18"/>
  <c r="H104" i="18"/>
  <c r="H128" i="18"/>
  <c r="H152" i="18"/>
  <c r="H129" i="18"/>
  <c r="H153" i="18"/>
  <c r="H130" i="18"/>
  <c r="H154" i="18"/>
  <c r="H151" i="18"/>
  <c r="AE12" i="18" l="1"/>
  <c r="AE8" i="18" s="1"/>
  <c r="AD8" i="18"/>
  <c r="AF8" i="18"/>
  <c r="AL9" i="18"/>
  <c r="AG8" i="18"/>
  <c r="G13" i="4"/>
  <c r="G53" i="4"/>
  <c r="A50" i="4"/>
  <c r="A46" i="4"/>
  <c r="A47" i="4" s="1"/>
  <c r="A48" i="4" s="1"/>
  <c r="A43" i="4"/>
  <c r="A40" i="4"/>
  <c r="A41" i="4" s="1"/>
  <c r="A42" i="4" s="1"/>
  <c r="A44" i="4" s="1"/>
  <c r="A45" i="4" s="1"/>
  <c r="A37" i="4"/>
  <c r="A34" i="4"/>
  <c r="A35" i="4" s="1"/>
  <c r="A36" i="4" s="1"/>
  <c r="A38" i="4" s="1"/>
  <c r="A39" i="4" s="1"/>
  <c r="A31" i="4"/>
  <c r="A28" i="4"/>
  <c r="A29" i="4" s="1"/>
  <c r="A30" i="4" s="1"/>
  <c r="A32" i="4" s="1"/>
  <c r="A33" i="4" s="1"/>
  <c r="A25" i="4"/>
  <c r="A22" i="4"/>
  <c r="A23" i="4" s="1"/>
  <c r="A24" i="4" s="1"/>
  <c r="A26" i="4" s="1"/>
  <c r="A27" i="4" s="1"/>
  <c r="A19" i="4"/>
  <c r="A16" i="4"/>
  <c r="A17" i="4" s="1"/>
  <c r="A18" i="4" s="1"/>
  <c r="A20" i="4" s="1"/>
  <c r="A21" i="4" s="1"/>
  <c r="A59" i="4"/>
  <c r="A58" i="4"/>
  <c r="A61" i="4" s="1"/>
  <c r="A57" i="4"/>
  <c r="A60" i="4" s="1"/>
  <c r="A56" i="4"/>
  <c r="A49" i="4"/>
  <c r="G6" i="4"/>
  <c r="K42" i="4" s="1"/>
  <c r="G6" i="3"/>
  <c r="V128" i="18" l="1"/>
  <c r="V101" i="18"/>
  <c r="V104" i="18"/>
  <c r="V152" i="18"/>
  <c r="V153" i="18"/>
  <c r="V69" i="18"/>
  <c r="V154" i="18"/>
  <c r="V71" i="18"/>
  <c r="V151" i="18"/>
  <c r="V82" i="18"/>
  <c r="V129" i="18"/>
  <c r="V92" i="18"/>
  <c r="V130" i="18"/>
  <c r="V70" i="18"/>
  <c r="V100" i="18"/>
  <c r="V145" i="18"/>
  <c r="V113" i="18"/>
  <c r="W82" i="18"/>
  <c r="W92" i="18"/>
  <c r="W154" i="18"/>
  <c r="W130" i="18"/>
  <c r="W71" i="18"/>
  <c r="W70" i="18"/>
  <c r="W145" i="18"/>
  <c r="W100" i="18"/>
  <c r="W69" i="18"/>
  <c r="W128" i="18"/>
  <c r="W153" i="18"/>
  <c r="W129" i="18"/>
  <c r="W151" i="18"/>
  <c r="W152" i="18"/>
  <c r="W101" i="18"/>
  <c r="W104" i="18"/>
  <c r="I10" i="18"/>
  <c r="W15" i="18"/>
  <c r="X15" i="18" s="1"/>
  <c r="H100" i="18"/>
  <c r="M14" i="18"/>
  <c r="H15" i="18"/>
  <c r="H114" i="18"/>
  <c r="H127" i="18"/>
  <c r="H113" i="18"/>
  <c r="H149" i="18"/>
  <c r="K50" i="4"/>
  <c r="I20" i="4"/>
  <c r="J39" i="4"/>
  <c r="K25" i="4"/>
  <c r="K26" i="4"/>
  <c r="J44" i="4"/>
  <c r="I50" i="4"/>
  <c r="J50" i="4"/>
  <c r="K34" i="4"/>
  <c r="J16" i="4"/>
  <c r="K21" i="4"/>
  <c r="K35" i="4"/>
  <c r="I44" i="4"/>
  <c r="K17" i="4"/>
  <c r="I31" i="4"/>
  <c r="J36" i="4"/>
  <c r="J40" i="4"/>
  <c r="K45" i="4"/>
  <c r="K27" i="4"/>
  <c r="J31" i="4"/>
  <c r="I36" i="4"/>
  <c r="K41" i="4"/>
  <c r="K18" i="4"/>
  <c r="K23" i="4"/>
  <c r="J32" i="4"/>
  <c r="J23" i="4"/>
  <c r="K28" i="4"/>
  <c r="K33" i="4"/>
  <c r="K37" i="4"/>
  <c r="I47" i="4"/>
  <c r="K19" i="4"/>
  <c r="J24" i="4"/>
  <c r="I28" i="4"/>
  <c r="J47" i="4"/>
  <c r="K20" i="4"/>
  <c r="K29" i="4"/>
  <c r="I39" i="4"/>
  <c r="K43" i="4"/>
  <c r="J48" i="4"/>
  <c r="I17" i="4"/>
  <c r="J20" i="4"/>
  <c r="I25" i="4"/>
  <c r="J28" i="4"/>
  <c r="K31" i="4"/>
  <c r="I33" i="4"/>
  <c r="K39" i="4"/>
  <c r="I41" i="4"/>
  <c r="K47" i="4"/>
  <c r="J17" i="4"/>
  <c r="I22" i="4"/>
  <c r="J25" i="4"/>
  <c r="I30" i="4"/>
  <c r="J33" i="4"/>
  <c r="K36" i="4"/>
  <c r="I38" i="4"/>
  <c r="J41" i="4"/>
  <c r="K44" i="4"/>
  <c r="I46" i="4"/>
  <c r="I19" i="4"/>
  <c r="J22" i="4"/>
  <c r="I27" i="4"/>
  <c r="J30" i="4"/>
  <c r="I35" i="4"/>
  <c r="J38" i="4"/>
  <c r="I43" i="4"/>
  <c r="J46" i="4"/>
  <c r="I16" i="4"/>
  <c r="J19" i="4"/>
  <c r="K22" i="4"/>
  <c r="I24" i="4"/>
  <c r="J27" i="4"/>
  <c r="K30" i="4"/>
  <c r="I32" i="4"/>
  <c r="J35" i="4"/>
  <c r="K38" i="4"/>
  <c r="I40" i="4"/>
  <c r="J43" i="4"/>
  <c r="K46" i="4"/>
  <c r="I48" i="4"/>
  <c r="I21" i="4"/>
  <c r="I29" i="4"/>
  <c r="I37" i="4"/>
  <c r="I45" i="4"/>
  <c r="K16" i="4"/>
  <c r="I18" i="4"/>
  <c r="J21" i="4"/>
  <c r="K24" i="4"/>
  <c r="I26" i="4"/>
  <c r="J29" i="4"/>
  <c r="K32" i="4"/>
  <c r="I34" i="4"/>
  <c r="J37" i="4"/>
  <c r="K40" i="4"/>
  <c r="I42" i="4"/>
  <c r="J45" i="4"/>
  <c r="K48" i="4"/>
  <c r="J18" i="4"/>
  <c r="I23" i="4"/>
  <c r="J26" i="4"/>
  <c r="J34" i="4"/>
  <c r="J42" i="4"/>
  <c r="J52" i="4"/>
  <c r="I57" i="4"/>
  <c r="K62" i="4"/>
  <c r="K55" i="4"/>
  <c r="K60" i="4"/>
  <c r="J56" i="4"/>
  <c r="A51" i="4"/>
  <c r="A52" i="4" s="1"/>
  <c r="K58" i="4"/>
  <c r="I51" i="4"/>
  <c r="K15" i="4"/>
  <c r="K51" i="4"/>
  <c r="I49" i="4"/>
  <c r="J15" i="4"/>
  <c r="I52" i="4"/>
  <c r="J55" i="4"/>
  <c r="K49" i="4"/>
  <c r="I58" i="4"/>
  <c r="I15" i="4"/>
  <c r="J58" i="4"/>
  <c r="K56" i="4"/>
  <c r="K61" i="4"/>
  <c r="J61" i="4"/>
  <c r="I61" i="4"/>
  <c r="J49" i="4"/>
  <c r="K52" i="4"/>
  <c r="J59" i="4"/>
  <c r="I56" i="4"/>
  <c r="J62" i="4"/>
  <c r="J60" i="4"/>
  <c r="I60" i="4"/>
  <c r="J51" i="4"/>
  <c r="I55" i="4"/>
  <c r="K59" i="4"/>
  <c r="I62" i="4"/>
  <c r="K57" i="4"/>
  <c r="J57" i="4"/>
  <c r="I59" i="4"/>
  <c r="G228" i="3"/>
  <c r="G224" i="3"/>
  <c r="G192" i="3"/>
  <c r="G191" i="3"/>
  <c r="G173" i="3"/>
  <c r="G96" i="3"/>
  <c r="G95" i="3"/>
  <c r="Q146" i="18" l="1"/>
  <c r="Q147" i="18"/>
  <c r="Q141" i="18"/>
  <c r="Q140" i="18"/>
  <c r="Q139" i="18"/>
  <c r="Q110" i="18"/>
  <c r="Q138" i="18"/>
  <c r="Q142" i="18"/>
  <c r="Q137" i="18"/>
  <c r="Q135" i="18"/>
  <c r="Q136" i="18"/>
  <c r="Q134" i="18"/>
  <c r="Q132" i="18"/>
  <c r="Q133" i="18"/>
  <c r="Q54" i="18"/>
  <c r="Q51" i="18"/>
  <c r="Q62" i="18"/>
  <c r="Q64" i="18"/>
  <c r="Q55" i="18"/>
  <c r="Q44" i="18"/>
  <c r="Q61" i="18"/>
  <c r="Q47" i="18"/>
  <c r="Q66" i="18"/>
  <c r="Q50" i="18"/>
  <c r="Q57" i="18"/>
  <c r="Q45" i="18"/>
  <c r="Q56" i="18"/>
  <c r="Q65" i="18"/>
  <c r="Q49" i="18"/>
  <c r="Q48" i="18"/>
  <c r="Q58" i="18"/>
  <c r="Q59" i="18"/>
  <c r="Q52" i="18"/>
  <c r="Q53" i="18"/>
  <c r="Q60" i="18"/>
  <c r="Q63" i="18"/>
  <c r="Q46" i="18"/>
  <c r="Q34" i="18"/>
  <c r="Q38" i="18"/>
  <c r="Q35" i="18"/>
  <c r="Q40" i="18"/>
  <c r="Q39" i="18"/>
  <c r="Q37" i="18"/>
  <c r="Q36" i="18"/>
  <c r="Q33" i="18"/>
  <c r="Q86" i="18"/>
  <c r="Q89" i="18"/>
  <c r="Q87" i="18"/>
  <c r="Q88" i="18"/>
  <c r="Q96" i="18"/>
  <c r="Q30" i="18"/>
  <c r="Q29" i="18"/>
  <c r="Q20" i="18"/>
  <c r="Q19" i="18"/>
  <c r="Q24" i="18"/>
  <c r="Q28" i="18"/>
  <c r="Q26" i="18"/>
  <c r="Q22" i="18"/>
  <c r="Q25" i="18"/>
  <c r="Q23" i="18"/>
  <c r="Q27" i="18"/>
  <c r="Q21" i="18"/>
  <c r="Q109" i="18"/>
  <c r="Q108" i="18"/>
  <c r="Q107" i="18"/>
  <c r="Q94" i="18"/>
  <c r="Q117" i="18"/>
  <c r="Q79" i="18"/>
  <c r="Q77" i="18"/>
  <c r="Q78" i="18"/>
  <c r="Q150" i="18"/>
  <c r="Q111" i="18"/>
  <c r="Q106" i="18"/>
  <c r="Q85" i="18"/>
  <c r="Q95" i="18"/>
  <c r="Q131" i="18"/>
  <c r="Q72" i="18"/>
  <c r="Q93" i="18"/>
  <c r="Q124" i="18"/>
  <c r="Q123" i="18"/>
  <c r="Q125" i="18"/>
  <c r="Q122" i="18"/>
  <c r="Q121" i="18"/>
  <c r="Q75" i="18"/>
  <c r="Q81" i="18"/>
  <c r="Q74" i="18"/>
  <c r="Q73" i="18"/>
  <c r="Q80" i="18"/>
  <c r="Q76" i="18"/>
  <c r="Q103" i="18"/>
  <c r="Q102" i="18"/>
  <c r="Q41" i="18"/>
  <c r="Q18" i="18"/>
  <c r="Q17" i="18"/>
  <c r="Q32" i="18"/>
  <c r="Q119" i="18"/>
  <c r="Q118" i="18"/>
  <c r="R10" i="18"/>
  <c r="S10" i="18" s="1"/>
  <c r="Q115" i="18"/>
  <c r="Q116" i="18"/>
  <c r="Q97" i="18"/>
  <c r="Q14" i="18"/>
  <c r="Q70" i="18"/>
  <c r="Q82" i="18"/>
  <c r="Q15" i="18"/>
  <c r="Q128" i="18"/>
  <c r="Q152" i="18"/>
  <c r="Q149" i="18"/>
  <c r="Q104" i="18"/>
  <c r="Q91" i="18"/>
  <c r="Q153" i="18"/>
  <c r="Q127" i="18"/>
  <c r="Q129" i="18"/>
  <c r="Q145" i="18"/>
  <c r="Q144" i="18"/>
  <c r="Q130" i="18"/>
  <c r="Q154" i="18"/>
  <c r="Q43" i="18"/>
  <c r="Q100" i="18"/>
  <c r="Q101" i="18"/>
  <c r="Q68" i="18"/>
  <c r="Q71" i="18"/>
  <c r="X82" i="18"/>
  <c r="X69" i="18"/>
  <c r="X128" i="18"/>
  <c r="Q151" i="18"/>
  <c r="Q99" i="18"/>
  <c r="X70" i="18"/>
  <c r="X129" i="18"/>
  <c r="X153" i="18"/>
  <c r="X101" i="18"/>
  <c r="Q92" i="18"/>
  <c r="Q69" i="18"/>
  <c r="Q84" i="18"/>
  <c r="X92" i="18"/>
  <c r="X151" i="18"/>
  <c r="X71" i="18"/>
  <c r="X152" i="18"/>
  <c r="X145" i="18"/>
  <c r="X100" i="18"/>
  <c r="X130" i="18"/>
  <c r="X154" i="18"/>
  <c r="X104" i="18"/>
  <c r="N91" i="18"/>
  <c r="N127" i="18"/>
  <c r="M149" i="18"/>
  <c r="J228" i="3"/>
  <c r="I228" i="3"/>
  <c r="K228" i="3"/>
  <c r="J95" i="3"/>
  <c r="K95" i="3"/>
  <c r="I95" i="3"/>
  <c r="K191" i="3"/>
  <c r="J191" i="3"/>
  <c r="I191" i="3"/>
  <c r="I96" i="3"/>
  <c r="J96" i="3"/>
  <c r="K96" i="3"/>
  <c r="I192" i="3"/>
  <c r="K192" i="3"/>
  <c r="J192" i="3"/>
  <c r="J224" i="3"/>
  <c r="I224" i="3"/>
  <c r="K224" i="3"/>
  <c r="A220" i="3"/>
  <c r="A221" i="3" s="1"/>
  <c r="A217" i="3"/>
  <c r="A218" i="3" s="1"/>
  <c r="A219" i="3" s="1"/>
  <c r="A209" i="3"/>
  <c r="A210" i="3" s="1"/>
  <c r="A211" i="3" s="1"/>
  <c r="A205" i="3"/>
  <c r="A206" i="3" s="1"/>
  <c r="A202" i="3"/>
  <c r="A203" i="3" s="1"/>
  <c r="A197" i="3"/>
  <c r="A198" i="3" s="1"/>
  <c r="A199" i="3" s="1"/>
  <c r="A195" i="3"/>
  <c r="A196" i="3" s="1"/>
  <c r="A188" i="3"/>
  <c r="A189" i="3" s="1"/>
  <c r="A179" i="3"/>
  <c r="A178" i="3"/>
  <c r="A182" i="3" s="1"/>
  <c r="A177" i="3"/>
  <c r="A181" i="3" s="1"/>
  <c r="A185" i="3" s="1"/>
  <c r="A186" i="3" s="1"/>
  <c r="A187" i="3" s="1"/>
  <c r="A176" i="3"/>
  <c r="A180" i="3" s="1"/>
  <c r="A166" i="3"/>
  <c r="A167" i="3" s="1"/>
  <c r="A170" i="3" s="1"/>
  <c r="A171" i="3" s="1"/>
  <c r="A164" i="3"/>
  <c r="A165" i="3" s="1"/>
  <c r="A168" i="3" s="1"/>
  <c r="A169" i="3" s="1"/>
  <c r="A152" i="3"/>
  <c r="A153" i="3" s="1"/>
  <c r="A154" i="3" s="1"/>
  <c r="A155" i="3" s="1"/>
  <c r="A156" i="3" s="1"/>
  <c r="A157" i="3" s="1"/>
  <c r="A158" i="3" s="1"/>
  <c r="A159" i="3" s="1"/>
  <c r="A99" i="3"/>
  <c r="A100" i="3" s="1"/>
  <c r="A101" i="3" s="1"/>
  <c r="A102" i="3" s="1"/>
  <c r="A84" i="3"/>
  <c r="A85" i="3" s="1"/>
  <c r="A86" i="3" s="1"/>
  <c r="A80" i="3"/>
  <c r="A81" i="3" s="1"/>
  <c r="A82" i="3" s="1"/>
  <c r="A83" i="3" s="1"/>
  <c r="A73" i="3"/>
  <c r="A74" i="3" s="1"/>
  <c r="A75" i="3" s="1"/>
  <c r="A76" i="3" s="1"/>
  <c r="A122" i="3" s="1"/>
  <c r="A123" i="3" s="1"/>
  <c r="A124" i="3" s="1"/>
  <c r="A125" i="3" s="1"/>
  <c r="A126" i="3" s="1"/>
  <c r="A127" i="3" s="1"/>
  <c r="A128" i="3" s="1"/>
  <c r="A129" i="3" s="1"/>
  <c r="A65" i="3"/>
  <c r="A66" i="3" s="1"/>
  <c r="A67" i="3" s="1"/>
  <c r="A68" i="3" s="1"/>
  <c r="A57" i="3"/>
  <c r="A58" i="3" s="1"/>
  <c r="A59" i="3" s="1"/>
  <c r="A60" i="3" s="1"/>
  <c r="A55" i="3"/>
  <c r="A56" i="3" s="1"/>
  <c r="A51" i="3"/>
  <c r="A52" i="3" s="1"/>
  <c r="A53" i="3" s="1"/>
  <c r="A54" i="3" s="1"/>
  <c r="A47" i="3"/>
  <c r="A48" i="3" s="1"/>
  <c r="A49" i="3" s="1"/>
  <c r="A50" i="3" s="1"/>
  <c r="A43" i="3"/>
  <c r="A44" i="3" s="1"/>
  <c r="A45" i="3" s="1"/>
  <c r="A46" i="3" s="1"/>
  <c r="A34" i="3"/>
  <c r="A77" i="3" s="1"/>
  <c r="A24" i="3"/>
  <c r="A25" i="3" s="1"/>
  <c r="A26" i="3" s="1"/>
  <c r="A20" i="3"/>
  <c r="A17" i="3"/>
  <c r="N84" i="18" l="1"/>
  <c r="M91" i="18"/>
  <c r="W113" i="18"/>
  <c r="X113" i="18" s="1"/>
  <c r="N114" i="18"/>
  <c r="M114" i="18"/>
  <c r="A222" i="3"/>
  <c r="A226" i="3" s="1"/>
  <c r="A227" i="3" s="1"/>
  <c r="A223" i="3"/>
  <c r="A18" i="3"/>
  <c r="A19" i="3" s="1"/>
  <c r="A21" i="3" s="1"/>
  <c r="A22" i="3" s="1"/>
  <c r="A61" i="3"/>
  <c r="A107" i="3" s="1"/>
  <c r="A108" i="3" s="1"/>
  <c r="A109" i="3" s="1"/>
  <c r="A110" i="3" s="1"/>
  <c r="A111" i="3" s="1"/>
  <c r="A112" i="3" s="1"/>
  <c r="A113" i="3" s="1"/>
  <c r="A114" i="3" s="1"/>
  <c r="A35" i="3"/>
  <c r="A36" i="3" s="1"/>
  <c r="A37" i="3" s="1"/>
  <c r="A38" i="3" s="1"/>
  <c r="A39" i="3" s="1"/>
  <c r="A87" i="3"/>
  <c r="A89" i="3" s="1"/>
  <c r="A91" i="3" s="1"/>
  <c r="A88" i="3"/>
  <c r="A27" i="3"/>
  <c r="A69" i="3"/>
  <c r="A70" i="3" s="1"/>
  <c r="A71" i="3" s="1"/>
  <c r="A72" i="3" s="1"/>
  <c r="A191" i="3"/>
  <c r="A190" i="3"/>
  <c r="A192" i="3" s="1"/>
  <c r="A204" i="3"/>
  <c r="A212" i="3"/>
  <c r="A213" i="3" s="1"/>
  <c r="A224" i="3" l="1"/>
  <c r="M127" i="18"/>
  <c r="M84" i="18"/>
  <c r="N68" i="18"/>
  <c r="Q12" i="18"/>
  <c r="Q114" i="18"/>
  <c r="Q10" i="18"/>
  <c r="Q113" i="18"/>
  <c r="A62" i="3"/>
  <c r="A63" i="3" s="1"/>
  <c r="A64" i="3" s="1"/>
  <c r="A137" i="3"/>
  <c r="A138" i="3" s="1"/>
  <c r="A139" i="3" s="1"/>
  <c r="A140" i="3" s="1"/>
  <c r="A141" i="3" s="1"/>
  <c r="A142" i="3" s="1"/>
  <c r="A143" i="3" s="1"/>
  <c r="A144" i="3" s="1"/>
  <c r="A92" i="3"/>
  <c r="A93" i="3" s="1"/>
  <c r="A94" i="3" s="1"/>
  <c r="A214" i="3"/>
  <c r="A216" i="3" s="1"/>
  <c r="A215" i="3"/>
  <c r="M68" i="18" l="1"/>
  <c r="M43" i="18" l="1"/>
  <c r="N43" i="18"/>
  <c r="M12" i="18" l="1"/>
  <c r="G120" i="3" l="1"/>
  <c r="G57" i="3"/>
  <c r="G71" i="3"/>
  <c r="G59" i="3"/>
  <c r="G30" i="3"/>
  <c r="G20" i="3"/>
  <c r="G51" i="3"/>
  <c r="G65" i="3"/>
  <c r="G69" i="3"/>
  <c r="G90" i="3"/>
  <c r="G53" i="3"/>
  <c r="G176" i="3"/>
  <c r="G170" i="3"/>
  <c r="G67" i="3"/>
  <c r="G28" i="3"/>
  <c r="G146" i="3"/>
  <c r="G132" i="3"/>
  <c r="G178" i="3"/>
  <c r="G29" i="3"/>
  <c r="G141" i="3"/>
  <c r="G127" i="3"/>
  <c r="G113" i="3"/>
  <c r="G198" i="3"/>
  <c r="G171" i="3"/>
  <c r="G83" i="3"/>
  <c r="G110" i="3"/>
  <c r="G149" i="3"/>
  <c r="G226" i="3"/>
  <c r="G77" i="3"/>
  <c r="G44" i="3"/>
  <c r="G148" i="3"/>
  <c r="G134" i="3"/>
  <c r="G199" i="3"/>
  <c r="G166" i="3"/>
  <c r="G177" i="3"/>
  <c r="G143" i="3"/>
  <c r="G129" i="3"/>
  <c r="G115" i="3"/>
  <c r="G119" i="3"/>
  <c r="G58" i="3"/>
  <c r="G180" i="3"/>
  <c r="G81" i="3"/>
  <c r="G138" i="3"/>
  <c r="G43" i="3"/>
  <c r="G61" i="3"/>
  <c r="G140" i="3"/>
  <c r="G54" i="3"/>
  <c r="G46" i="3"/>
  <c r="G150" i="3"/>
  <c r="G136" i="3"/>
  <c r="G31" i="3"/>
  <c r="G66" i="3"/>
  <c r="G40" i="3"/>
  <c r="G145" i="3"/>
  <c r="G131" i="3"/>
  <c r="G117" i="3"/>
  <c r="G74" i="3"/>
  <c r="G60" i="3"/>
  <c r="G182" i="3"/>
  <c r="G124" i="3"/>
  <c r="G72" i="3"/>
  <c r="G135" i="3"/>
  <c r="G64" i="3"/>
  <c r="G112" i="3"/>
  <c r="G151" i="3"/>
  <c r="G107" i="3"/>
  <c r="G104" i="3"/>
  <c r="G122" i="3"/>
  <c r="G108" i="3"/>
  <c r="G73" i="3"/>
  <c r="G70" i="3"/>
  <c r="G63" i="3"/>
  <c r="G147" i="3"/>
  <c r="G133" i="3"/>
  <c r="G181" i="3"/>
  <c r="G76" i="3"/>
  <c r="G62" i="3"/>
  <c r="G118" i="3"/>
  <c r="G75" i="3"/>
  <c r="G126" i="3"/>
  <c r="G45" i="3"/>
  <c r="G47" i="3"/>
  <c r="G142" i="3"/>
  <c r="G128" i="3"/>
  <c r="G114" i="3"/>
  <c r="G48" i="3"/>
  <c r="G137" i="3"/>
  <c r="G123" i="3"/>
  <c r="G109" i="3"/>
  <c r="G52" i="3"/>
  <c r="G49" i="3"/>
  <c r="G88" i="3"/>
  <c r="G82" i="3"/>
  <c r="G80" i="3"/>
  <c r="G167" i="3"/>
  <c r="G55" i="3"/>
  <c r="G144" i="3"/>
  <c r="G130" i="3"/>
  <c r="G116" i="3"/>
  <c r="G50" i="3"/>
  <c r="G121" i="3"/>
  <c r="G139" i="3"/>
  <c r="G125" i="3"/>
  <c r="G111" i="3"/>
  <c r="G56" i="3"/>
  <c r="G179" i="3"/>
  <c r="G68" i="3"/>
  <c r="G157" i="3"/>
  <c r="G37" i="3"/>
  <c r="G159" i="3"/>
  <c r="G93" i="3"/>
  <c r="G204" i="3"/>
  <c r="G190" i="3"/>
  <c r="G185" i="3"/>
  <c r="G175" i="3"/>
  <c r="G168" i="3"/>
  <c r="G87" i="3"/>
  <c r="G79" i="3"/>
  <c r="G39" i="3"/>
  <c r="G26" i="3"/>
  <c r="G152" i="3"/>
  <c r="G27" i="3"/>
  <c r="G197" i="3"/>
  <c r="G187" i="3"/>
  <c r="G91" i="3"/>
  <c r="G34" i="3"/>
  <c r="G38" i="3"/>
  <c r="G165" i="3"/>
  <c r="G86" i="3"/>
  <c r="G222" i="3"/>
  <c r="G205" i="3"/>
  <c r="G186" i="3"/>
  <c r="G158" i="3"/>
  <c r="G102" i="3"/>
  <c r="G98" i="3"/>
  <c r="G84" i="3"/>
  <c r="G22" i="3"/>
  <c r="G17" i="3"/>
  <c r="G201" i="3"/>
  <c r="G160" i="3"/>
  <c r="G153" i="3"/>
  <c r="G106" i="3"/>
  <c r="G92" i="3"/>
  <c r="G35" i="3"/>
  <c r="G33" i="3"/>
  <c r="G24" i="3"/>
  <c r="G225" i="3"/>
  <c r="G25" i="3"/>
  <c r="G32" i="3"/>
  <c r="G188" i="3"/>
  <c r="G163" i="3"/>
  <c r="G208" i="3"/>
  <c r="G196" i="3"/>
  <c r="G212" i="3"/>
  <c r="G101" i="3"/>
  <c r="G206" i="3"/>
  <c r="G211" i="3"/>
  <c r="G215" i="3"/>
  <c r="G209" i="3"/>
  <c r="G154" i="3"/>
  <c r="G210" i="3"/>
  <c r="G16" i="3"/>
  <c r="G156" i="3"/>
  <c r="G100" i="3"/>
  <c r="G202" i="3"/>
  <c r="G155" i="3"/>
  <c r="G169" i="3"/>
  <c r="G214" i="3"/>
  <c r="G203" i="3"/>
  <c r="G216" i="3"/>
  <c r="G220" i="3"/>
  <c r="G97" i="3"/>
  <c r="G189" i="3"/>
  <c r="G227" i="3"/>
  <c r="G223" i="3"/>
  <c r="G217" i="3"/>
  <c r="G21" i="3"/>
  <c r="G183" i="3"/>
  <c r="G194" i="3"/>
  <c r="G195" i="3"/>
  <c r="G103" i="3"/>
  <c r="G94" i="3"/>
  <c r="G219" i="3"/>
  <c r="G18" i="3"/>
  <c r="G36" i="3"/>
  <c r="G99" i="3"/>
  <c r="G85" i="3"/>
  <c r="G42" i="3"/>
  <c r="G161" i="3"/>
  <c r="G19" i="3"/>
  <c r="G213" i="3"/>
  <c r="G164" i="3"/>
  <c r="G23" i="3"/>
  <c r="G184" i="3"/>
  <c r="G89" i="3"/>
  <c r="G218" i="3"/>
  <c r="G221" i="3"/>
  <c r="G105" i="3"/>
  <c r="G162" i="3"/>
  <c r="G193" i="3"/>
  <c r="G207" i="3"/>
  <c r="G41" i="3"/>
  <c r="G15" i="3"/>
  <c r="G174" i="3"/>
  <c r="G200" i="3"/>
  <c r="G172" i="3"/>
  <c r="G78" i="3"/>
  <c r="G13" i="3"/>
  <c r="G11" i="3" l="1"/>
  <c r="K42" i="3"/>
  <c r="J42" i="3"/>
  <c r="I42" i="3"/>
  <c r="I25" i="3"/>
  <c r="J25" i="3"/>
  <c r="K25" i="3"/>
  <c r="I160" i="3"/>
  <c r="K160" i="3"/>
  <c r="J160" i="3"/>
  <c r="K186" i="3"/>
  <c r="I186" i="3"/>
  <c r="J186" i="3"/>
  <c r="J187" i="3"/>
  <c r="I187" i="3"/>
  <c r="K187" i="3"/>
  <c r="J168" i="3"/>
  <c r="I168" i="3"/>
  <c r="K168" i="3"/>
  <c r="I157" i="3"/>
  <c r="J157" i="3"/>
  <c r="K157" i="3"/>
  <c r="K50" i="3"/>
  <c r="I50" i="3"/>
  <c r="J50" i="3"/>
  <c r="I88" i="3"/>
  <c r="K88" i="3"/>
  <c r="J88" i="3"/>
  <c r="K114" i="3"/>
  <c r="J114" i="3"/>
  <c r="I114" i="3"/>
  <c r="I62" i="3"/>
  <c r="K62" i="3"/>
  <c r="J62" i="3"/>
  <c r="K108" i="3"/>
  <c r="I108" i="3"/>
  <c r="J108" i="3"/>
  <c r="K72" i="3"/>
  <c r="J72" i="3"/>
  <c r="I72" i="3"/>
  <c r="I40" i="3"/>
  <c r="J40" i="3"/>
  <c r="K40" i="3"/>
  <c r="I61" i="3"/>
  <c r="K61" i="3"/>
  <c r="J61" i="3"/>
  <c r="J129" i="3"/>
  <c r="I129" i="3"/>
  <c r="K129" i="3"/>
  <c r="K77" i="3"/>
  <c r="I77" i="3"/>
  <c r="J77" i="3"/>
  <c r="I113" i="3"/>
  <c r="J113" i="3"/>
  <c r="K113" i="3"/>
  <c r="K28" i="3"/>
  <c r="J28" i="3"/>
  <c r="I28" i="3"/>
  <c r="J65" i="3"/>
  <c r="I65" i="3"/>
  <c r="K65" i="3"/>
  <c r="J89" i="3"/>
  <c r="K89" i="3"/>
  <c r="I89" i="3"/>
  <c r="J85" i="3"/>
  <c r="K85" i="3"/>
  <c r="I85" i="3"/>
  <c r="I194" i="3"/>
  <c r="J194" i="3"/>
  <c r="K194" i="3"/>
  <c r="I220" i="3"/>
  <c r="K220" i="3"/>
  <c r="J220" i="3"/>
  <c r="I156" i="3"/>
  <c r="J156" i="3"/>
  <c r="K156" i="3"/>
  <c r="I101" i="3"/>
  <c r="K101" i="3"/>
  <c r="J101" i="3"/>
  <c r="K201" i="3"/>
  <c r="J201" i="3"/>
  <c r="I201" i="3"/>
  <c r="J205" i="3"/>
  <c r="K205" i="3"/>
  <c r="I205" i="3"/>
  <c r="I197" i="3"/>
  <c r="J197" i="3"/>
  <c r="K197" i="3"/>
  <c r="K175" i="3"/>
  <c r="I175" i="3"/>
  <c r="J175" i="3"/>
  <c r="K68" i="3"/>
  <c r="I68" i="3"/>
  <c r="J68" i="3"/>
  <c r="I116" i="3"/>
  <c r="K116" i="3"/>
  <c r="J116" i="3"/>
  <c r="J49" i="3"/>
  <c r="K49" i="3"/>
  <c r="I49" i="3"/>
  <c r="I128" i="3"/>
  <c r="J128" i="3"/>
  <c r="K128" i="3"/>
  <c r="J76" i="3"/>
  <c r="I76" i="3"/>
  <c r="K76" i="3"/>
  <c r="J122" i="3"/>
  <c r="I122" i="3"/>
  <c r="K122" i="3"/>
  <c r="I124" i="3"/>
  <c r="K124" i="3"/>
  <c r="J124" i="3"/>
  <c r="I66" i="3"/>
  <c r="J66" i="3"/>
  <c r="K66" i="3"/>
  <c r="J43" i="3"/>
  <c r="I43" i="3"/>
  <c r="K43" i="3"/>
  <c r="I143" i="3"/>
  <c r="K143" i="3"/>
  <c r="J143" i="3"/>
  <c r="J226" i="3"/>
  <c r="K226" i="3"/>
  <c r="I226" i="3"/>
  <c r="J127" i="3"/>
  <c r="I127" i="3"/>
  <c r="K127" i="3"/>
  <c r="J51" i="3"/>
  <c r="I51" i="3"/>
  <c r="K51" i="3"/>
  <c r="J218" i="3"/>
  <c r="I218" i="3"/>
  <c r="K218" i="3"/>
  <c r="I184" i="3"/>
  <c r="K184" i="3"/>
  <c r="J184" i="3"/>
  <c r="I16" i="3"/>
  <c r="J16" i="3"/>
  <c r="K16" i="3"/>
  <c r="J222" i="3"/>
  <c r="I222" i="3"/>
  <c r="K222" i="3"/>
  <c r="K130" i="3"/>
  <c r="J130" i="3"/>
  <c r="I130" i="3"/>
  <c r="K104" i="3"/>
  <c r="J104" i="3"/>
  <c r="I104" i="3"/>
  <c r="J31" i="3"/>
  <c r="K31" i="3"/>
  <c r="I31" i="3"/>
  <c r="J20" i="3"/>
  <c r="I20" i="3"/>
  <c r="K20" i="3"/>
  <c r="J36" i="3"/>
  <c r="I36" i="3"/>
  <c r="K36" i="3"/>
  <c r="J21" i="3"/>
  <c r="K21" i="3"/>
  <c r="I21" i="3"/>
  <c r="J203" i="3"/>
  <c r="I203" i="3"/>
  <c r="K203" i="3"/>
  <c r="I210" i="3"/>
  <c r="J210" i="3"/>
  <c r="K210" i="3"/>
  <c r="K196" i="3"/>
  <c r="J196" i="3"/>
  <c r="I196" i="3"/>
  <c r="K33" i="3"/>
  <c r="J33" i="3"/>
  <c r="I33" i="3"/>
  <c r="J22" i="3"/>
  <c r="I22" i="3"/>
  <c r="K22" i="3"/>
  <c r="K86" i="3"/>
  <c r="J86" i="3"/>
  <c r="I86" i="3"/>
  <c r="K152" i="3"/>
  <c r="J152" i="3"/>
  <c r="I152" i="3"/>
  <c r="K190" i="3"/>
  <c r="J190" i="3"/>
  <c r="I190" i="3"/>
  <c r="J56" i="3"/>
  <c r="I56" i="3"/>
  <c r="K56" i="3"/>
  <c r="J144" i="3"/>
  <c r="I144" i="3"/>
  <c r="K144" i="3"/>
  <c r="K109" i="3"/>
  <c r="I109" i="3"/>
  <c r="J109" i="3"/>
  <c r="J47" i="3"/>
  <c r="I47" i="3"/>
  <c r="K47" i="3"/>
  <c r="J133" i="3"/>
  <c r="I133" i="3"/>
  <c r="K133" i="3"/>
  <c r="I107" i="3"/>
  <c r="K107" i="3"/>
  <c r="J107" i="3"/>
  <c r="I60" i="3"/>
  <c r="K60" i="3"/>
  <c r="J60" i="3"/>
  <c r="I136" i="3"/>
  <c r="J136" i="3"/>
  <c r="K136" i="3"/>
  <c r="K81" i="3"/>
  <c r="I81" i="3"/>
  <c r="J81" i="3"/>
  <c r="J166" i="3"/>
  <c r="K166" i="3"/>
  <c r="I166" i="3"/>
  <c r="I110" i="3"/>
  <c r="J110" i="3"/>
  <c r="K110" i="3"/>
  <c r="J29" i="3"/>
  <c r="I29" i="3"/>
  <c r="K29" i="3"/>
  <c r="J170" i="3"/>
  <c r="K170" i="3"/>
  <c r="I170" i="3"/>
  <c r="K30" i="3"/>
  <c r="I30" i="3"/>
  <c r="J30" i="3"/>
  <c r="J99" i="3"/>
  <c r="I99" i="3"/>
  <c r="K99" i="3"/>
  <c r="I212" i="3"/>
  <c r="K212" i="3"/>
  <c r="J212" i="3"/>
  <c r="K27" i="3"/>
  <c r="J27" i="3"/>
  <c r="I27" i="3"/>
  <c r="I181" i="3"/>
  <c r="J181" i="3"/>
  <c r="K181" i="3"/>
  <c r="I67" i="3"/>
  <c r="K67" i="3"/>
  <c r="J67" i="3"/>
  <c r="K164" i="3"/>
  <c r="J164" i="3"/>
  <c r="I164" i="3"/>
  <c r="J18" i="3"/>
  <c r="I18" i="3"/>
  <c r="K18" i="3"/>
  <c r="I217" i="3"/>
  <c r="K217" i="3"/>
  <c r="J217" i="3"/>
  <c r="J214" i="3"/>
  <c r="I214" i="3"/>
  <c r="K214" i="3"/>
  <c r="K154" i="3"/>
  <c r="J154" i="3"/>
  <c r="I154" i="3"/>
  <c r="I208" i="3"/>
  <c r="K208" i="3"/>
  <c r="J208" i="3"/>
  <c r="K35" i="3"/>
  <c r="J35" i="3"/>
  <c r="I35" i="3"/>
  <c r="J84" i="3"/>
  <c r="K84" i="3"/>
  <c r="I84" i="3"/>
  <c r="K165" i="3"/>
  <c r="J165" i="3"/>
  <c r="I165" i="3"/>
  <c r="I26" i="3"/>
  <c r="K26" i="3"/>
  <c r="J26" i="3"/>
  <c r="I204" i="3"/>
  <c r="K204" i="3"/>
  <c r="J204" i="3"/>
  <c r="I111" i="3"/>
  <c r="K111" i="3"/>
  <c r="J111" i="3"/>
  <c r="I55" i="3"/>
  <c r="K55" i="3"/>
  <c r="J55" i="3"/>
  <c r="K123" i="3"/>
  <c r="J123" i="3"/>
  <c r="I123" i="3"/>
  <c r="J45" i="3"/>
  <c r="I45" i="3"/>
  <c r="K45" i="3"/>
  <c r="K147" i="3"/>
  <c r="J147" i="3"/>
  <c r="I147" i="3"/>
  <c r="K151" i="3"/>
  <c r="J151" i="3"/>
  <c r="I151" i="3"/>
  <c r="J74" i="3"/>
  <c r="I74" i="3"/>
  <c r="K74" i="3"/>
  <c r="K150" i="3"/>
  <c r="J150" i="3"/>
  <c r="I150" i="3"/>
  <c r="J180" i="3"/>
  <c r="I180" i="3"/>
  <c r="K180" i="3"/>
  <c r="K199" i="3"/>
  <c r="J199" i="3"/>
  <c r="I199" i="3"/>
  <c r="I83" i="3"/>
  <c r="K83" i="3"/>
  <c r="J83" i="3"/>
  <c r="K176" i="3"/>
  <c r="J176" i="3"/>
  <c r="I176" i="3"/>
  <c r="J59" i="3"/>
  <c r="I59" i="3"/>
  <c r="K59" i="3"/>
  <c r="I100" i="3"/>
  <c r="K100" i="3"/>
  <c r="J100" i="3"/>
  <c r="K216" i="3"/>
  <c r="J216" i="3"/>
  <c r="I216" i="3"/>
  <c r="K17" i="3"/>
  <c r="J17" i="3"/>
  <c r="I17" i="3"/>
  <c r="J179" i="3"/>
  <c r="K179" i="3"/>
  <c r="I179" i="3"/>
  <c r="K142" i="3"/>
  <c r="J142" i="3"/>
  <c r="I142" i="3"/>
  <c r="J149" i="3"/>
  <c r="K149" i="3"/>
  <c r="I149" i="3"/>
  <c r="I213" i="3"/>
  <c r="K213" i="3"/>
  <c r="J213" i="3"/>
  <c r="K219" i="3"/>
  <c r="J219" i="3"/>
  <c r="I219" i="3"/>
  <c r="I223" i="3"/>
  <c r="K223" i="3"/>
  <c r="J223" i="3"/>
  <c r="J169" i="3"/>
  <c r="I169" i="3"/>
  <c r="K169" i="3"/>
  <c r="K209" i="3"/>
  <c r="J209" i="3"/>
  <c r="I209" i="3"/>
  <c r="I163" i="3"/>
  <c r="K163" i="3"/>
  <c r="J163" i="3"/>
  <c r="I92" i="3"/>
  <c r="J92" i="3"/>
  <c r="K92" i="3"/>
  <c r="K98" i="3"/>
  <c r="I98" i="3"/>
  <c r="J98" i="3"/>
  <c r="J38" i="3"/>
  <c r="I38" i="3"/>
  <c r="K38" i="3"/>
  <c r="J39" i="3"/>
  <c r="I39" i="3"/>
  <c r="K39" i="3"/>
  <c r="J93" i="3"/>
  <c r="I93" i="3"/>
  <c r="K93" i="3"/>
  <c r="K125" i="3"/>
  <c r="I125" i="3"/>
  <c r="J125" i="3"/>
  <c r="I167" i="3"/>
  <c r="K167" i="3"/>
  <c r="J167" i="3"/>
  <c r="K137" i="3"/>
  <c r="I137" i="3"/>
  <c r="J137" i="3"/>
  <c r="J126" i="3"/>
  <c r="K126" i="3"/>
  <c r="I126" i="3"/>
  <c r="K63" i="3"/>
  <c r="J63" i="3"/>
  <c r="I63" i="3"/>
  <c r="I112" i="3"/>
  <c r="K112" i="3"/>
  <c r="J112" i="3"/>
  <c r="J117" i="3"/>
  <c r="I117" i="3"/>
  <c r="K117" i="3"/>
  <c r="J46" i="3"/>
  <c r="I46" i="3"/>
  <c r="K46" i="3"/>
  <c r="I58" i="3"/>
  <c r="K58" i="3"/>
  <c r="J58" i="3"/>
  <c r="J134" i="3"/>
  <c r="K134" i="3"/>
  <c r="I134" i="3"/>
  <c r="J171" i="3"/>
  <c r="I171" i="3"/>
  <c r="K171" i="3"/>
  <c r="I178" i="3"/>
  <c r="J178" i="3"/>
  <c r="K178" i="3"/>
  <c r="J53" i="3"/>
  <c r="I53" i="3"/>
  <c r="K53" i="3"/>
  <c r="K71" i="3"/>
  <c r="J71" i="3"/>
  <c r="I71" i="3"/>
  <c r="K195" i="3"/>
  <c r="J195" i="3"/>
  <c r="I195" i="3"/>
  <c r="K24" i="3"/>
  <c r="I24" i="3"/>
  <c r="J24" i="3"/>
  <c r="J185" i="3"/>
  <c r="I185" i="3"/>
  <c r="K185" i="3"/>
  <c r="J52" i="3"/>
  <c r="K52" i="3"/>
  <c r="I52" i="3"/>
  <c r="I182" i="3"/>
  <c r="K182" i="3"/>
  <c r="J182" i="3"/>
  <c r="K138" i="3"/>
  <c r="I138" i="3"/>
  <c r="J138" i="3"/>
  <c r="K141" i="3"/>
  <c r="I141" i="3"/>
  <c r="J141" i="3"/>
  <c r="K19" i="3"/>
  <c r="I19" i="3"/>
  <c r="J19" i="3"/>
  <c r="J94" i="3"/>
  <c r="K94" i="3"/>
  <c r="I94" i="3"/>
  <c r="I227" i="3"/>
  <c r="J227" i="3"/>
  <c r="K227" i="3"/>
  <c r="J155" i="3"/>
  <c r="K155" i="3"/>
  <c r="I155" i="3"/>
  <c r="J215" i="3"/>
  <c r="K215" i="3"/>
  <c r="I215" i="3"/>
  <c r="I188" i="3"/>
  <c r="J188" i="3"/>
  <c r="K188" i="3"/>
  <c r="I106" i="3"/>
  <c r="K106" i="3"/>
  <c r="J106" i="3"/>
  <c r="K102" i="3"/>
  <c r="J102" i="3"/>
  <c r="I102" i="3"/>
  <c r="K34" i="3"/>
  <c r="J34" i="3"/>
  <c r="I34" i="3"/>
  <c r="J79" i="3"/>
  <c r="I79" i="3"/>
  <c r="K79" i="3"/>
  <c r="J159" i="3"/>
  <c r="I159" i="3"/>
  <c r="K159" i="3"/>
  <c r="K139" i="3"/>
  <c r="J139" i="3"/>
  <c r="I139" i="3"/>
  <c r="J80" i="3"/>
  <c r="I80" i="3"/>
  <c r="K80" i="3"/>
  <c r="J75" i="3"/>
  <c r="K75" i="3"/>
  <c r="I75" i="3"/>
  <c r="K70" i="3"/>
  <c r="J70" i="3"/>
  <c r="I70" i="3"/>
  <c r="K64" i="3"/>
  <c r="J64" i="3"/>
  <c r="I64" i="3"/>
  <c r="J131" i="3"/>
  <c r="I131" i="3"/>
  <c r="K131" i="3"/>
  <c r="I54" i="3"/>
  <c r="J54" i="3"/>
  <c r="K54" i="3"/>
  <c r="K119" i="3"/>
  <c r="J119" i="3"/>
  <c r="I119" i="3"/>
  <c r="J148" i="3"/>
  <c r="K148" i="3"/>
  <c r="I148" i="3"/>
  <c r="I198" i="3"/>
  <c r="J198" i="3"/>
  <c r="K198" i="3"/>
  <c r="J132" i="3"/>
  <c r="K132" i="3"/>
  <c r="I132" i="3"/>
  <c r="K57" i="3"/>
  <c r="I57" i="3"/>
  <c r="J57" i="3"/>
  <c r="K206" i="3"/>
  <c r="J206" i="3"/>
  <c r="I206" i="3"/>
  <c r="I177" i="3"/>
  <c r="J177" i="3"/>
  <c r="K177" i="3"/>
  <c r="I221" i="3"/>
  <c r="K221" i="3"/>
  <c r="J221" i="3"/>
  <c r="K161" i="3"/>
  <c r="J161" i="3"/>
  <c r="I161" i="3"/>
  <c r="I103" i="3"/>
  <c r="K103" i="3"/>
  <c r="J103" i="3"/>
  <c r="J189" i="3"/>
  <c r="K189" i="3"/>
  <c r="I189" i="3"/>
  <c r="J202" i="3"/>
  <c r="I202" i="3"/>
  <c r="K202" i="3"/>
  <c r="K211" i="3"/>
  <c r="J211" i="3"/>
  <c r="I211" i="3"/>
  <c r="K153" i="3"/>
  <c r="J153" i="3"/>
  <c r="I153" i="3"/>
  <c r="J158" i="3"/>
  <c r="I158" i="3"/>
  <c r="K158" i="3"/>
  <c r="I91" i="3"/>
  <c r="K91" i="3"/>
  <c r="J91" i="3"/>
  <c r="K87" i="3"/>
  <c r="J87" i="3"/>
  <c r="I87" i="3"/>
  <c r="J37" i="3"/>
  <c r="K37" i="3"/>
  <c r="I37" i="3"/>
  <c r="J121" i="3"/>
  <c r="K121" i="3"/>
  <c r="I121" i="3"/>
  <c r="K82" i="3"/>
  <c r="J82" i="3"/>
  <c r="I82" i="3"/>
  <c r="I48" i="3"/>
  <c r="J48" i="3"/>
  <c r="K48" i="3"/>
  <c r="K118" i="3"/>
  <c r="J118" i="3"/>
  <c r="I118" i="3"/>
  <c r="K73" i="3"/>
  <c r="I73" i="3"/>
  <c r="J73" i="3"/>
  <c r="I135" i="3"/>
  <c r="K135" i="3"/>
  <c r="J135" i="3"/>
  <c r="J145" i="3"/>
  <c r="I145" i="3"/>
  <c r="K145" i="3"/>
  <c r="K140" i="3"/>
  <c r="I140" i="3"/>
  <c r="J140" i="3"/>
  <c r="K115" i="3"/>
  <c r="J115" i="3"/>
  <c r="I115" i="3"/>
  <c r="K44" i="3"/>
  <c r="J44" i="3"/>
  <c r="I44" i="3"/>
  <c r="K146" i="3"/>
  <c r="I146" i="3"/>
  <c r="J146" i="3"/>
  <c r="K69" i="3"/>
  <c r="I69" i="3"/>
  <c r="J69" i="3"/>
  <c r="I120" i="3"/>
  <c r="K120" i="3"/>
  <c r="J120" i="3"/>
  <c r="L10" i="18" l="1"/>
  <c r="O146" i="18" l="1"/>
  <c r="O147" i="18"/>
  <c r="O141" i="18"/>
  <c r="O140" i="18"/>
  <c r="O139" i="18"/>
  <c r="O110" i="18"/>
  <c r="O138" i="18"/>
  <c r="O142" i="18"/>
  <c r="O137" i="18"/>
  <c r="O135" i="18"/>
  <c r="O136" i="18"/>
  <c r="O134" i="18"/>
  <c r="O132" i="18"/>
  <c r="O133" i="18"/>
  <c r="O56" i="18"/>
  <c r="O48" i="18"/>
  <c r="O52" i="18"/>
  <c r="O62" i="18"/>
  <c r="O49" i="18"/>
  <c r="O64" i="18"/>
  <c r="O55" i="18"/>
  <c r="O44" i="18"/>
  <c r="O57" i="18"/>
  <c r="O65" i="18"/>
  <c r="O51" i="18"/>
  <c r="O53" i="18"/>
  <c r="O54" i="18"/>
  <c r="O47" i="18"/>
  <c r="O45" i="18"/>
  <c r="O46" i="18"/>
  <c r="O61" i="18"/>
  <c r="O66" i="18"/>
  <c r="O60" i="18"/>
  <c r="O58" i="18"/>
  <c r="O59" i="18"/>
  <c r="O50" i="18"/>
  <c r="O63" i="18"/>
  <c r="O34" i="18"/>
  <c r="O40" i="18"/>
  <c r="O38" i="18"/>
  <c r="O36" i="18"/>
  <c r="O35" i="18"/>
  <c r="O37" i="18"/>
  <c r="O33" i="18"/>
  <c r="O39" i="18"/>
  <c r="O87" i="18"/>
  <c r="O89" i="18"/>
  <c r="O86" i="18"/>
  <c r="O88" i="18"/>
  <c r="O96" i="18"/>
  <c r="O22" i="18"/>
  <c r="O26" i="18"/>
  <c r="O24" i="18"/>
  <c r="O19" i="18"/>
  <c r="O23" i="18"/>
  <c r="O21" i="18"/>
  <c r="O25" i="18"/>
  <c r="O28" i="18"/>
  <c r="O20" i="18"/>
  <c r="O29" i="18"/>
  <c r="O27" i="18"/>
  <c r="O30" i="18"/>
  <c r="O109" i="18"/>
  <c r="O107" i="18"/>
  <c r="O108" i="18"/>
  <c r="O94" i="18"/>
  <c r="O117" i="18"/>
  <c r="O78" i="18"/>
  <c r="O77" i="18"/>
  <c r="O79" i="18"/>
  <c r="O150" i="18"/>
  <c r="O111" i="18"/>
  <c r="O106" i="18"/>
  <c r="O85" i="18"/>
  <c r="O95" i="18"/>
  <c r="O131" i="18"/>
  <c r="O72" i="18"/>
  <c r="O93" i="18"/>
  <c r="O124" i="18"/>
  <c r="O122" i="18"/>
  <c r="O121" i="18"/>
  <c r="O123" i="18"/>
  <c r="O125" i="18"/>
  <c r="O74" i="18"/>
  <c r="O81" i="18"/>
  <c r="O76" i="18"/>
  <c r="O73" i="18"/>
  <c r="O80" i="18"/>
  <c r="O75" i="18"/>
  <c r="O103" i="18"/>
  <c r="O102" i="18"/>
  <c r="O41" i="18"/>
  <c r="O18" i="18"/>
  <c r="O17" i="18"/>
  <c r="O32" i="18"/>
  <c r="L5" i="18"/>
  <c r="O119" i="18"/>
  <c r="O118" i="18"/>
  <c r="O115" i="18"/>
  <c r="O116" i="18"/>
  <c r="O97" i="18"/>
  <c r="O14" i="18"/>
  <c r="O15" i="18"/>
  <c r="O151" i="18"/>
  <c r="O129" i="18"/>
  <c r="O154" i="18"/>
  <c r="O152" i="18"/>
  <c r="O70" i="18"/>
  <c r="O82" i="18"/>
  <c r="O104" i="18"/>
  <c r="O130" i="18"/>
  <c r="O100" i="18"/>
  <c r="O71" i="18"/>
  <c r="O69" i="18"/>
  <c r="O153" i="18"/>
  <c r="O128" i="18"/>
  <c r="O145" i="18"/>
  <c r="O101" i="18"/>
  <c r="O92" i="18"/>
  <c r="O149" i="18"/>
  <c r="O127" i="18"/>
  <c r="O91" i="18"/>
  <c r="O84" i="18"/>
  <c r="O43" i="18"/>
  <c r="O68" i="18"/>
  <c r="O99" i="18"/>
  <c r="O144" i="18"/>
  <c r="O12" i="18"/>
  <c r="O10" i="18"/>
  <c r="O113" i="18"/>
  <c r="O114" i="18"/>
  <c r="N5" i="18" l="1"/>
  <c r="G2" i="18"/>
  <c r="P3" i="18"/>
  <c r="N99" i="18"/>
  <c r="R113" i="18" l="1"/>
  <c r="S113" i="18" s="1"/>
  <c r="T113" i="18" s="1"/>
  <c r="R114" i="18"/>
  <c r="S114" i="18" s="1"/>
  <c r="T114" i="18" s="1"/>
  <c r="R97" i="18"/>
  <c r="S97" i="18" s="1"/>
  <c r="T97" i="18" s="1"/>
  <c r="R14" i="18"/>
  <c r="S14" i="18" s="1"/>
  <c r="T14" i="18" s="1"/>
  <c r="R12" i="18"/>
  <c r="S12" i="18" s="1"/>
  <c r="T12" i="18" s="1"/>
  <c r="R68" i="18"/>
  <c r="R84" i="18"/>
  <c r="R100" i="18"/>
  <c r="S100" i="18" s="1"/>
  <c r="T100" i="18" s="1"/>
  <c r="R151" i="18"/>
  <c r="S151" i="18" s="1"/>
  <c r="T151" i="18" s="1"/>
  <c r="R149" i="18"/>
  <c r="S149" i="18" s="1"/>
  <c r="T149" i="18" s="1"/>
  <c r="R69" i="18"/>
  <c r="S69" i="18" s="1"/>
  <c r="T69" i="18" s="1"/>
  <c r="R153" i="18"/>
  <c r="S153" i="18" s="1"/>
  <c r="T153" i="18" s="1"/>
  <c r="R152" i="18"/>
  <c r="S152" i="18" s="1"/>
  <c r="T152" i="18" s="1"/>
  <c r="R129" i="18"/>
  <c r="S129" i="18" s="1"/>
  <c r="T129" i="18" s="1"/>
  <c r="R128" i="18"/>
  <c r="S128" i="18" s="1"/>
  <c r="T128" i="18" s="1"/>
  <c r="R92" i="18"/>
  <c r="S92" i="18" s="1"/>
  <c r="T92" i="18" s="1"/>
  <c r="R91" i="18"/>
  <c r="R144" i="18"/>
  <c r="S144" i="18" s="1"/>
  <c r="T144" i="18" s="1"/>
  <c r="R82" i="18"/>
  <c r="S82" i="18" s="1"/>
  <c r="T82" i="18" s="1"/>
  <c r="R145" i="18"/>
  <c r="S145" i="18" s="1"/>
  <c r="T145" i="18" s="1"/>
  <c r="R71" i="18"/>
  <c r="S71" i="18" s="1"/>
  <c r="T71" i="18" s="1"/>
  <c r="R154" i="18"/>
  <c r="S154" i="18" s="1"/>
  <c r="T154" i="18" s="1"/>
  <c r="R104" i="18"/>
  <c r="S104" i="18" s="1"/>
  <c r="T104" i="18" s="1"/>
  <c r="R43" i="18"/>
  <c r="R70" i="18"/>
  <c r="S70" i="18" s="1"/>
  <c r="T70" i="18" s="1"/>
  <c r="R127" i="18"/>
  <c r="S127" i="18" s="1"/>
  <c r="T127" i="18" s="1"/>
  <c r="R130" i="18"/>
  <c r="S130" i="18" s="1"/>
  <c r="T130" i="18" s="1"/>
  <c r="R101" i="18"/>
  <c r="S101" i="18" s="1"/>
  <c r="T101" i="18" s="1"/>
  <c r="R99" i="18"/>
  <c r="S99" i="18" s="1"/>
  <c r="T99" i="18" s="1"/>
  <c r="AM15" i="18" l="1"/>
  <c r="AM12" i="18"/>
  <c r="S84" i="18"/>
  <c r="T84" i="18" s="1"/>
  <c r="AM11" i="18"/>
  <c r="S68" i="18"/>
  <c r="T68" i="18" s="1"/>
  <c r="AM13" i="18"/>
  <c r="S91" i="18"/>
  <c r="T91" i="18" s="1"/>
  <c r="AM14" i="18"/>
  <c r="AM10" i="18"/>
  <c r="S43" i="18"/>
  <c r="T43" i="18" s="1"/>
  <c r="AM8" i="18" l="1"/>
  <c r="T10" i="18"/>
  <c r="N12" i="18"/>
  <c r="AL12" i="18" l="1"/>
  <c r="AL14" i="18"/>
  <c r="AL15" i="18"/>
  <c r="AL13" i="18"/>
  <c r="AL11" i="18"/>
  <c r="AL8" i="18" l="1"/>
  <c r="N146" i="18" l="1"/>
  <c r="H146" i="18"/>
  <c r="K144" i="18"/>
  <c r="N144" i="18" s="1"/>
  <c r="K113" i="18"/>
  <c r="N113" i="18" s="1"/>
  <c r="M144" i="18"/>
  <c r="M113" i="18" s="1"/>
  <c r="M10" i="18" s="1"/>
  <c r="P147" i="18" s="1"/>
  <c r="K10" i="18"/>
  <c r="P144" i="18" l="1"/>
  <c r="P113" i="18"/>
  <c r="P142" i="18"/>
  <c r="P137" i="18"/>
  <c r="P135" i="18"/>
  <c r="P136" i="18"/>
  <c r="P134" i="18"/>
  <c r="P133" i="18"/>
  <c r="P54" i="18"/>
  <c r="P45" i="18"/>
  <c r="P59" i="18"/>
  <c r="P20" i="18"/>
  <c r="P117" i="18"/>
  <c r="P81" i="18"/>
  <c r="P61" i="18"/>
  <c r="P53" i="18"/>
  <c r="P50" i="18"/>
  <c r="P58" i="18"/>
  <c r="P65" i="18"/>
  <c r="P46" i="18"/>
  <c r="P60" i="18"/>
  <c r="P51" i="18"/>
  <c r="P39" i="18"/>
  <c r="P34" i="18"/>
  <c r="P33" i="18"/>
  <c r="P37" i="18"/>
  <c r="P25" i="18"/>
  <c r="P30" i="18"/>
  <c r="P109" i="18"/>
  <c r="P150" i="18"/>
  <c r="P74" i="18"/>
  <c r="P102" i="18"/>
  <c r="P141" i="18"/>
  <c r="P36" i="18"/>
  <c r="P35" i="18"/>
  <c r="P38" i="18"/>
  <c r="P40" i="18"/>
  <c r="P89" i="18"/>
  <c r="P87" i="18"/>
  <c r="P88" i="18"/>
  <c r="P86" i="18"/>
  <c r="P96" i="18"/>
  <c r="P23" i="18"/>
  <c r="P22" i="18"/>
  <c r="P108" i="18"/>
  <c r="P26" i="18"/>
  <c r="P28" i="18"/>
  <c r="P107" i="18"/>
  <c r="P80" i="18"/>
  <c r="P75" i="18"/>
  <c r="P94" i="18"/>
  <c r="P78" i="18"/>
  <c r="P79" i="18"/>
  <c r="P111" i="18"/>
  <c r="P47" i="18"/>
  <c r="P19" i="18"/>
  <c r="P27" i="18"/>
  <c r="P21" i="18"/>
  <c r="P29" i="18"/>
  <c r="P106" i="18"/>
  <c r="P41" i="18"/>
  <c r="P146" i="18"/>
  <c r="P24" i="18"/>
  <c r="P77" i="18"/>
  <c r="P103" i="18"/>
  <c r="P44" i="18"/>
  <c r="P63" i="18"/>
  <c r="P85" i="18"/>
  <c r="P95" i="18"/>
  <c r="P131" i="18"/>
  <c r="P72" i="18"/>
  <c r="P93" i="18"/>
  <c r="P122" i="18"/>
  <c r="P124" i="18"/>
  <c r="P123" i="18"/>
  <c r="P125" i="18"/>
  <c r="P121" i="18"/>
  <c r="P76" i="18"/>
  <c r="P73" i="18"/>
  <c r="P18" i="18"/>
  <c r="P17" i="18"/>
  <c r="P32" i="18"/>
  <c r="P119" i="18"/>
  <c r="P129" i="18"/>
  <c r="P70" i="18"/>
  <c r="P130" i="18"/>
  <c r="P56" i="18"/>
  <c r="P55" i="18"/>
  <c r="P64" i="18"/>
  <c r="P66" i="18"/>
  <c r="P118" i="18"/>
  <c r="P115" i="18"/>
  <c r="P116" i="18"/>
  <c r="P151" i="18"/>
  <c r="P97" i="18"/>
  <c r="P140" i="18"/>
  <c r="P15" i="18"/>
  <c r="P12" i="18"/>
  <c r="P145" i="18"/>
  <c r="P128" i="18"/>
  <c r="P154" i="18"/>
  <c r="P49" i="18"/>
  <c r="P152" i="18"/>
  <c r="P92" i="18"/>
  <c r="P69" i="18"/>
  <c r="P101" i="18"/>
  <c r="P100" i="18"/>
  <c r="P104" i="18"/>
  <c r="P71" i="18"/>
  <c r="P82" i="18"/>
  <c r="P153" i="18"/>
  <c r="P14" i="18"/>
  <c r="P91" i="18"/>
  <c r="P10" i="18"/>
  <c r="P84" i="18"/>
  <c r="P132" i="18"/>
  <c r="P62" i="18"/>
  <c r="P48" i="18"/>
  <c r="P139" i="18"/>
  <c r="P57" i="18"/>
  <c r="P52" i="18"/>
  <c r="P110" i="18"/>
  <c r="P114" i="18"/>
  <c r="P127" i="18"/>
  <c r="P68" i="18"/>
  <c r="P43" i="18"/>
  <c r="P99" i="18"/>
  <c r="P138" i="18"/>
  <c r="P149" i="18"/>
  <c r="P5" i="18"/>
  <c r="N10" i="18"/>
</calcChain>
</file>

<file path=xl/sharedStrings.xml><?xml version="1.0" encoding="utf-8"?>
<sst xmlns="http://schemas.openxmlformats.org/spreadsheetml/2006/main" count="2240" uniqueCount="755">
  <si>
    <t>BÁO CÁO MENU MIX (PRODUCT MIX) ĐỊNH KỲ</t>
  </si>
  <si>
    <t>NH:</t>
  </si>
  <si>
    <t>THÁNG:</t>
  </si>
  <si>
    <t>MÃ HÀNG</t>
  </si>
  <si>
    <t>TÊN HÀNG</t>
  </si>
  <si>
    <t>Đơn Vị Tính</t>
  </si>
  <si>
    <t>Giá Vốn</t>
  </si>
  <si>
    <t>Giá Bán</t>
  </si>
  <si>
    <t>LN Món Bán</t>
  </si>
  <si>
    <t>Số Bán</t>
  </si>
  <si>
    <t>ITEM COST</t>
  </si>
  <si>
    <t>Per 100 TC</t>
  </si>
  <si>
    <t>Cost Price</t>
  </si>
  <si>
    <t>Selling Price</t>
  </si>
  <si>
    <t>Margin</t>
  </si>
  <si>
    <t>Item Sold</t>
  </si>
  <si>
    <t>TỔNG MENU</t>
  </si>
  <si>
    <t>TRÁNG MIỆNG</t>
  </si>
  <si>
    <t>TC</t>
  </si>
  <si>
    <t>SALES</t>
  </si>
  <si>
    <t>TA</t>
  </si>
  <si>
    <t>COS</t>
  </si>
  <si>
    <t>ITEM SALES</t>
  </si>
  <si>
    <t>MARGIN</t>
  </si>
  <si>
    <t>% COS</t>
  </si>
  <si>
    <t>% SALES MIX</t>
  </si>
  <si>
    <t>% MARGIN MIX</t>
  </si>
  <si>
    <t>% PRODUCT MIX</t>
  </si>
  <si>
    <t>MÓN ĂN</t>
  </si>
  <si>
    <t>THỨC UỐNG / BEVERAGES</t>
  </si>
  <si>
    <t>RƯỢU / WINE</t>
  </si>
  <si>
    <t>BIA / BEER</t>
  </si>
  <si>
    <t>NƯỚC GIẢI KHÁT / SOFT DRINK</t>
  </si>
  <si>
    <t>NƯỚC QUẢ / JUICE</t>
  </si>
  <si>
    <t>NƯỚC PHA CHẾ / COCKTAIL - MOOCKTAIL</t>
  </si>
  <si>
    <t>KHÁC</t>
  </si>
  <si>
    <t>AN05</t>
  </si>
  <si>
    <t>Khoai lang kén</t>
  </si>
  <si>
    <t>Đĩa</t>
  </si>
  <si>
    <t>AN06</t>
  </si>
  <si>
    <t>Khoai tây chiên</t>
  </si>
  <si>
    <t>DB19B</t>
  </si>
  <si>
    <t>Nem bò nấm (6c/đĩa)</t>
  </si>
  <si>
    <t>NN20</t>
  </si>
  <si>
    <t>Bò khô</t>
  </si>
  <si>
    <t>Gói</t>
  </si>
  <si>
    <t>ĂN NO - BÒ SÀI GÒN</t>
  </si>
  <si>
    <t>BVO027</t>
  </si>
  <si>
    <t>Bò Sốt Tiêu Đen + Bánh Bao</t>
  </si>
  <si>
    <t>Suất</t>
  </si>
  <si>
    <t>BVO039</t>
  </si>
  <si>
    <t>Bánh Bao Chiên</t>
  </si>
  <si>
    <t>CMTD45</t>
  </si>
  <si>
    <t>Cháo tim bò</t>
  </si>
  <si>
    <t>Nồi</t>
  </si>
  <si>
    <t>CMTD56</t>
  </si>
  <si>
    <t>Xôi chiên lệ phố</t>
  </si>
  <si>
    <t>CMTD60</t>
  </si>
  <si>
    <t>Cơm Trắng</t>
  </si>
  <si>
    <t>Bát</t>
  </si>
  <si>
    <t>CMTD64</t>
  </si>
  <si>
    <t>Cơm bò sốt tiêu đen</t>
  </si>
  <si>
    <t>Thố</t>
  </si>
  <si>
    <t>RAU SALAD - BÒ SÀI GÒN</t>
  </si>
  <si>
    <t>BVO049</t>
  </si>
  <si>
    <t>Salad Rau Trộn</t>
  </si>
  <si>
    <t>RR03</t>
  </si>
  <si>
    <t>Củ quả luộc chấm kho quẹt</t>
  </si>
  <si>
    <t>RR07</t>
  </si>
  <si>
    <t>Măng trúc Yên Tử xào nấm</t>
  </si>
  <si>
    <t>RR23</t>
  </si>
  <si>
    <t>Nộm bắp bò rau tiến vua</t>
  </si>
  <si>
    <t>RR30</t>
  </si>
  <si>
    <t>Nộm bắp bò rau càng cua</t>
  </si>
  <si>
    <t>RR32</t>
  </si>
  <si>
    <t>Salad rau vườn</t>
  </si>
  <si>
    <t>LẨU NGON &amp; NHÚNG LẨU - BÒ SÀI GÒN</t>
  </si>
  <si>
    <t>LN13</t>
  </si>
  <si>
    <t>Lẩu cua đồng - Thập cẩm</t>
  </si>
  <si>
    <t>LN42</t>
  </si>
  <si>
    <t>Lẩu bò miền Tây thập cẩm</t>
  </si>
  <si>
    <t>LN43</t>
  </si>
  <si>
    <t>Lẩu bò nấm</t>
  </si>
  <si>
    <t>LN45</t>
  </si>
  <si>
    <t>Lẩu Thái  bò đặc biệt</t>
  </si>
  <si>
    <t>LN46</t>
  </si>
  <si>
    <t>Lẩu riêu cua bắp bò đặc biệt</t>
  </si>
  <si>
    <t>LN47</t>
  </si>
  <si>
    <t>Lẩu Tứ Xuyên</t>
  </si>
  <si>
    <t>DNL02</t>
  </si>
  <si>
    <t>Gà tươi cả con</t>
  </si>
  <si>
    <t>DNL03</t>
  </si>
  <si>
    <t>Gầu bò</t>
  </si>
  <si>
    <t>DNL06</t>
  </si>
  <si>
    <t>Bắp bò</t>
  </si>
  <si>
    <t>DNL07</t>
  </si>
  <si>
    <t>Mỳ thêm</t>
  </si>
  <si>
    <t>DNL08</t>
  </si>
  <si>
    <t>Bún thêm</t>
  </si>
  <si>
    <t>DNL12</t>
  </si>
  <si>
    <t>Thịt bò tơ</t>
  </si>
  <si>
    <t>DNL19</t>
  </si>
  <si>
    <t>Gân bò</t>
  </si>
  <si>
    <t>DNL21</t>
  </si>
  <si>
    <t>Đậu phụ thêm</t>
  </si>
  <si>
    <t>DNL22</t>
  </si>
  <si>
    <t>Gạch cua thêm</t>
  </si>
  <si>
    <t>DNL28</t>
  </si>
  <si>
    <t>Tim bò</t>
  </si>
  <si>
    <t>DNL33</t>
  </si>
  <si>
    <t>Ba chỉ bò Mỹ</t>
  </si>
  <si>
    <t>DNL39</t>
  </si>
  <si>
    <t>Viên bò (10 viên/đĩa)</t>
  </si>
  <si>
    <t>DNL42</t>
  </si>
  <si>
    <t>Sách đen nhúng lẩu</t>
  </si>
  <si>
    <t>DNL43</t>
  </si>
  <si>
    <t>Nấm kim châm nhúng lẩu</t>
  </si>
  <si>
    <t>DNL44</t>
  </si>
  <si>
    <t>Nấm tuyết nhĩ nhúng lẩu</t>
  </si>
  <si>
    <t>DNL45</t>
  </si>
  <si>
    <t>Váng đậu chiên nhúng lẩu</t>
  </si>
  <si>
    <t>DNL46</t>
  </si>
  <si>
    <t>Cải xanh nhúng lẩu</t>
  </si>
  <si>
    <t>DNL47</t>
  </si>
  <si>
    <t>Rau lẩu cua</t>
  </si>
  <si>
    <t>DNL48</t>
  </si>
  <si>
    <t>Hoa chuối thái nhúng lẩu</t>
  </si>
  <si>
    <t>DNL49</t>
  </si>
  <si>
    <t>Ngô ngọt nhúng lẩu</t>
  </si>
  <si>
    <t>DNL50</t>
  </si>
  <si>
    <t>Cải thảo nhúng lẩu</t>
  </si>
  <si>
    <t>DNL56</t>
  </si>
  <si>
    <t>Nấm tươi (gọi thêm)</t>
  </si>
  <si>
    <t>DNL57</t>
  </si>
  <si>
    <t>Kim chi (gọi thêm)</t>
  </si>
  <si>
    <t>DNL58</t>
  </si>
  <si>
    <t>Đậu hũ pho mai</t>
  </si>
  <si>
    <t>DNL59</t>
  </si>
  <si>
    <t>Viên tôm hùm</t>
  </si>
  <si>
    <t>DNL60</t>
  </si>
  <si>
    <t>Thanh cua</t>
  </si>
  <si>
    <t>NƯỚNG CHẦN / CHAO</t>
  </si>
  <si>
    <t>DNL13</t>
  </si>
  <si>
    <t>Bò tơ nhúng</t>
  </si>
  <si>
    <t>DNL14</t>
  </si>
  <si>
    <t>Gầu bò nhúng</t>
  </si>
  <si>
    <t>DNL15</t>
  </si>
  <si>
    <t>Bắp bò nhúng</t>
  </si>
  <si>
    <t>CMR01</t>
  </si>
  <si>
    <t>Bê chao Mộc Châu</t>
  </si>
  <si>
    <t>CMTD34</t>
  </si>
  <si>
    <t>Dồi bò chiên giòn</t>
  </si>
  <si>
    <t>CMTD46</t>
  </si>
  <si>
    <t>Bò tơ cháy tỏi</t>
  </si>
  <si>
    <t>DB25</t>
  </si>
  <si>
    <t>Fuji Steak Thượng hạng</t>
  </si>
  <si>
    <t>NTH01</t>
  </si>
  <si>
    <t>Dẻ sườn bò Mỹ nướng</t>
  </si>
  <si>
    <t>NTH07</t>
  </si>
  <si>
    <t>Bò nướng tảng</t>
  </si>
  <si>
    <t>KHAI VỊ / ĂN KÈM</t>
  </si>
  <si>
    <t>CMR02</t>
  </si>
  <si>
    <t>Bò tơ  cuốn bánh tráng</t>
  </si>
  <si>
    <t>CMR12</t>
  </si>
  <si>
    <t>Dẻ sườn hấp nấm</t>
  </si>
  <si>
    <t>CMTD17</t>
  </si>
  <si>
    <t>Bò tơ tái chanh</t>
  </si>
  <si>
    <t>CMTD22</t>
  </si>
  <si>
    <t>Bò tơ xông hơi</t>
  </si>
  <si>
    <t>HẤP CUỐN</t>
  </si>
  <si>
    <t>GÀ / CÁ / MÓN XÀO</t>
  </si>
  <si>
    <t>BVO029</t>
  </si>
  <si>
    <t>Cá Saba Nướng Nhật Bản</t>
  </si>
  <si>
    <t>CMTD29</t>
  </si>
  <si>
    <t>Gà ri chiên mắm (1/2 con)</t>
  </si>
  <si>
    <t>Con</t>
  </si>
  <si>
    <t>CMTD30</t>
  </si>
  <si>
    <t>Gà chiên mắm cả con</t>
  </si>
  <si>
    <t>CMTD20</t>
  </si>
  <si>
    <t>Sách đen xào khế</t>
  </si>
  <si>
    <t>CMTD36</t>
  </si>
  <si>
    <t>Bắp bò xào măng trúc</t>
  </si>
  <si>
    <t>MANG VỀ</t>
  </si>
  <si>
    <t>MV0004</t>
  </si>
  <si>
    <t>Bò Tơ Cuốn Bánh Tráng (MV)</t>
  </si>
  <si>
    <t>MV0006</t>
  </si>
  <si>
    <t>Bê Chao Mộc Châu (MV)</t>
  </si>
  <si>
    <t>MV0007</t>
  </si>
  <si>
    <t>Bò Tơ Tái Chanh (MV)</t>
  </si>
  <si>
    <t>MV0008</t>
  </si>
  <si>
    <t>Dồi Bò Chiên (MV)</t>
  </si>
  <si>
    <t>MV0009</t>
  </si>
  <si>
    <t>Dẻ Sườn Bò Mỹ Nướng (MV)</t>
  </si>
  <si>
    <t>MV0010</t>
  </si>
  <si>
    <t>Bò Nướng Tảng (MV)</t>
  </si>
  <si>
    <t>MV0011</t>
  </si>
  <si>
    <t>Bò Sốt Tiêu Đen + Bánh Bao (MV)</t>
  </si>
  <si>
    <t>MV0020</t>
  </si>
  <si>
    <t>Cá Saba Nhật Bản Nướng (MV)</t>
  </si>
  <si>
    <t>MV0025</t>
  </si>
  <si>
    <t>Salad Rau Trộn (MV)</t>
  </si>
  <si>
    <t>MV0027</t>
  </si>
  <si>
    <t>Nộm Bắp Bò Rau Tiến Vua (MV)</t>
  </si>
  <si>
    <t>MV0029</t>
  </si>
  <si>
    <t>Củ Quả Luộc Chấm Kho Quẹt (MV)</t>
  </si>
  <si>
    <t>MV0030</t>
  </si>
  <si>
    <t>Măng Trúc Yến Tử Xào Nấm (MV)</t>
  </si>
  <si>
    <t>MV0031</t>
  </si>
  <si>
    <t>Khoai Tây Chiên (MV)</t>
  </si>
  <si>
    <t>MV0032</t>
  </si>
  <si>
    <t>Khoai Lang Kén (MV)</t>
  </si>
  <si>
    <t>MV0040</t>
  </si>
  <si>
    <t>Xôi Chiên Phồng (MV)</t>
  </si>
  <si>
    <t>MV0041</t>
  </si>
  <si>
    <t>Bánh Bao Chiên (MV)</t>
  </si>
  <si>
    <t>MV0047</t>
  </si>
  <si>
    <t>Bò Tơ Nhúng (MV)</t>
  </si>
  <si>
    <t>MV0048</t>
  </si>
  <si>
    <t>Gầu bò nhúng (MV)</t>
  </si>
  <si>
    <t>MV0049</t>
  </si>
  <si>
    <t>Bắp bò nhúng (MV)</t>
  </si>
  <si>
    <t>MV0052</t>
  </si>
  <si>
    <t>Cháo Tim Bò (MV)</t>
  </si>
  <si>
    <t>MV0056</t>
  </si>
  <si>
    <t>Bắp Bò Xào Măng Trúc (MV)</t>
  </si>
  <si>
    <t>MV0064</t>
  </si>
  <si>
    <t>Gà Ri Chiên Mắm Cả Con (MV)</t>
  </si>
  <si>
    <t>MV0065</t>
  </si>
  <si>
    <t>Gà Ri Chiên Mắm 1/2 Con (MV)</t>
  </si>
  <si>
    <t>MV0095</t>
  </si>
  <si>
    <t>Bò Tơ Cuốn Bánh Tráng_6 cuốn (MV)</t>
  </si>
  <si>
    <t>MV0096</t>
  </si>
  <si>
    <t xml:space="preserve">Bánh Mỳ Sốt Vang ( 2-3 Người) (MV) </t>
  </si>
  <si>
    <t>MV0130</t>
  </si>
  <si>
    <t>Nem Bò Nấm (6c/đĩa) (MV)</t>
  </si>
  <si>
    <t>MV0142</t>
  </si>
  <si>
    <t>Bò Tơ Cháy Tỏi (MV)</t>
  </si>
  <si>
    <t>MV0143</t>
  </si>
  <si>
    <t>Bò tơ tái chanh 1/2  (MV)</t>
  </si>
  <si>
    <t>MV0144</t>
  </si>
  <si>
    <t>Bò tơ cuốn bánh tráng_4 cuốn (MV)</t>
  </si>
  <si>
    <t>MV0145</t>
  </si>
  <si>
    <t>Nem bò nấm 4c/đĩa (MV)</t>
  </si>
  <si>
    <t>MV0102</t>
  </si>
  <si>
    <t>Lẩu Cua Đồng Đặc Biệt (MV)</t>
  </si>
  <si>
    <t>MV0126</t>
  </si>
  <si>
    <t>Lẩu Bò Miền Tây Thập Cẩm (MV)</t>
  </si>
  <si>
    <t>MV0127</t>
  </si>
  <si>
    <t>Lẩu Bò Miền Tây Đặc Biệt (MV)</t>
  </si>
  <si>
    <t>MV0129</t>
  </si>
  <si>
    <t>Lẩu Bò Nấm Đặc Biệt (MV)</t>
  </si>
  <si>
    <t>MV0134</t>
  </si>
  <si>
    <t>Lẩu Thái Bò Đặc Biệt (MV)</t>
  </si>
  <si>
    <t>MV0147</t>
  </si>
  <si>
    <t>Lẩu bò tứ xuyên đặc biệt (MV)</t>
  </si>
  <si>
    <t>MV0070</t>
  </si>
  <si>
    <t>Ba Chỉ Bò Mỹ (MV)</t>
  </si>
  <si>
    <t>MV0071</t>
  </si>
  <si>
    <t>Gầu Bò (MV)</t>
  </si>
  <si>
    <t>MV0072</t>
  </si>
  <si>
    <t>Thịt Ba Chỉ Bò Tơ (MV)</t>
  </si>
  <si>
    <t>MV0073</t>
  </si>
  <si>
    <t>Bắp Bò (MV)</t>
  </si>
  <si>
    <t>MV0074</t>
  </si>
  <si>
    <t>Tim Bò (MV)</t>
  </si>
  <si>
    <t>MV0075</t>
  </si>
  <si>
    <t>Gân Bò (MV)</t>
  </si>
  <si>
    <t>MV0078</t>
  </si>
  <si>
    <t>Sách Đen (MV)</t>
  </si>
  <si>
    <t>MV0079</t>
  </si>
  <si>
    <t>Bò Viên Nhúng Lẩu (10 viên/đĩa) (MV)</t>
  </si>
  <si>
    <t>MV0080</t>
  </si>
  <si>
    <t>Nấm Kim Châm (MV)</t>
  </si>
  <si>
    <t>MV0081</t>
  </si>
  <si>
    <t>Nấm Tuyết Nhĩ (MV)</t>
  </si>
  <si>
    <t>MV0082</t>
  </si>
  <si>
    <t>Váng Đậu Chiên (MV)</t>
  </si>
  <si>
    <t>MV0084</t>
  </si>
  <si>
    <t>Bún (MV)</t>
  </si>
  <si>
    <t>MV0085</t>
  </si>
  <si>
    <t>Cải Thảo (MV)</t>
  </si>
  <si>
    <t>MV0086</t>
  </si>
  <si>
    <t>Cải Xanh (MV)</t>
  </si>
  <si>
    <t>MV0087</t>
  </si>
  <si>
    <t>Rau Lẩu Cua (MV)</t>
  </si>
  <si>
    <t>MV0089</t>
  </si>
  <si>
    <t>Đậu Phụ (MV)</t>
  </si>
  <si>
    <t>MV0136</t>
  </si>
  <si>
    <t>Nấm Tươi (MV)</t>
  </si>
  <si>
    <t>MV0137</t>
  </si>
  <si>
    <t>Đậu Hũ Pho Mai (MV)</t>
  </si>
  <si>
    <t>NN14</t>
  </si>
  <si>
    <t>Hoa quả tráng miệng thập cẩm</t>
  </si>
  <si>
    <t>NN15</t>
  </si>
  <si>
    <t>Bưởi da xanh tráng miệng</t>
  </si>
  <si>
    <t>NN27</t>
  </si>
  <si>
    <t>Trái cây tươi Califonia</t>
  </si>
  <si>
    <t>NN28</t>
  </si>
  <si>
    <t>Trái cây tươi Califonia (size nhỏ)</t>
  </si>
  <si>
    <t>NN29</t>
  </si>
  <si>
    <t>Chè dưỡng nhan</t>
  </si>
  <si>
    <t>NN31</t>
  </si>
  <si>
    <t>Hoa quả tráng miệng ( Táo envy)</t>
  </si>
  <si>
    <t>NN23</t>
  </si>
  <si>
    <t xml:space="preserve">Dưa Hấu Tráng Miệng </t>
  </si>
  <si>
    <t>LST05</t>
  </si>
  <si>
    <t>Rượu Vodka cá sấu đen</t>
  </si>
  <si>
    <t>Chai</t>
  </si>
  <si>
    <t>LST11</t>
  </si>
  <si>
    <t>Rượu vang-Reserva Cabernet Sauvigvon 13.5%vol</t>
  </si>
  <si>
    <t>LST12</t>
  </si>
  <si>
    <t>Rượu vang-Estate Merlot13%vol</t>
  </si>
  <si>
    <t>LST20</t>
  </si>
  <si>
    <t>Rượu Vodka cá sấu xanh (300ml)</t>
  </si>
  <si>
    <t>LST25</t>
  </si>
  <si>
    <t>Rượu vang-MOYE Reserva Cabernet Sauvignon 14%</t>
  </si>
  <si>
    <t>VRM16</t>
  </si>
  <si>
    <t>Rượu vang- Cantine Cupid-14.5%</t>
  </si>
  <si>
    <t>BIA22</t>
  </si>
  <si>
    <t>Bia Sài Gòn Lager</t>
  </si>
  <si>
    <t>Lon</t>
  </si>
  <si>
    <t>BIA23</t>
  </si>
  <si>
    <t>Bia Tiger bạc (Lon)</t>
  </si>
  <si>
    <t>BIA24</t>
  </si>
  <si>
    <t>Bia Heineken Silver bạc (Lon)</t>
  </si>
  <si>
    <t>BIA25</t>
  </si>
  <si>
    <t>Bia Bubweiser (Lon)</t>
  </si>
  <si>
    <t>BIA26</t>
  </si>
  <si>
    <t>Bia Sapporo (Lon)</t>
  </si>
  <si>
    <t>BIA27</t>
  </si>
  <si>
    <t>Bia Sài gòn Special (Lon)</t>
  </si>
  <si>
    <t>BIA28</t>
  </si>
  <si>
    <t>Bia Tiger Nâu</t>
  </si>
  <si>
    <t>NN01</t>
  </si>
  <si>
    <t>Pepsi</t>
  </si>
  <si>
    <t>NN07</t>
  </si>
  <si>
    <t>Khăn lạnh</t>
  </si>
  <si>
    <t>Chiếc</t>
  </si>
  <si>
    <t>NN09</t>
  </si>
  <si>
    <t>Twister cam</t>
  </si>
  <si>
    <t>NN21</t>
  </si>
  <si>
    <t>Nước lọc Aquafina</t>
  </si>
  <si>
    <t>NN25</t>
  </si>
  <si>
    <t>Pepsi Black lon 330ml</t>
  </si>
  <si>
    <t>NHQ03</t>
  </si>
  <si>
    <t>Nước chanh tươi</t>
  </si>
  <si>
    <t>Cốc</t>
  </si>
  <si>
    <t>NHQ04</t>
  </si>
  <si>
    <t>Nước ép cam tươi</t>
  </si>
  <si>
    <t>NHQ05</t>
  </si>
  <si>
    <t>Trà táo đỏ tứ quý</t>
  </si>
  <si>
    <t>NHQ06</t>
  </si>
  <si>
    <t>Trà đào cam sả</t>
  </si>
  <si>
    <t>Star</t>
  </si>
  <si>
    <t xml:space="preserve">Bán nhiều - Lợi nhuận cao --&gt; Phát huy </t>
  </si>
  <si>
    <t>Horse</t>
  </si>
  <si>
    <t xml:space="preserve">Bán nhiều - Lợi nhuận thấp --&gt;Điều chỉnh giá </t>
  </si>
  <si>
    <t>Puzzle</t>
  </si>
  <si>
    <t xml:space="preserve">Bán ít - Lợi nhuận cao --&gt; Thúc đẩy bán hàng </t>
  </si>
  <si>
    <t>Dog</t>
  </si>
  <si>
    <t xml:space="preserve">Bán ít - lợi nhuận thấp --&gt; Cân nhắc có thể thay thế </t>
  </si>
  <si>
    <t>Popularity</t>
  </si>
  <si>
    <t>Profitability</t>
  </si>
  <si>
    <t>Items class</t>
  </si>
  <si>
    <t>MIN Menu Selling</t>
  </si>
  <si>
    <t>MIN Sales Contribution</t>
  </si>
  <si>
    <t>NGÀY</t>
  </si>
  <si>
    <t>THỨ</t>
  </si>
  <si>
    <t>Ghi Chú BÁN THÀNH PHẨM</t>
  </si>
  <si>
    <t>Ca Trưa</t>
  </si>
  <si>
    <t>Giữa</t>
  </si>
  <si>
    <t>Ca Tối</t>
  </si>
  <si>
    <t>CHUỖI NHÀ HÀNG BÒ TƠ QUÁN MỘC . . .</t>
  </si>
  <si>
    <t>% ĐẶT HÀNG DỰ TRÙ</t>
  </si>
  <si>
    <t>BẢY</t>
  </si>
  <si>
    <t>Ghi Chú THÀNH PHẨM CHUNG</t>
  </si>
  <si>
    <t>Ba chỉ bò sống (lẩu)</t>
  </si>
  <si>
    <t>Cuộn ba chỉ bò chín</t>
  </si>
  <si>
    <t>Vụn bò chín</t>
  </si>
  <si>
    <t>Tim bò xào chín</t>
  </si>
  <si>
    <t>Bắp bò xào chín</t>
  </si>
  <si>
    <t>Dồi bò hấp chín</t>
  </si>
  <si>
    <t>Nem bò nấm</t>
  </si>
  <si>
    <t>Gân bò làm sạch</t>
  </si>
  <si>
    <t>Cháo đặc</t>
  </si>
  <si>
    <t>Gạch cua chưng</t>
  </si>
  <si>
    <t>Viên mọc bò đã chín</t>
  </si>
  <si>
    <t>Bột tổng hợp</t>
  </si>
  <si>
    <t>Dầu điều</t>
  </si>
  <si>
    <t>Mắm nêm chế biến</t>
  </si>
  <si>
    <t>Sốt Thái Mực</t>
  </si>
  <si>
    <t>Sốt Chao</t>
  </si>
  <si>
    <t>Bột Muối Tôm</t>
  </si>
  <si>
    <t>Nước me ngâm</t>
  </si>
  <si>
    <t>Nước cốt me</t>
  </si>
  <si>
    <t>Sốt Má Heo</t>
  </si>
  <si>
    <t>Thính gạo</t>
  </si>
  <si>
    <t>Sốt phô mai</t>
  </si>
  <si>
    <t>Sốt dầu hành</t>
  </si>
  <si>
    <t>Nước lẩu tứ xuyên</t>
  </si>
  <si>
    <t>Nước lẩu thái mới</t>
  </si>
  <si>
    <t>Nước lẩu nấm mới</t>
  </si>
  <si>
    <t>Nước lẩu chua mới</t>
  </si>
  <si>
    <t>Nước lẩu cua tổng</t>
  </si>
  <si>
    <t>Nước lẩu xin thêm</t>
  </si>
  <si>
    <t>Nước chanh Knorr</t>
  </si>
  <si>
    <t xml:space="preserve">Nước nộm salad </t>
  </si>
  <si>
    <t>Sốt chấm thái đỏ</t>
  </si>
  <si>
    <t>Nước ngâm rau tiến vua</t>
  </si>
  <si>
    <t>Kho quẹt</t>
  </si>
  <si>
    <t>Siro đường - Bar</t>
  </si>
  <si>
    <t>Nước cốt trà đào - Bar</t>
  </si>
  <si>
    <t>Nước cốt trà tứ quý - Bar</t>
  </si>
  <si>
    <t>Sữa chua handmade - Bar</t>
  </si>
  <si>
    <t>Ghi Chú</t>
  </si>
  <si>
    <t>Lít</t>
  </si>
  <si>
    <t>SG10</t>
  </si>
  <si>
    <t>Row Labels</t>
  </si>
  <si>
    <t>Grand Total</t>
  </si>
  <si>
    <t>Cửa hàng</t>
  </si>
  <si>
    <t>Check</t>
  </si>
  <si>
    <t>Sum of Check</t>
  </si>
  <si>
    <t>SG01</t>
  </si>
  <si>
    <t>SG02</t>
  </si>
  <si>
    <t>SG03</t>
  </si>
  <si>
    <t>SG04</t>
  </si>
  <si>
    <t>SG05</t>
  </si>
  <si>
    <t>SG06</t>
  </si>
  <si>
    <t>SG07</t>
  </si>
  <si>
    <t>SG08</t>
  </si>
  <si>
    <t>SG09</t>
  </si>
  <si>
    <t>Cái</t>
  </si>
  <si>
    <t>NHÀ HÀNG:</t>
  </si>
  <si>
    <t>DK1</t>
  </si>
  <si>
    <t>DK2</t>
  </si>
  <si>
    <t>(chọn NH muốn xem báo cáo menu mix trong danh sách)</t>
  </si>
  <si>
    <t>(Giữ phím Ctrl nếu muốn chọn nhiều nhà hàng xem cùng lúc)</t>
  </si>
  <si>
    <t>Phần</t>
  </si>
  <si>
    <t>HSNGK001</t>
  </si>
  <si>
    <t>HSNGK004</t>
  </si>
  <si>
    <t>DỊCH VỤ/SERVICE</t>
  </si>
  <si>
    <t>Phí Đồ Ăn</t>
  </si>
  <si>
    <t>MÃ NHÓM</t>
  </si>
  <si>
    <t>TÊN NHÓM</t>
  </si>
  <si>
    <t>CLệch TA</t>
  </si>
  <si>
    <t>CLệch Per 100TC</t>
  </si>
  <si>
    <t>CPL.BEP</t>
  </si>
  <si>
    <t>CHI PHÍ QUẦY LINE NƯỚC CHẤM</t>
  </si>
  <si>
    <t>Chi phí quầy line nước chấm</t>
  </si>
  <si>
    <t>CPL.BAR</t>
  </si>
  <si>
    <t>CHI PHÍ QUẦY LINE BAR</t>
  </si>
  <si>
    <t>Chi phí quầy line bar</t>
  </si>
  <si>
    <t>LINEBEP</t>
  </si>
  <si>
    <t>LINEBAR</t>
  </si>
  <si>
    <t xml:space="preserve">CHI PHÍ QUẦY LINE BAR </t>
  </si>
  <si>
    <t xml:space="preserve">CHI PHÍ QUẦY LINE NƯỚC CHẤM </t>
  </si>
  <si>
    <t>Số TC / Bàn:</t>
  </si>
  <si>
    <t>Số Lượng Bán /100 Bàn</t>
  </si>
  <si>
    <t>Doanh Số Bán /100 Bàn</t>
  </si>
  <si>
    <t>SG11</t>
  </si>
  <si>
    <t>SG12</t>
  </si>
  <si>
    <t>SG13</t>
  </si>
  <si>
    <t>SG14</t>
  </si>
  <si>
    <t>SG15</t>
  </si>
  <si>
    <t>Số bàn</t>
  </si>
  <si>
    <t>HẢI SẢN</t>
  </si>
  <si>
    <t>KHAI VỊ</t>
  </si>
  <si>
    <t>HSNGK006</t>
  </si>
  <si>
    <t>Nước Ép Ổi</t>
  </si>
  <si>
    <t>Trà Sâm Thảo Mộc</t>
  </si>
  <si>
    <t>Nước Ngọt Pepsi</t>
  </si>
  <si>
    <t>Ly</t>
  </si>
  <si>
    <t>CHUỖI NHÀ HÀNG GSG01</t>
  </si>
  <si>
    <t>GSG01</t>
  </si>
  <si>
    <t>KVI.GSG</t>
  </si>
  <si>
    <t>XIENRCN.GSG</t>
  </si>
  <si>
    <t>XIÊN RAU - CỦ - NẤM NƯỚNG</t>
  </si>
  <si>
    <t>XIENTHIT.GSG</t>
  </si>
  <si>
    <t>XIÊN THỊT NƯỚNG</t>
  </si>
  <si>
    <t>THITBO.GSG</t>
  </si>
  <si>
    <t>THỊT BÒ</t>
  </si>
  <si>
    <t>THITHEO.GSG</t>
  </si>
  <si>
    <t>THỊT HEO</t>
  </si>
  <si>
    <t>HSAN.GSG</t>
  </si>
  <si>
    <t>ANKEM.GSG</t>
  </si>
  <si>
    <t>CÁC MÓN DÙNG KÈM</t>
  </si>
  <si>
    <t>DUPC.GSG</t>
  </si>
  <si>
    <t>ĐỒ UỐNG PHA CHẾ</t>
  </si>
  <si>
    <t>NGK.GSG</t>
  </si>
  <si>
    <t>NƯỚC GIẢI KHÁT</t>
  </si>
  <si>
    <t>GSKVI002</t>
  </si>
  <si>
    <t>RBIA.GSG</t>
  </si>
  <si>
    <t>RƯỢU BIA</t>
  </si>
  <si>
    <t>DVU.GSG</t>
  </si>
  <si>
    <t>GSTBO001</t>
  </si>
  <si>
    <t>GSTBO002</t>
  </si>
  <si>
    <t>GSTBO003</t>
  </si>
  <si>
    <t>GSTBO004</t>
  </si>
  <si>
    <t>GSTBO005</t>
  </si>
  <si>
    <t>GSTBO007</t>
  </si>
  <si>
    <t>GSTBO008</t>
  </si>
  <si>
    <t>GSTBO009</t>
  </si>
  <si>
    <t>GSTBO010</t>
  </si>
  <si>
    <t>GSTBO011</t>
  </si>
  <si>
    <t>GSHAS001</t>
  </si>
  <si>
    <t>GSHAS002</t>
  </si>
  <si>
    <t>GSHAS003</t>
  </si>
  <si>
    <t>GSAKN001</t>
  </si>
  <si>
    <t>GSAKN006</t>
  </si>
  <si>
    <t>GSHQU004</t>
  </si>
  <si>
    <t>GSHQU005</t>
  </si>
  <si>
    <t>GSHQU006</t>
  </si>
  <si>
    <t>GSHQU008</t>
  </si>
  <si>
    <t>HSNGK007</t>
  </si>
  <si>
    <t>HSNGK002</t>
  </si>
  <si>
    <t>HSBIA014</t>
  </si>
  <si>
    <t>GSDVU002</t>
  </si>
  <si>
    <t>GSDVU003</t>
  </si>
  <si>
    <t>GSDVU004</t>
  </si>
  <si>
    <t>GSDVU005</t>
  </si>
  <si>
    <t>Khoai Tây Lắc Phô Mai</t>
  </si>
  <si>
    <t>Ngô Ngọt Nướng</t>
  </si>
  <si>
    <t>Đậu Bắp Nướng</t>
  </si>
  <si>
    <t>Khoai Tây Nướng</t>
  </si>
  <si>
    <t>Bí Ngòi Nướng</t>
  </si>
  <si>
    <t>Bí Đỏ Nướng</t>
  </si>
  <si>
    <t>Khoai Lang Nướng</t>
  </si>
  <si>
    <t>Nấm Đùi Gà Nướng</t>
  </si>
  <si>
    <t>Nấm Đông Cô Nướng</t>
  </si>
  <si>
    <t>Sườn Bò Wagyu Nhật</t>
  </si>
  <si>
    <t>Sườn Bò Hoàng Đế Xốt G.Master</t>
  </si>
  <si>
    <t>Sườn Bò Hoàng Đế Xốt Tare</t>
  </si>
  <si>
    <t>Thăn Ngoại Bò Hoàng Đế Nguyên Vị</t>
  </si>
  <si>
    <t>Dẻ Sườn Bò Mỹ Nguyên Vị</t>
  </si>
  <si>
    <t>Thăn Vai Bò Mỹ Nguyên Vị</t>
  </si>
  <si>
    <t>Thăn Vai Bò Mỹ Xốt G.Master</t>
  </si>
  <si>
    <t>Lưỡi Bò Mỹ Nguyên Vị</t>
  </si>
  <si>
    <t>Lưỡi Bò Steak Xốt Hành Baro</t>
  </si>
  <si>
    <t>Thăn Bò Hoàng Đế Thượng Hạng</t>
  </si>
  <si>
    <t>Xiên Tôm Nướng</t>
  </si>
  <si>
    <t>Hàu Nướng Mỡ Hành</t>
  </si>
  <si>
    <t>Mực Ống Nướng</t>
  </si>
  <si>
    <t>Cơm Trộn G.Master</t>
  </si>
  <si>
    <t>Nước Ép Dưa Hấu</t>
  </si>
  <si>
    <t>Nước Ép Chanh Dây</t>
  </si>
  <si>
    <t>Nước Soda Citrus Tropical Blue</t>
  </si>
  <si>
    <t>Nước Lọc Aquafina</t>
  </si>
  <si>
    <t>Nước ngọt Pepsi đen lon 330ml</t>
  </si>
  <si>
    <t>Nước Ngọt 7Up</t>
  </si>
  <si>
    <t>Bia Tiger</t>
  </si>
  <si>
    <t>Nước Táo Lên Men Strongbow Vị Thơm Lựu</t>
  </si>
  <si>
    <t>Phí Rượu Vang Ngoại</t>
  </si>
  <si>
    <t>Phí Rượu Mạnh Ngoại, Bia &amp; Nước Ngọt</t>
  </si>
  <si>
    <t>Chai/Thùng/Két</t>
  </si>
  <si>
    <t>Phí Rượu Thủ Công</t>
  </si>
  <si>
    <t>GSTBO012</t>
  </si>
  <si>
    <t>HSBIA006</t>
  </si>
  <si>
    <t>Sườn Bò Wagyu Nhật Thượng Hạng Otoro</t>
  </si>
  <si>
    <t>CTY CP TẦM NHÌN QUỐC TẾ ALADDIN - CHUỖI NHÀ HÀNG G.MASTER SÀI GÒN</t>
  </si>
  <si>
    <t>COMBO.GSG</t>
  </si>
  <si>
    <t>COMBO HONG KONG</t>
  </si>
  <si>
    <t>GSHGC006</t>
  </si>
  <si>
    <t>GSAKN007</t>
  </si>
  <si>
    <t>GSAKN009</t>
  </si>
  <si>
    <t>Cá Hồi Xốt Miso Vang Đỏ</t>
  </si>
  <si>
    <t>Cơm Trộn Cá Hồi</t>
  </si>
  <si>
    <t>Canh Rong Biển</t>
  </si>
  <si>
    <t>Khoai Lang Nướng Phô Mai</t>
  </si>
  <si>
    <t>BSDVU009</t>
  </si>
  <si>
    <t>Khăn Lạnh</t>
  </si>
  <si>
    <t>GSNCD017</t>
  </si>
  <si>
    <t>GSTBO017</t>
  </si>
  <si>
    <t>GSTBO018</t>
  </si>
  <si>
    <t>GSHGC011</t>
  </si>
  <si>
    <t>GSHQU013</t>
  </si>
  <si>
    <t>HSRUO017</t>
  </si>
  <si>
    <t>HSRUO018</t>
  </si>
  <si>
    <t>Sườn Bò Nướng Thượng Hạng</t>
  </si>
  <si>
    <t>Lõi Vai Xốt BBQ</t>
  </si>
  <si>
    <t>Lõi Vai Xốt Ớt Chuông Đỏ</t>
  </si>
  <si>
    <t>Má Heo Xốt BBQ</t>
  </si>
  <si>
    <t>Sò Điệp Bơ Tỏi</t>
  </si>
  <si>
    <t>Trà Dâu Tằm</t>
  </si>
  <si>
    <t xml:space="preserve">Rượu Sake Ozeki Honjozo Karatamba </t>
  </si>
  <si>
    <t>Rượu Sake Ozeki Namachozo</t>
  </si>
  <si>
    <t>CHUỖI NHÀ HÀNG GSG02</t>
  </si>
  <si>
    <t>GSG02</t>
  </si>
  <si>
    <t>GSKVI005</t>
  </si>
  <si>
    <t>GSKVI006</t>
  </si>
  <si>
    <t>GSKVI007</t>
  </si>
  <si>
    <t>GSKVI008</t>
  </si>
  <si>
    <t>GSKVI009</t>
  </si>
  <si>
    <t>GSKVI010</t>
  </si>
  <si>
    <t>GSKVI011</t>
  </si>
  <si>
    <t>GSKVI012</t>
  </si>
  <si>
    <t>GSKVI013</t>
  </si>
  <si>
    <t>GSKVI014</t>
  </si>
  <si>
    <t>GSKVI015</t>
  </si>
  <si>
    <t>GSKVI016</t>
  </si>
  <si>
    <t>GSKVI017</t>
  </si>
  <si>
    <t>GSRAU009</t>
  </si>
  <si>
    <t>GSRAU010</t>
  </si>
  <si>
    <t>GSRAU011</t>
  </si>
  <si>
    <t>GSRAU012</t>
  </si>
  <si>
    <t>GSRAU013</t>
  </si>
  <si>
    <t>GSRAU014</t>
  </si>
  <si>
    <t>GSRAU015</t>
  </si>
  <si>
    <t>GSRAU016</t>
  </si>
  <si>
    <t>GSRAU017</t>
  </si>
  <si>
    <t>GSNCD018</t>
  </si>
  <si>
    <t>GSNCD019</t>
  </si>
  <si>
    <t>GSNCD020</t>
  </si>
  <si>
    <t>GSNCD021</t>
  </si>
  <si>
    <t>GSNCD022</t>
  </si>
  <si>
    <t>GSNCD023</t>
  </si>
  <si>
    <t>GSNCD026</t>
  </si>
  <si>
    <t>GSNCD027</t>
  </si>
  <si>
    <t>GSNCD028</t>
  </si>
  <si>
    <t>GSNCD029</t>
  </si>
  <si>
    <t>GSNCD030</t>
  </si>
  <si>
    <t>GSNCD031</t>
  </si>
  <si>
    <t>GSNCD032</t>
  </si>
  <si>
    <t>GSNCD033</t>
  </si>
  <si>
    <t>GSNCD034</t>
  </si>
  <si>
    <t>GSNCD035</t>
  </si>
  <si>
    <t>GSNCD036</t>
  </si>
  <si>
    <t>GSNCD037</t>
  </si>
  <si>
    <t>GSNCD038</t>
  </si>
  <si>
    <t>GSNCD039</t>
  </si>
  <si>
    <t>GSNCD040</t>
  </si>
  <si>
    <t>GSNCD041</t>
  </si>
  <si>
    <t>GSNCD042</t>
  </si>
  <si>
    <t>GSNCD043</t>
  </si>
  <si>
    <t>GSHGC012</t>
  </si>
  <si>
    <t>GSHGC013</t>
  </si>
  <si>
    <t>GSHGC014</t>
  </si>
  <si>
    <t>GSHGC015</t>
  </si>
  <si>
    <t>GSHGC016</t>
  </si>
  <si>
    <t>GSHAS004</t>
  </si>
  <si>
    <t>GSAKN012</t>
  </si>
  <si>
    <t>GSCBO005</t>
  </si>
  <si>
    <t>GSCBO006</t>
  </si>
  <si>
    <t>GSCBO007</t>
  </si>
  <si>
    <t>GSCBO008</t>
  </si>
  <si>
    <t>Rau Salad Hải Sản</t>
  </si>
  <si>
    <t>Rau Salad Rong Biển</t>
  </si>
  <si>
    <t>Rau Salad Bơ Xốt Mè Rang</t>
  </si>
  <si>
    <t>Rau Củ Muối Chua Ngọt</t>
  </si>
  <si>
    <t>Bạch Quả</t>
  </si>
  <si>
    <t>Đậu Nành Nhật</t>
  </si>
  <si>
    <t>Bò Tái Xốt Ponzu</t>
  </si>
  <si>
    <t>Khoai Lang Chiên Rong Biển</t>
  </si>
  <si>
    <t>Sụn Gà Chiên</t>
  </si>
  <si>
    <t>Gà Chiên Karaage</t>
  </si>
  <si>
    <t>Cánh Gà Chiên Tebasaki</t>
  </si>
  <si>
    <t>Lưỡi Bò Hầm Oden</t>
  </si>
  <si>
    <t>Cà Chua Bi</t>
  </si>
  <si>
    <t>Phần Combo Xiên Nướng 1</t>
  </si>
  <si>
    <t>Phần Combo Xiên Nướng 2</t>
  </si>
  <si>
    <t>Xiên Sụn Gà Xốt Tare</t>
  </si>
  <si>
    <t>Xiên Sụn Gà Xốt Muối</t>
  </si>
  <si>
    <t>Xiên Cánh Gà Khúc Giữa Xốt Tare</t>
  </si>
  <si>
    <t>Xiên Cánh Gà Khúc Giữa Xốt Muối</t>
  </si>
  <si>
    <t>Xiên Chẳng Dừng Xốt Tare</t>
  </si>
  <si>
    <t>Xiên Chẳng Dừng Xốt Muối</t>
  </si>
  <si>
    <t>Xiên Ba Chỉ Heo Xốt Tare</t>
  </si>
  <si>
    <t>Xiên Ba Chỉ Heo Xốt Muối</t>
  </si>
  <si>
    <t>Xiên Bò Viên Xốt Tare</t>
  </si>
  <si>
    <t>Xiên Bò Viên Xốt Muối</t>
  </si>
  <si>
    <t>Xiên Dẻ Sườn Bò Xốt Tare</t>
  </si>
  <si>
    <t>Xiên Dẻ Sườn Bò Xốt Muối</t>
  </si>
  <si>
    <t>Xiên Gà Hành Baro Xốt Tare</t>
  </si>
  <si>
    <t>Xiên Gà Hành Baro Xốt Muối</t>
  </si>
  <si>
    <t>Xiên Mề Gà Xốt Tare</t>
  </si>
  <si>
    <t>Xiên Mề Gà Xốt Muối</t>
  </si>
  <si>
    <t>Xiên Tim Gà Xốt Tare</t>
  </si>
  <si>
    <t>Xiên Tim Gà Xốt Muối</t>
  </si>
  <si>
    <t>Xiên Trứng Cút Xốt Tare</t>
  </si>
  <si>
    <t>Xiên Trứng Cút Xốt Muối</t>
  </si>
  <si>
    <t>Xiên Cá Hồi</t>
  </si>
  <si>
    <t>Cá Thu Đao Nướng Muối</t>
  </si>
  <si>
    <t>Chẳng Dừng Xốt Shio</t>
  </si>
  <si>
    <t>Ba Chỉ Heo Xốt Shio</t>
  </si>
  <si>
    <t>Ba Chỉ Heo Xốt Trái Cây</t>
  </si>
  <si>
    <t>Má Heo Xốt Trái Cây</t>
  </si>
  <si>
    <t>Hàu Nướng Giấy Bạc</t>
  </si>
  <si>
    <t>Mỳ Udon Thịt Bò</t>
  </si>
  <si>
    <t>PHẦN COMBO GINZA (SÀNH ĐIỆU)</t>
  </si>
  <si>
    <t>PHẦN COMBO GENKI (NĂNG LƯỢNG)</t>
  </si>
  <si>
    <t>PHẦN COMBO GOKUJO (THƯỢNG ĐỈNH)</t>
  </si>
  <si>
    <t>PHẦN COMBO GISHIKI (TINH HOA)</t>
  </si>
  <si>
    <t>HSBIA008</t>
  </si>
  <si>
    <t>HSRUO021</t>
  </si>
  <si>
    <t>Bia Sapporo</t>
  </si>
  <si>
    <t>Rượu Mơ Hoa</t>
  </si>
  <si>
    <t>CHUỖI NHÀ HÀNG GSG03</t>
  </si>
  <si>
    <t>GSG03</t>
  </si>
  <si>
    <t>HSRUO013</t>
  </si>
  <si>
    <t>HSRUO022</t>
  </si>
  <si>
    <t>HSRUO024</t>
  </si>
  <si>
    <t>GSCBO009</t>
  </si>
  <si>
    <t>PHẦN SET MENU GORO</t>
  </si>
  <si>
    <t>GSHQU016</t>
  </si>
  <si>
    <t>Rượu Kumquat Sour</t>
  </si>
  <si>
    <t>Rượu Mơ Sapa 370ML</t>
  </si>
  <si>
    <t>GSHQU015</t>
  </si>
  <si>
    <t>Trà Gạo Rang</t>
  </si>
  <si>
    <t>GSHQU017</t>
  </si>
  <si>
    <t>Rượu Highball Táo</t>
  </si>
  <si>
    <t>HSRUO023</t>
  </si>
  <si>
    <t>Rượu Sake Chotokusen Osakaya Chobei Daiginjo 15% 300ML</t>
  </si>
  <si>
    <t>HSRUO020</t>
  </si>
  <si>
    <t>PHẦN SET MENU GISHIKI (TINH HOA)</t>
  </si>
  <si>
    <t>Rượu Umeshu Yuzu 500ML</t>
  </si>
  <si>
    <t>Rượu Sake Chotokusen Osakaya Chobei Daiginjo 15% 500ML</t>
  </si>
  <si>
    <t>Rượu Mùa Craft Sake Vị Chanh Dây &amp; Tiêu Thất 300ML</t>
  </si>
  <si>
    <t xml:space="preserve">Xiên Mề Gà Xốt Tare </t>
  </si>
  <si>
    <t>Sườn Bò Wagyu Nhật A4</t>
  </si>
  <si>
    <t>Sườn Bò Wagyu Nhật Thượng Hạng Otoro A5</t>
  </si>
  <si>
    <t>Lưỡi Bò Xốt Hành Baro</t>
  </si>
  <si>
    <t>Lõi Vai Xốt Trái Cây</t>
  </si>
  <si>
    <t>Tôm Nướng Xốt Bơ Tỏi</t>
  </si>
  <si>
    <t>Nước Táo Lên Men Strongbow Vị Thơm Và Lựu</t>
  </si>
  <si>
    <t>Rượu Sake Ozeki Honjozo Karatamba 300ML</t>
  </si>
  <si>
    <t>Rượu Sake Ozeki Namachozo 300ML</t>
  </si>
  <si>
    <t>Rượu Mơ Hoa Thông 500ML</t>
  </si>
  <si>
    <t>Rượu Sake Ozeki One Cup 14% 180ML</t>
  </si>
  <si>
    <t>Khăn Ướt</t>
  </si>
  <si>
    <t>GSKVI018</t>
  </si>
  <si>
    <t>Đậu Nành Nhật (Tặng)</t>
  </si>
  <si>
    <t>GSHQU018</t>
  </si>
  <si>
    <t>Rượu Sake Ozeki Traditional (Size S)</t>
  </si>
  <si>
    <t>Bình</t>
  </si>
  <si>
    <t>GSHQU019</t>
  </si>
  <si>
    <t>Rượu Sake Ozeki One Cup 14% 180ML (Size S)</t>
  </si>
  <si>
    <t>GSTMI001</t>
  </si>
  <si>
    <t>6 481.48</t>
  </si>
  <si>
    <t>Bánh Mochi trà xanh</t>
  </si>
  <si>
    <t>GSTBO006</t>
  </si>
  <si>
    <t>GSAKN002</t>
  </si>
  <si>
    <t>GSAKN004</t>
  </si>
  <si>
    <t>GSAKN005</t>
  </si>
  <si>
    <t>GSAKN008</t>
  </si>
  <si>
    <t>GSAKN010</t>
  </si>
  <si>
    <t>Dẻ Sườn Bò Đặc Biệt Xốt Galbi</t>
  </si>
  <si>
    <t>Canh Há Cảo Tôm Thịt</t>
  </si>
  <si>
    <t>Bánh Mì Bơ Tỏi</t>
  </si>
  <si>
    <t>Canh Kim Chi</t>
  </si>
  <si>
    <t>Bắp Nướng Phô Mai</t>
  </si>
  <si>
    <t>GSNCD024</t>
  </si>
  <si>
    <t>GSNCD025</t>
  </si>
  <si>
    <t>Xiên Chân Gà Xốt Tare</t>
  </si>
  <si>
    <t>Xiên Chân Gà Xốt Muối</t>
  </si>
  <si>
    <t>01.09.2026-&gt;27.09.2026</t>
  </si>
  <si>
    <t>01.09.2026-&gt;30.09.2026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</si>
</sst>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_(* \(#,##0.00\);_(* &quot;-&quot;??_);_(@_)"/>
    <numFmt numFmtId="164" formatCode="_-* #,##0.00_-;\-* #,##0.00_-;_-* &quot;-&quot;??_-;_-@_-"/>
    <numFmt numFmtId="165" formatCode="_-* #,##0.00\ _₫_-;\-* #,##0.00\ _₫_-;_-* &quot;-&quot;??\ _₫_-;_-@_-"/>
    <numFmt numFmtId="166" formatCode="_(* #,##0_);_(* \(#,##0\);_(* &quot;-&quot;??_);_(@_)"/>
    <numFmt numFmtId="167" formatCode="_-* #,##0\ _₫_-;\-* #,##0\ _₫_-;_-* &quot;-&quot;??\ _₫_-;_-@_-"/>
    <numFmt numFmtId="168" formatCode="0.0%"/>
    <numFmt numFmtId="169" formatCode="_-* #,##0_-;\-* #,##0_-;_-* &quot;-&quot;??_-;_-@_-"/>
    <numFmt numFmtId="170" formatCode="[$-1010000]d/m/yyyy;@"/>
    <numFmt numFmtId="171" formatCode="_-* #,##0.0_-;\-* #,##0.0_-;_-* &quot;-&quot;??_-;_-@"/>
    <numFmt numFmtId="172" formatCode="_-* #,##0.00\ _₫_-;\-* #,##0.00\ _₫_-;_-* &quot;-&quot;??\ _₫_-;_-@"/>
    <numFmt numFmtId="173" formatCode="_-* #,##0_-;\-* #,##0_-;_-* &quot;-&quot;??_-;_-@"/>
    <numFmt numFmtId="174" formatCode="_-* #,##0\ _₫_-;\-* #,##0\ _₫_-;_-* &quot;-&quot;??\ _₫_-;_-@"/>
    <numFmt numFmtId="175" formatCode="_(* #,##0.0_);_(* \(#,##0.0\);_(* &quot;-&quot;??_);_(@_)"/>
    <numFmt numFmtId="176" formatCode="_-* #,##0.0\ _₫_-;\-* #,##0.0\ _₫_-;_-* &quot;-&quot;??\ _₫_-;_-@"/>
  </numFmts>
  <fonts count="76" x14ac:knownFonts="1">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0"/>
      <name val="Tahoma"/>
      <family val="2"/>
    </font>
    <font>
      <b/>
      <sz val="10"/>
      <name val="Tahoma"/>
      <family val="2"/>
    </font>
    <font>
      <sz val="10"/>
      <color rgb="FFC00000"/>
      <name val="Tahoma"/>
      <family val="2"/>
    </font>
    <font>
      <sz val="12"/>
      <color theme="1"/>
      <name val="Tahoma"/>
      <family val="2"/>
    </font>
    <font>
      <b/>
      <sz val="12.5"/>
      <name val="Tahoma"/>
      <family val="2"/>
    </font>
    <font>
      <sz val="12"/>
      <name val="Tahoma"/>
      <family val="2"/>
    </font>
    <font>
      <b/>
      <sz val="12"/>
      <color theme="1"/>
      <name val="Tahoma"/>
      <family val="2"/>
    </font>
    <font>
      <sz val="12"/>
      <color rgb="FFC00000"/>
      <name val="Tahoma"/>
      <family val="2"/>
    </font>
    <font>
      <sz val="20"/>
      <color theme="1"/>
      <name val="Tahoma"/>
      <family val="2"/>
    </font>
    <font>
      <b/>
      <sz val="20"/>
      <color rgb="FFC00000"/>
      <name val="Tahoma"/>
      <family val="2"/>
    </font>
    <font>
      <sz val="20"/>
      <name val="Tahoma"/>
      <family val="2"/>
    </font>
    <font>
      <b/>
      <sz val="20"/>
      <color theme="1"/>
      <name val="Tahoma"/>
      <family val="2"/>
    </font>
    <font>
      <b/>
      <u val="singleAccounting"/>
      <sz val="12.5"/>
      <name val="Tahoma"/>
      <family val="2"/>
    </font>
    <font>
      <b/>
      <sz val="10"/>
      <color rgb="FFC00000"/>
      <name val="Tahoma"/>
      <family val="2"/>
    </font>
    <font>
      <b/>
      <sz val="11"/>
      <color theme="1"/>
      <name val="Tahoma"/>
      <family val="2"/>
    </font>
    <font>
      <b/>
      <sz val="11"/>
      <name val="Tahoma"/>
      <family val="2"/>
    </font>
    <font>
      <b/>
      <sz val="11"/>
      <color rgb="FFC00000"/>
      <name val="Tahoma"/>
      <family val="2"/>
    </font>
    <font>
      <sz val="11"/>
      <name val="Tahoma"/>
      <family val="2"/>
    </font>
    <font>
      <b/>
      <sz val="10"/>
      <color theme="0"/>
      <name val="Tahoma"/>
      <family val="2"/>
    </font>
    <font>
      <sz val="10"/>
      <color theme="0"/>
      <name val="Tahoma"/>
      <family val="2"/>
    </font>
    <font>
      <b/>
      <sz val="12"/>
      <color theme="1"/>
      <name val="Calibri"/>
      <family val="2"/>
      <scheme val="minor"/>
    </font>
    <font>
      <b/>
      <u/>
      <sz val="10"/>
      <color rgb="FFC00000"/>
      <name val="Tahoma"/>
      <family val="2"/>
    </font>
    <font>
      <b/>
      <sz val="8"/>
      <color rgb="FFC00000"/>
      <name val="Tahoma"/>
      <family val="2"/>
    </font>
    <font>
      <i/>
      <sz val="10"/>
      <color theme="7" tint="-0.249977111117893"/>
      <name val="Arial"/>
      <family val="2"/>
    </font>
    <font>
      <sz val="10"/>
      <name val="Arial"/>
      <family val="2"/>
    </font>
    <font>
      <b/>
      <sz val="17.5"/>
      <color rgb="FFC00000"/>
      <name val="Calibri"/>
      <family val="2"/>
      <scheme val="minor"/>
    </font>
    <font>
      <sz val="10"/>
      <name val="Calibri"/>
      <family val="2"/>
      <scheme val="minor"/>
    </font>
    <font>
      <b/>
      <sz val="10"/>
      <name val="Arial"/>
      <family val="2"/>
      <charset val="163"/>
    </font>
    <font>
      <b/>
      <u/>
      <sz val="10"/>
      <name val="Tahoma"/>
      <family val="2"/>
    </font>
    <font>
      <b/>
      <sz val="12"/>
      <name val="Calibri"/>
      <family val="2"/>
    </font>
    <font>
      <b/>
      <sz val="12"/>
      <name val="Tahoma"/>
      <family val="2"/>
    </font>
    <font>
      <sz val="12"/>
      <name val="Calibri"/>
      <family val="2"/>
    </font>
    <font>
      <sz val="10"/>
      <name val="Calibri"/>
      <family val="2"/>
    </font>
    <font>
      <b/>
      <sz val="10"/>
      <name val="Calibri"/>
      <family val="2"/>
      <scheme val="minor"/>
    </font>
    <font>
      <sz val="10"/>
      <name val="Times New Roman"/>
      <family val="1"/>
    </font>
    <font>
      <sz val="10"/>
      <color rgb="FF000000"/>
      <name val="Times New Roman"/>
      <family val="1"/>
    </font>
    <font>
      <sz val="10"/>
      <color theme="1"/>
      <name val="Times New Roman"/>
      <family val="1"/>
    </font>
    <font>
      <sz val="10"/>
      <color theme="5"/>
      <name val="Times New Roman"/>
      <family val="1"/>
    </font>
    <font>
      <sz val="10"/>
      <color theme="5"/>
      <name val="Tahoma"/>
      <family val="2"/>
    </font>
    <font>
      <sz val="10"/>
      <name val="Microsoft Sans Serif"/>
      <family val="2"/>
    </font>
    <font>
      <sz val="11"/>
      <color indexed="8"/>
      <name val="Calibri"/>
      <family val="2"/>
    </font>
    <font>
      <sz val="10"/>
      <color theme="1"/>
      <name val="Calibri"/>
      <family val="2"/>
      <scheme val="minor"/>
    </font>
    <font>
      <b/>
      <sz val="11"/>
      <color theme="1"/>
      <name val="Calibri"/>
      <family val="2"/>
      <scheme val="minor"/>
    </font>
    <font>
      <sz val="8"/>
      <name val="Calibri"/>
      <family val="2"/>
      <charset val="163"/>
      <scheme val="minor"/>
    </font>
    <font>
      <i/>
      <sz val="10"/>
      <name val="Tahoma"/>
      <family val="2"/>
    </font>
    <font>
      <sz val="11"/>
      <name val="Calibri"/>
      <family val="2"/>
      <scheme val="minor"/>
    </font>
    <font>
      <b/>
      <sz val="10"/>
      <name val="Calibri"/>
      <family val="2"/>
    </font>
    <font>
      <sz val="10"/>
      <color rgb="FFFF0000"/>
      <name val="Tahoma"/>
      <family val="2"/>
    </font>
    <font>
      <sz val="11"/>
      <name val="Calibri"/>
      <family val="2"/>
      <scheme val="minor"/>
    </font>
    <font>
      <b/>
      <sz val="10"/>
      <color rgb="FFFF0000"/>
      <name val="Arial"/>
      <family val="2"/>
      <charset val="163"/>
    </font>
    <font>
      <b/>
      <u/>
      <sz val="10"/>
      <color rgb="FFFF0000"/>
      <name val="Tahoma"/>
      <family val="2"/>
    </font>
    <font>
      <b/>
      <sz val="10"/>
      <name val="Times New Roman"/>
      <family val="1"/>
    </font>
    <font>
      <b/>
      <u/>
      <sz val="10"/>
      <name val="Times New Roman"/>
      <family val="1"/>
    </font>
    <font>
      <sz val="11"/>
      <name val="Calibri"/>
      <family val="2"/>
      <scheme val="minor"/>
    </font>
    <font>
      <sz val="10"/>
      <color rgb="FF000000"/>
      <name val="Calibri"/>
      <family val="2"/>
      <scheme val="minor"/>
    </font>
    <font>
      <i/>
      <sz val="10"/>
      <name val="Arial"/>
      <family val="2"/>
    </font>
    <font>
      <sz val="10"/>
      <name val="Times New Roman"/>
      <family val="1"/>
      <charset val="163"/>
    </font>
    <font>
      <b/>
      <sz val="10"/>
      <name val="Times New Roman"/>
      <family val="1"/>
      <charset val="163"/>
    </font>
    <font>
      <b/>
      <u/>
      <sz val="10"/>
      <name val="Times New Roman"/>
      <family val="1"/>
      <charset val="163"/>
    </font>
    <font>
      <sz val="10"/>
      <name val="Tahoma"/>
      <family val="2"/>
      <charset val="163"/>
    </font>
    <font>
      <i/>
      <sz val="10"/>
      <name val="Times New Roman"/>
      <family val="1"/>
      <charset val="163"/>
    </font>
    <font>
      <b/>
      <u val="singleAccounting"/>
      <sz val="10.5"/>
      <color theme="1"/>
      <name val="Times New Roman"/>
      <family val="1"/>
    </font>
    <font>
      <b/>
      <sz val="12.5"/>
      <color rgb="FFC00000"/>
      <name val="Times New Roman"/>
      <family val="1"/>
    </font>
    <font>
      <b/>
      <sz val="10"/>
      <color theme="4" tint="-0.249977111117893"/>
      <name val="Times New Roman"/>
      <family val="1"/>
    </font>
    <font>
      <sz val="10"/>
      <color theme="4" tint="-0.249977111117893"/>
      <name val="Times New Roman"/>
      <family val="1"/>
    </font>
    <font>
      <b/>
      <sz val="10"/>
      <color theme="4" tint="-0.249977111117893"/>
      <name val="Tahoma"/>
      <family val="2"/>
    </font>
    <font>
      <sz val="10"/>
      <color theme="4" tint="-0.249977111117893"/>
      <name val="Tahoma"/>
      <family val="2"/>
    </font>
    <font>
      <b/>
      <sz val="10"/>
      <color theme="1"/>
      <name val="Tahoma"/>
      <family val="2"/>
    </font>
  </fonts>
  <fills count="35">
    <fill>
      <patternFill patternType="none"/>
    </fill>
    <fill>
      <patternFill patternType="gray125"/>
    </fill>
    <fill>
      <patternFill patternType="solid">
        <fgColor theme="0" tint="-0.14999847407452621"/>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FEF2CB"/>
        <bgColor rgb="FFFEF2CB"/>
      </patternFill>
    </fill>
    <fill>
      <patternFill patternType="solid">
        <fgColor rgb="FFFFFFCC"/>
        <bgColor rgb="FFFFFFCC"/>
      </patternFill>
    </fill>
    <fill>
      <patternFill patternType="solid">
        <fgColor rgb="FF757070"/>
        <bgColor rgb="FF757070"/>
      </patternFill>
    </fill>
    <fill>
      <patternFill patternType="solid">
        <fgColor theme="9" tint="0.39997558519241921"/>
        <bgColor indexed="64"/>
      </patternFill>
    </fill>
    <fill>
      <patternFill patternType="solid">
        <fgColor theme="9" tint="0.39997558519241921"/>
        <bgColor rgb="FFAEABAB"/>
      </patternFill>
    </fill>
    <fill>
      <patternFill patternType="solid">
        <fgColor theme="2"/>
        <bgColor indexed="64"/>
      </patternFill>
    </fill>
    <fill>
      <patternFill patternType="solid">
        <fgColor theme="2"/>
        <bgColor rgb="FFD8D8D8"/>
      </patternFill>
    </fill>
    <fill>
      <patternFill patternType="solid">
        <fgColor theme="0"/>
        <bgColor theme="0"/>
      </patternFill>
    </fill>
    <fill>
      <patternFill patternType="solid">
        <fgColor theme="7" tint="0.79998168889431442"/>
        <bgColor rgb="FFFEF2CB"/>
      </patternFill>
    </fill>
    <fill>
      <patternFill patternType="solid">
        <fgColor theme="0"/>
        <bgColor indexed="64"/>
      </patternFill>
    </fill>
    <fill>
      <patternFill patternType="solid">
        <fgColor theme="0"/>
        <bgColor rgb="FFFFFF00"/>
      </patternFill>
    </fill>
    <fill>
      <patternFill patternType="solid">
        <fgColor theme="0"/>
        <bgColor rgb="FFD8D8D8"/>
      </patternFill>
    </fill>
    <fill>
      <patternFill patternType="solid">
        <fgColor rgb="FFFFFF00"/>
        <bgColor indexed="64"/>
      </patternFill>
    </fill>
    <fill>
      <patternFill patternType="solid">
        <fgColor theme="5" tint="0.39997558519241921"/>
        <bgColor rgb="FFAEABAB"/>
      </patternFill>
    </fill>
    <fill>
      <patternFill patternType="solid">
        <fgColor theme="5" tint="0.39997558519241921"/>
        <bgColor indexed="64"/>
      </patternFill>
    </fill>
    <fill>
      <patternFill patternType="solid">
        <fgColor theme="2"/>
        <bgColor rgb="FFAEABAB"/>
      </patternFill>
    </fill>
    <fill>
      <patternFill patternType="solid">
        <fgColor theme="0" tint="-0.249977111117893"/>
        <bgColor rgb="FFAEABAB"/>
      </patternFill>
    </fill>
    <fill>
      <patternFill patternType="solid">
        <fgColor theme="0" tint="-0.249977111117893"/>
        <bgColor indexed="64"/>
      </patternFill>
    </fill>
    <fill>
      <patternFill patternType="solid">
        <fgColor theme="2" tint="-0.249977111117893"/>
        <bgColor rgb="FF757070"/>
      </patternFill>
    </fill>
    <fill>
      <patternFill patternType="solid">
        <fgColor rgb="FFFFFF00"/>
        <bgColor rgb="FFFFFFCC"/>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7" tint="0.79998168889431442"/>
        <bgColor theme="0"/>
      </patternFill>
    </fill>
  </fills>
  <borders count="28">
    <border>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top style="thin">
        <color theme="9" tint="0.79998168889431442"/>
      </top>
      <bottom style="thin">
        <color theme="9" tint="0.79998168889431442"/>
      </bottom>
      <diagonal/>
    </border>
    <border>
      <left/>
      <right/>
      <top/>
      <bottom style="medium">
        <color rgb="FF000000"/>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thin">
        <color auto="1"/>
      </bottom>
      <diagonal/>
    </border>
    <border>
      <left style="thin">
        <color indexed="64"/>
      </left>
      <right style="thin">
        <color indexed="64"/>
      </right>
      <top style="hair">
        <color indexed="64"/>
      </top>
      <bottom/>
      <diagonal/>
    </border>
    <border>
      <left/>
      <right/>
      <top style="thin">
        <color indexed="64"/>
      </top>
      <bottom/>
      <diagonal/>
    </border>
  </borders>
  <cellStyleXfs count="329">
    <xf numFmtId="0" fontId="0" fillId="0" borderId="0"/>
    <xf numFmtId="165" fontId="7" fillId="0" borderId="0" applyFont="0" applyFill="0" applyBorder="0" applyAlignment="0" applyProtection="0"/>
    <xf numFmtId="9" fontId="7" fillId="0" borderId="0" applyFont="0" applyFill="0" applyBorder="0" applyAlignment="0" applyProtection="0"/>
    <xf numFmtId="0" fontId="6" fillId="0" borderId="0"/>
    <xf numFmtId="0" fontId="48" fillId="0" borderId="0"/>
    <xf numFmtId="0" fontId="6" fillId="0" borderId="0"/>
    <xf numFmtId="0" fontId="5" fillId="0" borderId="0"/>
    <xf numFmtId="0" fontId="53" fillId="0" borderId="0"/>
    <xf numFmtId="0" fontId="53" fillId="0" borderId="0"/>
    <xf numFmtId="0" fontId="53" fillId="0" borderId="0"/>
    <xf numFmtId="0" fontId="56" fillId="0" borderId="0"/>
    <xf numFmtId="9" fontId="53" fillId="0" borderId="0" applyFont="0" applyFill="0" applyBorder="0" applyAlignment="0" applyProtection="0"/>
    <xf numFmtId="0" fontId="53" fillId="0" borderId="0"/>
    <xf numFmtId="0" fontId="4" fillId="0" borderId="0"/>
    <xf numFmtId="43" fontId="32" fillId="0" borderId="0" applyFill="0" applyBorder="0" applyAlignment="0" applyProtection="0"/>
    <xf numFmtId="164" fontId="32" fillId="0" borderId="0" applyFont="0" applyFill="0" applyBorder="0" applyAlignment="0" applyProtection="0"/>
    <xf numFmtId="0" fontId="4" fillId="0" borderId="0"/>
    <xf numFmtId="0" fontId="32" fillId="0" borderId="0"/>
    <xf numFmtId="43" fontId="53" fillId="0" borderId="0" applyFont="0" applyFill="0" applyBorder="0" applyAlignment="0" applyProtection="0"/>
    <xf numFmtId="0" fontId="4"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32" fillId="0" borderId="0" applyFill="0" applyBorder="0" applyAlignment="0" applyProtection="0"/>
    <xf numFmtId="0" fontId="4" fillId="0" borderId="0"/>
    <xf numFmtId="43" fontId="53" fillId="0" borderId="0" applyFont="0" applyFill="0" applyBorder="0" applyAlignment="0" applyProtection="0"/>
    <xf numFmtId="0" fontId="4" fillId="0" borderId="0"/>
    <xf numFmtId="0" fontId="4" fillId="0" borderId="0"/>
    <xf numFmtId="0" fontId="4" fillId="0" borderId="0"/>
    <xf numFmtId="164" fontId="32" fillId="0" borderId="0" applyFont="0" applyFill="0" applyBorder="0" applyAlignment="0" applyProtection="0"/>
    <xf numFmtId="0" fontId="4" fillId="0" borderId="0"/>
    <xf numFmtId="0" fontId="32" fillId="0" borderId="0"/>
    <xf numFmtId="0" fontId="4" fillId="0" borderId="0"/>
    <xf numFmtId="9" fontId="53" fillId="0" borderId="0" applyFont="0" applyFill="0" applyBorder="0" applyAlignment="0" applyProtection="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3" fillId="0" borderId="0"/>
    <xf numFmtId="164" fontId="32" fillId="0" borderId="0" applyFont="0" applyFill="0" applyBorder="0" applyAlignment="0" applyProtection="0"/>
    <xf numFmtId="0" fontId="4" fillId="0" borderId="0"/>
    <xf numFmtId="0" fontId="32" fillId="0" borderId="0"/>
    <xf numFmtId="43" fontId="53" fillId="0" borderId="0" applyFont="0" applyFill="0" applyBorder="0" applyAlignment="0" applyProtection="0"/>
    <xf numFmtId="0" fontId="4"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3" fillId="0" borderId="0"/>
    <xf numFmtId="0" fontId="4" fillId="0" borderId="0"/>
    <xf numFmtId="9" fontId="7" fillId="0" borderId="0" applyFont="0" applyFill="0" applyBorder="0" applyAlignment="0" applyProtection="0"/>
    <xf numFmtId="165"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7" fillId="0" borderId="0"/>
    <xf numFmtId="0" fontId="3" fillId="0" borderId="0"/>
    <xf numFmtId="0" fontId="3" fillId="0" borderId="0"/>
    <xf numFmtId="0" fontId="3" fillId="0" borderId="0"/>
    <xf numFmtId="0" fontId="3" fillId="0" borderId="0"/>
    <xf numFmtId="0" fontId="48" fillId="0" borderId="0"/>
    <xf numFmtId="43" fontId="32" fillId="0" borderId="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6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cellStyleXfs>
  <cellXfs count="726">
    <xf numFmtId="0" fontId="0" fillId="0" borderId="0" xfId="0"/>
    <xf numFmtId="166" fontId="8" fillId="0" borderId="0" xfId="1" applyNumberFormat="1" applyFont="1" applyAlignment="1">
      <alignment vertical="center"/>
    </xf>
    <xf numFmtId="166" fontId="8" fillId="0" borderId="0" xfId="1" applyNumberFormat="1" applyFont="1" applyAlignment="1">
      <alignment horizontal="center" vertical="center"/>
    </xf>
    <xf numFmtId="165" fontId="10" fillId="0" borderId="0" xfId="1" applyFont="1" applyAlignment="1">
      <alignment horizontal="center" vertical="center"/>
    </xf>
    <xf numFmtId="168" fontId="8" fillId="0" borderId="0" xfId="2" applyNumberFormat="1" applyFont="1" applyAlignment="1">
      <alignment vertical="center"/>
    </xf>
    <xf numFmtId="169" fontId="11" fillId="0" borderId="0" xfId="1" applyNumberFormat="1" applyFont="1" applyAlignment="1">
      <alignment horizontal="left" vertical="center"/>
    </xf>
    <xf numFmtId="167" fontId="12" fillId="0" borderId="0" xfId="1" applyNumberFormat="1" applyFont="1" applyFill="1" applyBorder="1" applyAlignment="1">
      <alignment vertical="center"/>
    </xf>
    <xf numFmtId="169" fontId="13" fillId="0" borderId="0" xfId="1" applyNumberFormat="1" applyFont="1" applyAlignment="1">
      <alignment horizontal="left" vertical="center"/>
    </xf>
    <xf numFmtId="169" fontId="11" fillId="0" borderId="0" xfId="1" applyNumberFormat="1" applyFont="1" applyAlignment="1">
      <alignment horizontal="center" vertical="center"/>
    </xf>
    <xf numFmtId="165" fontId="15" fillId="0" borderId="0" xfId="1" applyFont="1" applyAlignment="1">
      <alignment horizontal="center" vertical="center"/>
    </xf>
    <xf numFmtId="168" fontId="11" fillId="0" borderId="0" xfId="2" applyNumberFormat="1" applyFont="1" applyAlignment="1">
      <alignment horizontal="left" vertical="center"/>
    </xf>
    <xf numFmtId="166" fontId="16" fillId="0" borderId="0" xfId="1" applyNumberFormat="1" applyFont="1" applyAlignment="1">
      <alignment vertical="center"/>
    </xf>
    <xf numFmtId="167" fontId="17" fillId="0" borderId="0" xfId="1" applyNumberFormat="1" applyFont="1" applyFill="1" applyBorder="1" applyAlignment="1">
      <alignment vertical="center"/>
    </xf>
    <xf numFmtId="166" fontId="18" fillId="0" borderId="0" xfId="1" applyNumberFormat="1" applyFont="1" applyAlignment="1">
      <alignment vertical="center"/>
    </xf>
    <xf numFmtId="166" fontId="16" fillId="0" borderId="0" xfId="1" applyNumberFormat="1" applyFont="1" applyAlignment="1">
      <alignment horizontal="center" vertical="center"/>
    </xf>
    <xf numFmtId="168" fontId="16" fillId="0" borderId="0" xfId="2" applyNumberFormat="1" applyFont="1" applyAlignment="1">
      <alignment vertical="center"/>
    </xf>
    <xf numFmtId="166" fontId="20" fillId="0" borderId="0" xfId="1" applyNumberFormat="1" applyFont="1" applyAlignment="1">
      <alignment vertical="center"/>
    </xf>
    <xf numFmtId="168" fontId="21" fillId="0" borderId="0" xfId="2" applyNumberFormat="1" applyFont="1" applyFill="1" applyAlignment="1">
      <alignment horizontal="left" vertical="center"/>
    </xf>
    <xf numFmtId="166" fontId="9" fillId="0" borderId="0" xfId="1" applyNumberFormat="1" applyFont="1" applyAlignment="1">
      <alignment vertical="center"/>
    </xf>
    <xf numFmtId="166" fontId="22" fillId="0" borderId="0" xfId="1" applyNumberFormat="1" applyFont="1" applyAlignment="1">
      <alignment vertical="center"/>
    </xf>
    <xf numFmtId="166" fontId="9" fillId="0" borderId="0" xfId="1" applyNumberFormat="1" applyFont="1" applyAlignment="1">
      <alignment horizontal="center" vertical="center"/>
    </xf>
    <xf numFmtId="168" fontId="22" fillId="0" borderId="0" xfId="2" applyNumberFormat="1" applyFont="1" applyAlignment="1">
      <alignment horizontal="center" vertical="center"/>
    </xf>
    <xf numFmtId="166" fontId="22" fillId="0" borderId="0" xfId="1" applyNumberFormat="1" applyFont="1" applyAlignment="1">
      <alignment vertical="center" wrapText="1"/>
    </xf>
    <xf numFmtId="14" fontId="22" fillId="0" borderId="0" xfId="1" applyNumberFormat="1" applyFont="1" applyAlignment="1">
      <alignment horizontal="center" vertical="center" wrapText="1"/>
    </xf>
    <xf numFmtId="168" fontId="22" fillId="0" borderId="0" xfId="2" applyNumberFormat="1" applyFont="1" applyAlignment="1">
      <alignment horizontal="center" vertical="center" wrapText="1"/>
    </xf>
    <xf numFmtId="14" fontId="22" fillId="0" borderId="0" xfId="1" applyNumberFormat="1" applyFont="1" applyAlignment="1">
      <alignment vertical="center" wrapText="1"/>
    </xf>
    <xf numFmtId="166" fontId="22" fillId="0" borderId="2" xfId="1" applyNumberFormat="1" applyFont="1" applyBorder="1" applyAlignment="1">
      <alignment horizontal="center" vertical="center"/>
    </xf>
    <xf numFmtId="166" fontId="25" fillId="0" borderId="2" xfId="1" applyNumberFormat="1" applyFont="1" applyBorder="1" applyAlignment="1">
      <alignment horizontal="center" vertical="center"/>
    </xf>
    <xf numFmtId="165" fontId="24" fillId="0" borderId="0" xfId="1" applyFont="1" applyAlignment="1">
      <alignment horizontal="center" vertical="center"/>
    </xf>
    <xf numFmtId="168" fontId="22" fillId="0" borderId="0" xfId="2" applyNumberFormat="1" applyFont="1" applyAlignment="1">
      <alignment vertical="center"/>
    </xf>
    <xf numFmtId="166" fontId="21" fillId="0" borderId="0" xfId="1" applyNumberFormat="1" applyFont="1" applyAlignment="1">
      <alignment vertical="center"/>
    </xf>
    <xf numFmtId="168" fontId="21" fillId="0" borderId="0" xfId="2" applyNumberFormat="1" applyFont="1" applyAlignment="1">
      <alignment vertical="center"/>
    </xf>
    <xf numFmtId="168" fontId="21" fillId="0" borderId="0" xfId="2" applyNumberFormat="1" applyFont="1" applyAlignment="1">
      <alignment horizontal="center" vertical="center"/>
    </xf>
    <xf numFmtId="168" fontId="9" fillId="0" borderId="0" xfId="2" applyNumberFormat="1" applyFont="1" applyAlignment="1">
      <alignment vertical="center"/>
    </xf>
    <xf numFmtId="166" fontId="8" fillId="0" borderId="7" xfId="1" applyNumberFormat="1" applyFont="1" applyBorder="1" applyAlignment="1">
      <alignment vertical="center"/>
    </xf>
    <xf numFmtId="165" fontId="10" fillId="0" borderId="7" xfId="1" applyFont="1" applyBorder="1" applyAlignment="1">
      <alignment horizontal="center" vertical="center"/>
    </xf>
    <xf numFmtId="166" fontId="8" fillId="0" borderId="8" xfId="1" applyNumberFormat="1" applyFont="1" applyBorder="1" applyAlignment="1">
      <alignment vertical="center"/>
    </xf>
    <xf numFmtId="165" fontId="10" fillId="0" borderId="8" xfId="1" applyFont="1" applyBorder="1" applyAlignment="1">
      <alignment horizontal="center" vertical="center"/>
    </xf>
    <xf numFmtId="166" fontId="9" fillId="2" borderId="7" xfId="1" applyNumberFormat="1" applyFont="1" applyFill="1" applyBorder="1" applyAlignment="1">
      <alignment vertical="center"/>
    </xf>
    <xf numFmtId="168" fontId="8" fillId="4" borderId="3" xfId="2" applyNumberFormat="1" applyFont="1" applyFill="1" applyBorder="1" applyAlignment="1" applyProtection="1">
      <alignment horizontal="center" vertical="center"/>
    </xf>
    <xf numFmtId="166" fontId="13" fillId="0" borderId="0" xfId="1" applyNumberFormat="1" applyFont="1" applyAlignment="1">
      <alignment vertical="center"/>
    </xf>
    <xf numFmtId="166" fontId="11" fillId="0" borderId="0" xfId="1" applyNumberFormat="1" applyFont="1" applyAlignment="1">
      <alignment vertical="center"/>
    </xf>
    <xf numFmtId="168" fontId="25" fillId="0" borderId="0" xfId="2" applyNumberFormat="1" applyFont="1" applyAlignment="1">
      <alignment vertical="center"/>
    </xf>
    <xf numFmtId="166" fontId="25" fillId="0" borderId="0" xfId="1" applyNumberFormat="1" applyFont="1" applyAlignment="1">
      <alignment vertical="center"/>
    </xf>
    <xf numFmtId="167" fontId="30" fillId="0" borderId="0" xfId="1" applyNumberFormat="1" applyFont="1" applyAlignment="1">
      <alignment vertical="center"/>
    </xf>
    <xf numFmtId="166" fontId="26" fillId="3" borderId="6" xfId="1" applyNumberFormat="1" applyFont="1" applyFill="1" applyBorder="1" applyAlignment="1">
      <alignment vertical="center"/>
    </xf>
    <xf numFmtId="166" fontId="27" fillId="3" borderId="6" xfId="1" applyNumberFormat="1" applyFont="1" applyFill="1" applyBorder="1" applyAlignment="1">
      <alignment vertical="center"/>
    </xf>
    <xf numFmtId="166" fontId="26" fillId="3" borderId="6" xfId="1" applyNumberFormat="1" applyFont="1" applyFill="1" applyBorder="1" applyAlignment="1">
      <alignment horizontal="center" vertical="center"/>
    </xf>
    <xf numFmtId="165" fontId="21" fillId="0" borderId="6" xfId="1" applyFont="1" applyBorder="1" applyAlignment="1">
      <alignment horizontal="center" vertical="center"/>
    </xf>
    <xf numFmtId="166" fontId="21" fillId="0" borderId="7" xfId="1" applyNumberFormat="1" applyFont="1" applyBorder="1" applyAlignment="1">
      <alignment vertical="center"/>
    </xf>
    <xf numFmtId="166" fontId="21" fillId="0" borderId="7" xfId="1" applyNumberFormat="1" applyFont="1" applyBorder="1" applyAlignment="1">
      <alignment horizontal="center" vertical="center"/>
    </xf>
    <xf numFmtId="165" fontId="21" fillId="0" borderId="7" xfId="1" applyFont="1" applyBorder="1" applyAlignment="1">
      <alignment horizontal="center" vertical="center"/>
    </xf>
    <xf numFmtId="166" fontId="26" fillId="5" borderId="7" xfId="1" applyNumberFormat="1" applyFont="1" applyFill="1" applyBorder="1" applyAlignment="1">
      <alignment vertical="center"/>
    </xf>
    <xf numFmtId="166" fontId="8" fillId="5" borderId="7" xfId="1" applyNumberFormat="1" applyFont="1" applyFill="1" applyBorder="1" applyAlignment="1">
      <alignment vertical="center"/>
    </xf>
    <xf numFmtId="166" fontId="8" fillId="5" borderId="7" xfId="1" applyNumberFormat="1" applyFont="1" applyFill="1" applyBorder="1" applyAlignment="1">
      <alignment horizontal="center" vertical="center"/>
    </xf>
    <xf numFmtId="165" fontId="21" fillId="6" borderId="7" xfId="1" applyFont="1" applyFill="1" applyBorder="1" applyAlignment="1">
      <alignment horizontal="center" vertical="center"/>
    </xf>
    <xf numFmtId="166" fontId="8" fillId="2" borderId="7" xfId="1" applyNumberFormat="1" applyFont="1" applyFill="1" applyBorder="1" applyAlignment="1">
      <alignment vertical="center"/>
    </xf>
    <xf numFmtId="166" fontId="8" fillId="2" borderId="7" xfId="1" applyNumberFormat="1" applyFont="1" applyFill="1" applyBorder="1" applyAlignment="1">
      <alignment horizontal="center" vertical="center"/>
    </xf>
    <xf numFmtId="165" fontId="21" fillId="2" borderId="7" xfId="1" applyFont="1" applyFill="1" applyBorder="1" applyAlignment="1">
      <alignment horizontal="center" vertical="center"/>
    </xf>
    <xf numFmtId="166" fontId="8" fillId="0" borderId="7" xfId="1" applyNumberFormat="1" applyFont="1" applyFill="1" applyBorder="1" applyAlignment="1">
      <alignment horizontal="center" vertical="center"/>
    </xf>
    <xf numFmtId="9" fontId="8" fillId="0" borderId="7" xfId="1" applyNumberFormat="1" applyFont="1" applyBorder="1" applyAlignment="1">
      <alignment vertical="center"/>
    </xf>
    <xf numFmtId="166" fontId="8" fillId="0" borderId="7" xfId="1" applyNumberFormat="1" applyFont="1" applyBorder="1" applyAlignment="1">
      <alignment horizontal="center" vertical="center"/>
    </xf>
    <xf numFmtId="166" fontId="8" fillId="0" borderId="8" xfId="1" applyNumberFormat="1" applyFont="1" applyBorder="1" applyAlignment="1">
      <alignment horizontal="center" vertical="center"/>
    </xf>
    <xf numFmtId="166" fontId="22" fillId="0" borderId="0" xfId="1" applyNumberFormat="1" applyFont="1" applyAlignment="1">
      <alignment horizontal="center" vertical="center"/>
    </xf>
    <xf numFmtId="166" fontId="12" fillId="0" borderId="0" xfId="1" applyNumberFormat="1" applyFont="1" applyAlignment="1">
      <alignment vertical="center"/>
    </xf>
    <xf numFmtId="166" fontId="12" fillId="0" borderId="0" xfId="1" applyNumberFormat="1" applyFont="1" applyAlignment="1">
      <alignment horizontal="left" vertical="center"/>
    </xf>
    <xf numFmtId="170" fontId="33" fillId="4" borderId="3" xfId="1" applyNumberFormat="1" applyFont="1" applyFill="1" applyBorder="1" applyAlignment="1">
      <alignment horizontal="center" vertical="center"/>
    </xf>
    <xf numFmtId="166" fontId="33" fillId="4" borderId="3" xfId="1" applyNumberFormat="1" applyFont="1" applyFill="1" applyBorder="1" applyAlignment="1">
      <alignment vertical="center"/>
    </xf>
    <xf numFmtId="166" fontId="33" fillId="4" borderId="3" xfId="1" applyNumberFormat="1" applyFont="1" applyFill="1" applyBorder="1" applyAlignment="1">
      <alignment horizontal="center" vertical="center"/>
    </xf>
    <xf numFmtId="9" fontId="33" fillId="4" borderId="3" xfId="2" applyFont="1" applyFill="1" applyBorder="1" applyAlignment="1">
      <alignment horizontal="center" vertical="center"/>
    </xf>
    <xf numFmtId="166" fontId="9" fillId="0" borderId="6" xfId="1" applyNumberFormat="1" applyFont="1" applyBorder="1" applyAlignment="1">
      <alignment horizontal="center" vertical="center"/>
    </xf>
    <xf numFmtId="166" fontId="9" fillId="0" borderId="7" xfId="1" applyNumberFormat="1" applyFont="1" applyBorder="1" applyAlignment="1">
      <alignment horizontal="center" vertical="center"/>
    </xf>
    <xf numFmtId="9" fontId="21" fillId="4" borderId="3" xfId="2" applyFont="1" applyFill="1" applyBorder="1" applyAlignment="1">
      <alignment horizontal="center" vertical="center"/>
    </xf>
    <xf numFmtId="169" fontId="14" fillId="0" borderId="0" xfId="1" applyNumberFormat="1" applyFont="1" applyAlignment="1">
      <alignment horizontal="center" vertical="center"/>
    </xf>
    <xf numFmtId="166" fontId="19" fillId="0" borderId="0" xfId="1" applyNumberFormat="1" applyFont="1" applyAlignment="1">
      <alignment horizontal="center" vertical="center"/>
    </xf>
    <xf numFmtId="166" fontId="9" fillId="0" borderId="8" xfId="1" applyNumberFormat="1" applyFont="1" applyBorder="1" applyAlignment="1">
      <alignment horizontal="center" vertical="center"/>
    </xf>
    <xf numFmtId="166" fontId="8" fillId="0" borderId="0" xfId="0" applyNumberFormat="1" applyFont="1" applyAlignment="1">
      <alignment vertical="center"/>
    </xf>
    <xf numFmtId="166" fontId="8" fillId="0" borderId="0" xfId="0" applyNumberFormat="1" applyFont="1" applyAlignment="1">
      <alignment horizontal="center" vertical="center"/>
    </xf>
    <xf numFmtId="166" fontId="9" fillId="0" borderId="0" xfId="0" applyNumberFormat="1" applyFont="1" applyAlignment="1">
      <alignment horizontal="center" vertical="center"/>
    </xf>
    <xf numFmtId="171" fontId="8" fillId="0" borderId="0" xfId="0" applyNumberFormat="1" applyFont="1" applyAlignment="1">
      <alignment horizontal="center" vertical="center"/>
    </xf>
    <xf numFmtId="168" fontId="8" fillId="0" borderId="0" xfId="0" applyNumberFormat="1" applyFont="1" applyAlignment="1">
      <alignment horizontal="center" vertical="center"/>
    </xf>
    <xf numFmtId="10" fontId="8" fillId="0" borderId="0" xfId="0" applyNumberFormat="1" applyFont="1" applyAlignment="1">
      <alignment horizontal="center" vertical="center"/>
    </xf>
    <xf numFmtId="172" fontId="8" fillId="0" borderId="0" xfId="0" applyNumberFormat="1" applyFont="1" applyAlignment="1">
      <alignment horizontal="center" vertical="center"/>
    </xf>
    <xf numFmtId="168" fontId="8" fillId="0" borderId="0" xfId="0" applyNumberFormat="1" applyFont="1" applyAlignment="1">
      <alignment vertical="center"/>
    </xf>
    <xf numFmtId="0" fontId="34" fillId="0" borderId="0" xfId="0" applyFont="1"/>
    <xf numFmtId="173" fontId="8" fillId="0" borderId="0" xfId="0" applyNumberFormat="1" applyFont="1" applyAlignment="1">
      <alignment horizontal="left" vertical="center"/>
    </xf>
    <xf numFmtId="174" fontId="9" fillId="0" borderId="0" xfId="0" applyNumberFormat="1" applyFont="1" applyAlignment="1">
      <alignment vertical="center"/>
    </xf>
    <xf numFmtId="173" fontId="8" fillId="0" borderId="0" xfId="0" applyNumberFormat="1" applyFont="1" applyAlignment="1">
      <alignment horizontal="center" vertical="center"/>
    </xf>
    <xf numFmtId="173" fontId="9" fillId="0" borderId="0" xfId="0" applyNumberFormat="1" applyFont="1" applyAlignment="1">
      <alignment horizontal="left" vertical="center"/>
    </xf>
    <xf numFmtId="166" fontId="8" fillId="0" borderId="0" xfId="0" applyNumberFormat="1" applyFont="1" applyAlignment="1">
      <alignment horizontal="left" vertical="center"/>
    </xf>
    <xf numFmtId="171" fontId="8" fillId="0" borderId="0" xfId="0" applyNumberFormat="1" applyFont="1" applyAlignment="1">
      <alignment horizontal="left" vertical="center"/>
    </xf>
    <xf numFmtId="173" fontId="27" fillId="0" borderId="0" xfId="0" applyNumberFormat="1" applyFont="1" applyAlignment="1">
      <alignment horizontal="left" vertical="center"/>
    </xf>
    <xf numFmtId="173" fontId="27" fillId="0" borderId="0" xfId="0" applyNumberFormat="1" applyFont="1" applyAlignment="1">
      <alignment horizontal="center" vertical="center"/>
    </xf>
    <xf numFmtId="10" fontId="27" fillId="0" borderId="0" xfId="0" applyNumberFormat="1" applyFont="1" applyAlignment="1">
      <alignment horizontal="center" vertical="center"/>
    </xf>
    <xf numFmtId="168" fontId="8" fillId="0" borderId="0" xfId="0" applyNumberFormat="1" applyFont="1" applyAlignment="1">
      <alignment horizontal="left" vertical="center"/>
    </xf>
    <xf numFmtId="37" fontId="35" fillId="0" borderId="0" xfId="0" applyNumberFormat="1" applyFont="1" applyAlignment="1">
      <alignment horizontal="right"/>
    </xf>
    <xf numFmtId="166" fontId="36" fillId="0" borderId="0" xfId="0" applyNumberFormat="1" applyFont="1" applyAlignment="1">
      <alignment horizontal="left" vertical="center"/>
    </xf>
    <xf numFmtId="9" fontId="8" fillId="0" borderId="0" xfId="0" applyNumberFormat="1" applyFont="1" applyAlignment="1">
      <alignment horizontal="center" vertical="center"/>
    </xf>
    <xf numFmtId="165" fontId="8" fillId="0" borderId="0" xfId="1" applyFont="1" applyFill="1" applyAlignment="1">
      <alignment horizontal="center" vertical="center"/>
    </xf>
    <xf numFmtId="166" fontId="36" fillId="0" borderId="0" xfId="0" applyNumberFormat="1" applyFont="1" applyAlignment="1">
      <alignment vertical="center"/>
    </xf>
    <xf numFmtId="166" fontId="9" fillId="0" borderId="0" xfId="0" applyNumberFormat="1" applyFont="1" applyAlignment="1">
      <alignment vertical="center"/>
    </xf>
    <xf numFmtId="173" fontId="36" fillId="0" borderId="0" xfId="0" applyNumberFormat="1" applyFont="1" applyAlignment="1">
      <alignment horizontal="center" vertical="center"/>
    </xf>
    <xf numFmtId="10" fontId="36" fillId="0" borderId="0" xfId="0" applyNumberFormat="1" applyFont="1" applyAlignment="1">
      <alignment horizontal="center" vertical="center"/>
    </xf>
    <xf numFmtId="174" fontId="8" fillId="0" borderId="0" xfId="0" applyNumberFormat="1" applyFont="1" applyAlignment="1">
      <alignment horizontal="center" vertical="center"/>
    </xf>
    <xf numFmtId="166" fontId="37" fillId="8" borderId="11" xfId="0" applyNumberFormat="1" applyFont="1" applyFill="1" applyBorder="1" applyAlignment="1">
      <alignment horizontal="center" vertical="center"/>
    </xf>
    <xf numFmtId="168" fontId="38" fillId="0" borderId="13" xfId="0" applyNumberFormat="1" applyFont="1" applyBorder="1" applyAlignment="1">
      <alignment horizontal="center" vertical="center"/>
    </xf>
    <xf numFmtId="166" fontId="9" fillId="0" borderId="3" xfId="0" applyNumberFormat="1" applyFont="1" applyBorder="1" applyAlignment="1">
      <alignment horizontal="center" vertical="center"/>
    </xf>
    <xf numFmtId="166" fontId="9" fillId="0" borderId="3" xfId="0" applyNumberFormat="1" applyFont="1" applyBorder="1" applyAlignment="1">
      <alignment horizontal="center" vertical="center" wrapText="1"/>
    </xf>
    <xf numFmtId="171" fontId="9" fillId="0" borderId="3" xfId="0" applyNumberFormat="1" applyFont="1" applyBorder="1" applyAlignment="1">
      <alignment horizontal="center" vertical="center"/>
    </xf>
    <xf numFmtId="168" fontId="9" fillId="0" borderId="3" xfId="0" applyNumberFormat="1" applyFont="1" applyBorder="1" applyAlignment="1">
      <alignment horizontal="center" vertical="center"/>
    </xf>
    <xf numFmtId="168" fontId="9" fillId="0" borderId="0" xfId="0" applyNumberFormat="1" applyFont="1" applyAlignment="1">
      <alignment horizontal="center" vertical="center"/>
    </xf>
    <xf numFmtId="166" fontId="9" fillId="0" borderId="0" xfId="0" applyNumberFormat="1" applyFont="1" applyAlignment="1">
      <alignment vertical="center" wrapText="1"/>
    </xf>
    <xf numFmtId="171" fontId="9" fillId="0" borderId="3" xfId="0" applyNumberFormat="1" applyFont="1" applyBorder="1" applyAlignment="1">
      <alignment horizontal="center" vertical="center" wrapText="1"/>
    </xf>
    <xf numFmtId="14" fontId="9" fillId="0" borderId="3" xfId="0" applyNumberFormat="1" applyFont="1" applyBorder="1" applyAlignment="1">
      <alignment horizontal="center" vertical="center" wrapText="1"/>
    </xf>
    <xf numFmtId="168" fontId="9" fillId="0" borderId="0" xfId="0" applyNumberFormat="1" applyFont="1" applyAlignment="1">
      <alignment horizontal="center" vertical="center" wrapText="1"/>
    </xf>
    <xf numFmtId="14" fontId="9" fillId="0" borderId="0" xfId="0" applyNumberFormat="1" applyFont="1" applyAlignment="1">
      <alignment vertical="center" wrapText="1"/>
    </xf>
    <xf numFmtId="166" fontId="8" fillId="0" borderId="3" xfId="0" applyNumberFormat="1" applyFont="1" applyBorder="1" applyAlignment="1">
      <alignment horizontal="center" vertical="center"/>
    </xf>
    <xf numFmtId="171" fontId="8" fillId="0" borderId="3" xfId="0" applyNumberFormat="1" applyFont="1" applyBorder="1" applyAlignment="1">
      <alignment horizontal="center" vertical="center"/>
    </xf>
    <xf numFmtId="166" fontId="9" fillId="0" borderId="3" xfId="0" applyNumberFormat="1" applyFont="1" applyBorder="1" applyAlignment="1">
      <alignment vertical="center"/>
    </xf>
    <xf numFmtId="10" fontId="9" fillId="0" borderId="3" xfId="0" applyNumberFormat="1" applyFont="1" applyBorder="1" applyAlignment="1">
      <alignment horizontal="center" vertical="center"/>
    </xf>
    <xf numFmtId="172" fontId="9" fillId="0" borderId="3" xfId="0" applyNumberFormat="1" applyFont="1" applyBorder="1" applyAlignment="1">
      <alignment horizontal="center" vertical="center"/>
    </xf>
    <xf numFmtId="168" fontId="9" fillId="0" borderId="0" xfId="0" applyNumberFormat="1" applyFont="1" applyAlignment="1">
      <alignment vertical="center"/>
    </xf>
    <xf numFmtId="166" fontId="9" fillId="9" borderId="3" xfId="0" applyNumberFormat="1" applyFont="1" applyFill="1" applyBorder="1" applyAlignment="1">
      <alignment vertical="center"/>
    </xf>
    <xf numFmtId="166" fontId="8" fillId="9" borderId="3" xfId="0" applyNumberFormat="1" applyFont="1" applyFill="1" applyBorder="1" applyAlignment="1">
      <alignment vertical="center"/>
    </xf>
    <xf numFmtId="166" fontId="9" fillId="9" borderId="3" xfId="0" applyNumberFormat="1" applyFont="1" applyFill="1" applyBorder="1" applyAlignment="1">
      <alignment horizontal="center" vertical="center"/>
    </xf>
    <xf numFmtId="172" fontId="9" fillId="9" borderId="3" xfId="0" applyNumberFormat="1" applyFont="1" applyFill="1" applyBorder="1" applyAlignment="1">
      <alignment horizontal="right" vertical="center"/>
    </xf>
    <xf numFmtId="173" fontId="9" fillId="10" borderId="3" xfId="0" applyNumberFormat="1" applyFont="1" applyFill="1" applyBorder="1" applyAlignment="1">
      <alignment horizontal="center" vertical="center"/>
    </xf>
    <xf numFmtId="166" fontId="8" fillId="0" borderId="3" xfId="0" applyNumberFormat="1" applyFont="1" applyBorder="1" applyAlignment="1">
      <alignment vertical="center"/>
    </xf>
    <xf numFmtId="172" fontId="9" fillId="0" borderId="3" xfId="0" applyNumberFormat="1" applyFont="1" applyBorder="1" applyAlignment="1">
      <alignment horizontal="right" vertical="center"/>
    </xf>
    <xf numFmtId="171" fontId="8" fillId="4" borderId="3" xfId="0" applyNumberFormat="1" applyFont="1" applyFill="1" applyBorder="1" applyAlignment="1">
      <alignment vertical="center"/>
    </xf>
    <xf numFmtId="166" fontId="9" fillId="11" borderId="3" xfId="0" applyNumberFormat="1" applyFont="1" applyFill="1" applyBorder="1" applyAlignment="1">
      <alignment vertical="center"/>
    </xf>
    <xf numFmtId="166" fontId="8" fillId="11" borderId="3" xfId="0" applyNumberFormat="1" applyFont="1" applyFill="1" applyBorder="1" applyAlignment="1">
      <alignment vertical="center"/>
    </xf>
    <xf numFmtId="166" fontId="8" fillId="11" borderId="3" xfId="0" applyNumberFormat="1" applyFont="1" applyFill="1" applyBorder="1" applyAlignment="1">
      <alignment horizontal="center" vertical="center"/>
    </xf>
    <xf numFmtId="166" fontId="9" fillId="11" borderId="3" xfId="0" applyNumberFormat="1" applyFont="1" applyFill="1" applyBorder="1" applyAlignment="1">
      <alignment horizontal="center" vertical="center"/>
    </xf>
    <xf numFmtId="166" fontId="9" fillId="10" borderId="3" xfId="0" applyNumberFormat="1" applyFont="1" applyFill="1" applyBorder="1" applyAlignment="1">
      <alignment vertical="center"/>
    </xf>
    <xf numFmtId="168" fontId="9" fillId="10" borderId="3" xfId="0" applyNumberFormat="1" applyFont="1" applyFill="1" applyBorder="1" applyAlignment="1">
      <alignment horizontal="center" vertical="center"/>
    </xf>
    <xf numFmtId="10" fontId="9" fillId="10" borderId="3" xfId="0" applyNumberFormat="1" applyFont="1" applyFill="1" applyBorder="1" applyAlignment="1">
      <alignment horizontal="center" vertical="center"/>
    </xf>
    <xf numFmtId="172" fontId="9" fillId="10" borderId="3" xfId="0" applyNumberFormat="1" applyFont="1" applyFill="1" applyBorder="1" applyAlignment="1">
      <alignment horizontal="center" vertical="center"/>
    </xf>
    <xf numFmtId="166" fontId="9" fillId="12" borderId="0" xfId="0" applyNumberFormat="1" applyFont="1" applyFill="1" applyAlignment="1">
      <alignment vertical="center"/>
    </xf>
    <xf numFmtId="0" fontId="41" fillId="12" borderId="3" xfId="0" applyFont="1" applyFill="1" applyBorder="1"/>
    <xf numFmtId="166" fontId="9" fillId="13" borderId="3" xfId="0" applyNumberFormat="1" applyFont="1" applyFill="1" applyBorder="1" applyAlignment="1">
      <alignment vertical="center"/>
    </xf>
    <xf numFmtId="166" fontId="9" fillId="13" borderId="3" xfId="0" applyNumberFormat="1" applyFont="1" applyFill="1" applyBorder="1" applyAlignment="1">
      <alignment horizontal="center" vertical="center"/>
    </xf>
    <xf numFmtId="171" fontId="9" fillId="4" borderId="3" xfId="0" applyNumberFormat="1" applyFont="1" applyFill="1" applyBorder="1" applyAlignment="1">
      <alignment horizontal="center" vertical="center"/>
    </xf>
    <xf numFmtId="166" fontId="9" fillId="12" borderId="3" xfId="0" applyNumberFormat="1" applyFont="1" applyFill="1" applyBorder="1" applyAlignment="1">
      <alignment vertical="center"/>
    </xf>
    <xf numFmtId="168" fontId="9" fillId="13" borderId="3" xfId="0" applyNumberFormat="1" applyFont="1" applyFill="1" applyBorder="1" applyAlignment="1">
      <alignment horizontal="center" vertical="center"/>
    </xf>
    <xf numFmtId="10" fontId="9" fillId="13" borderId="3" xfId="0" applyNumberFormat="1" applyFont="1" applyFill="1" applyBorder="1" applyAlignment="1">
      <alignment horizontal="center" vertical="center"/>
    </xf>
    <xf numFmtId="172" fontId="9" fillId="13" borderId="3" xfId="0" applyNumberFormat="1" applyFont="1" applyFill="1" applyBorder="1" applyAlignment="1">
      <alignment horizontal="center" vertical="center"/>
    </xf>
    <xf numFmtId="168" fontId="9" fillId="12" borderId="0" xfId="0" applyNumberFormat="1" applyFont="1" applyFill="1" applyAlignment="1">
      <alignment vertical="center"/>
    </xf>
    <xf numFmtId="0" fontId="41" fillId="12" borderId="0" xfId="0" applyFont="1" applyFill="1"/>
    <xf numFmtId="0" fontId="42" fillId="14" borderId="14" xfId="0" applyFont="1" applyFill="1" applyBorder="1"/>
    <xf numFmtId="0" fontId="42" fillId="14" borderId="14" xfId="0" applyFont="1" applyFill="1" applyBorder="1" applyAlignment="1">
      <alignment horizontal="left" vertical="top" wrapText="1"/>
    </xf>
    <xf numFmtId="171" fontId="8" fillId="15" borderId="3" xfId="0" applyNumberFormat="1" applyFont="1" applyFill="1" applyBorder="1" applyAlignment="1">
      <alignment horizontal="center" vertical="center"/>
    </xf>
    <xf numFmtId="168" fontId="8" fillId="0" borderId="3" xfId="0" applyNumberFormat="1" applyFont="1" applyBorder="1" applyAlignment="1">
      <alignment horizontal="center" vertical="center"/>
    </xf>
    <xf numFmtId="10" fontId="8" fillId="0" borderId="3" xfId="0" applyNumberFormat="1" applyFont="1" applyBorder="1" applyAlignment="1">
      <alignment horizontal="center" vertical="center"/>
    </xf>
    <xf numFmtId="172" fontId="8" fillId="0" borderId="3" xfId="0" applyNumberFormat="1" applyFont="1" applyBorder="1" applyAlignment="1">
      <alignment horizontal="center" vertical="center"/>
    </xf>
    <xf numFmtId="9" fontId="8" fillId="0" borderId="0" xfId="2" applyFont="1" applyAlignment="1">
      <alignment vertical="center"/>
    </xf>
    <xf numFmtId="0" fontId="42" fillId="14" borderId="0" xfId="0" applyFont="1" applyFill="1"/>
    <xf numFmtId="0" fontId="42" fillId="14" borderId="0" xfId="0" applyFont="1" applyFill="1" applyAlignment="1">
      <alignment horizontal="left" vertical="top" wrapText="1"/>
    </xf>
    <xf numFmtId="166" fontId="9" fillId="12" borderId="3" xfId="0" applyNumberFormat="1" applyFont="1" applyFill="1" applyBorder="1" applyAlignment="1">
      <alignment horizontal="center" vertical="center"/>
    </xf>
    <xf numFmtId="168" fontId="9" fillId="12" borderId="3" xfId="0" applyNumberFormat="1" applyFont="1" applyFill="1" applyBorder="1" applyAlignment="1">
      <alignment horizontal="center" vertical="center"/>
    </xf>
    <xf numFmtId="10" fontId="9" fillId="12" borderId="3" xfId="0" applyNumberFormat="1" applyFont="1" applyFill="1" applyBorder="1" applyAlignment="1">
      <alignment horizontal="center" vertical="center"/>
    </xf>
    <xf numFmtId="172" fontId="9" fillId="12" borderId="3" xfId="0" applyNumberFormat="1" applyFont="1" applyFill="1" applyBorder="1" applyAlignment="1">
      <alignment horizontal="center" vertical="center"/>
    </xf>
    <xf numFmtId="166" fontId="8" fillId="16" borderId="3" xfId="0" applyNumberFormat="1" applyFont="1" applyFill="1" applyBorder="1" applyAlignment="1">
      <alignment vertical="center"/>
    </xf>
    <xf numFmtId="166" fontId="8" fillId="16" borderId="3" xfId="0" applyNumberFormat="1" applyFont="1" applyFill="1" applyBorder="1" applyAlignment="1">
      <alignment horizontal="center" vertical="center"/>
    </xf>
    <xf numFmtId="168" fontId="8" fillId="16" borderId="3" xfId="0" applyNumberFormat="1" applyFont="1" applyFill="1" applyBorder="1" applyAlignment="1">
      <alignment horizontal="center" vertical="center"/>
    </xf>
    <xf numFmtId="10" fontId="8" fillId="16" borderId="3" xfId="0" applyNumberFormat="1" applyFont="1" applyFill="1" applyBorder="1" applyAlignment="1">
      <alignment horizontal="center" vertical="center"/>
    </xf>
    <xf numFmtId="172" fontId="8" fillId="16" borderId="3" xfId="0" applyNumberFormat="1" applyFont="1" applyFill="1" applyBorder="1" applyAlignment="1">
      <alignment horizontal="center" vertical="center"/>
    </xf>
    <xf numFmtId="166" fontId="42" fillId="14" borderId="14" xfId="0" applyNumberFormat="1" applyFont="1" applyFill="1" applyBorder="1"/>
    <xf numFmtId="9" fontId="8" fillId="16" borderId="3" xfId="0" applyNumberFormat="1" applyFont="1" applyFill="1" applyBorder="1" applyAlignment="1">
      <alignment vertical="center"/>
    </xf>
    <xf numFmtId="0" fontId="42" fillId="17" borderId="14" xfId="0" applyFont="1" applyFill="1" applyBorder="1" applyAlignment="1">
      <alignment horizontal="left" vertical="top" wrapText="1"/>
    </xf>
    <xf numFmtId="0" fontId="42" fillId="14" borderId="14" xfId="0" applyFont="1" applyFill="1" applyBorder="1" applyAlignment="1">
      <alignment wrapText="1"/>
    </xf>
    <xf numFmtId="0" fontId="42" fillId="14" borderId="14" xfId="0" applyFont="1" applyFill="1" applyBorder="1" applyAlignment="1">
      <alignment vertical="top" wrapText="1"/>
    </xf>
    <xf numFmtId="0" fontId="42" fillId="14" borderId="0" xfId="0" applyFont="1" applyFill="1" applyAlignment="1">
      <alignment wrapText="1"/>
    </xf>
    <xf numFmtId="0" fontId="43" fillId="14" borderId="3" xfId="0" applyFont="1" applyFill="1" applyBorder="1"/>
    <xf numFmtId="0" fontId="42" fillId="14" borderId="3" xfId="0" applyFont="1" applyFill="1" applyBorder="1" applyAlignment="1">
      <alignment horizontal="left" wrapText="1"/>
    </xf>
    <xf numFmtId="0" fontId="44" fillId="14" borderId="3" xfId="0" applyFont="1" applyFill="1" applyBorder="1" applyAlignment="1">
      <alignment horizontal="left" wrapText="1"/>
    </xf>
    <xf numFmtId="0" fontId="42" fillId="14" borderId="3" xfId="0" applyFont="1" applyFill="1" applyBorder="1"/>
    <xf numFmtId="0" fontId="45" fillId="14" borderId="3" xfId="0" applyFont="1" applyFill="1" applyBorder="1"/>
    <xf numFmtId="0" fontId="45" fillId="14" borderId="3" xfId="0" applyFont="1" applyFill="1" applyBorder="1" applyAlignment="1">
      <alignment horizontal="left" wrapText="1"/>
    </xf>
    <xf numFmtId="166" fontId="46" fillId="16" borderId="3" xfId="0" applyNumberFormat="1" applyFont="1" applyFill="1" applyBorder="1" applyAlignment="1">
      <alignment vertical="center"/>
    </xf>
    <xf numFmtId="166" fontId="46" fillId="0" borderId="3" xfId="0" applyNumberFormat="1" applyFont="1" applyBorder="1" applyAlignment="1">
      <alignment horizontal="center" vertical="center"/>
    </xf>
    <xf numFmtId="0" fontId="42" fillId="16" borderId="3" xfId="0" applyFont="1" applyFill="1" applyBorder="1"/>
    <xf numFmtId="0" fontId="47" fillId="0" borderId="3" xfId="3" applyFont="1" applyBorder="1" applyAlignment="1">
      <alignment horizontal="left"/>
    </xf>
    <xf numFmtId="0" fontId="34" fillId="0" borderId="3" xfId="0" applyFont="1" applyBorder="1"/>
    <xf numFmtId="0" fontId="42" fillId="14" borderId="3" xfId="0" applyFont="1" applyFill="1" applyBorder="1" applyAlignment="1">
      <alignment wrapText="1"/>
    </xf>
    <xf numFmtId="0" fontId="42" fillId="14" borderId="3" xfId="0" applyFont="1" applyFill="1" applyBorder="1" applyAlignment="1">
      <alignment vertical="top" wrapText="1"/>
    </xf>
    <xf numFmtId="166" fontId="8" fillId="18" borderId="3" xfId="0" applyNumberFormat="1" applyFont="1" applyFill="1" applyBorder="1" applyAlignment="1">
      <alignment vertical="center"/>
    </xf>
    <xf numFmtId="0" fontId="43" fillId="14" borderId="3" xfId="0" applyFont="1" applyFill="1" applyBorder="1" applyAlignment="1">
      <alignment wrapText="1"/>
    </xf>
    <xf numFmtId="166" fontId="9" fillId="18" borderId="3" xfId="0" applyNumberFormat="1" applyFont="1" applyFill="1" applyBorder="1" applyAlignment="1">
      <alignment vertical="center"/>
    </xf>
    <xf numFmtId="0" fontId="41" fillId="0" borderId="0" xfId="0" applyFont="1"/>
    <xf numFmtId="49" fontId="42" fillId="14" borderId="3" xfId="0" applyNumberFormat="1" applyFont="1" applyFill="1" applyBorder="1"/>
    <xf numFmtId="0" fontId="42" fillId="16" borderId="3" xfId="4" applyFont="1" applyFill="1" applyBorder="1" applyAlignment="1">
      <alignment horizontal="left"/>
    </xf>
    <xf numFmtId="0" fontId="47" fillId="16" borderId="3" xfId="3" applyFont="1" applyFill="1" applyBorder="1" applyAlignment="1">
      <alignment horizontal="left"/>
    </xf>
    <xf numFmtId="0" fontId="49" fillId="0" borderId="0" xfId="5" applyFont="1"/>
    <xf numFmtId="0" fontId="32" fillId="0" borderId="15" xfId="0" applyFont="1" applyBorder="1" applyAlignment="1">
      <alignment horizontal="left" vertical="top" wrapText="1"/>
    </xf>
    <xf numFmtId="0" fontId="42" fillId="14" borderId="16" xfId="0" applyFont="1" applyFill="1" applyBorder="1"/>
    <xf numFmtId="0" fontId="42" fillId="14" borderId="16" xfId="0" applyFont="1" applyFill="1" applyBorder="1" applyAlignment="1">
      <alignment horizontal="left" vertical="top" wrapText="1"/>
    </xf>
    <xf numFmtId="166" fontId="46" fillId="18" borderId="3" xfId="0" applyNumberFormat="1" applyFont="1" applyFill="1" applyBorder="1" applyAlignment="1">
      <alignment vertical="center"/>
    </xf>
    <xf numFmtId="166" fontId="8" fillId="19" borderId="3" xfId="0" applyNumberFormat="1" applyFont="1" applyFill="1" applyBorder="1" applyAlignment="1">
      <alignment horizontal="center" vertical="center"/>
    </xf>
    <xf numFmtId="166" fontId="9" fillId="20" borderId="3" xfId="0" applyNumberFormat="1" applyFont="1" applyFill="1" applyBorder="1" applyAlignment="1">
      <alignment vertical="center"/>
    </xf>
    <xf numFmtId="166" fontId="9" fillId="20" borderId="3" xfId="0" applyNumberFormat="1" applyFont="1" applyFill="1" applyBorder="1" applyAlignment="1">
      <alignment horizontal="center" vertical="center"/>
    </xf>
    <xf numFmtId="173" fontId="9" fillId="21" borderId="3" xfId="0" applyNumberFormat="1" applyFont="1" applyFill="1" applyBorder="1" applyAlignment="1">
      <alignment horizontal="center" vertical="center"/>
    </xf>
    <xf numFmtId="166" fontId="9" fillId="21" borderId="3" xfId="0" applyNumberFormat="1" applyFont="1" applyFill="1" applyBorder="1" applyAlignment="1">
      <alignment vertical="center"/>
    </xf>
    <xf numFmtId="168" fontId="9" fillId="21" borderId="3" xfId="0" applyNumberFormat="1" applyFont="1" applyFill="1" applyBorder="1" applyAlignment="1">
      <alignment horizontal="center" vertical="center"/>
    </xf>
    <xf numFmtId="10" fontId="9" fillId="21" borderId="3" xfId="0" applyNumberFormat="1" applyFont="1" applyFill="1" applyBorder="1" applyAlignment="1">
      <alignment horizontal="center" vertical="center"/>
    </xf>
    <xf numFmtId="172" fontId="9" fillId="21" borderId="3" xfId="0" applyNumberFormat="1" applyFont="1" applyFill="1" applyBorder="1" applyAlignment="1">
      <alignment horizontal="center" vertical="center"/>
    </xf>
    <xf numFmtId="168" fontId="9" fillId="21" borderId="0" xfId="0" applyNumberFormat="1" applyFont="1" applyFill="1" applyAlignment="1">
      <alignment vertical="center"/>
    </xf>
    <xf numFmtId="9" fontId="8" fillId="21" borderId="0" xfId="2" applyFont="1" applyFill="1" applyAlignment="1">
      <alignment vertical="center"/>
    </xf>
    <xf numFmtId="0" fontId="43" fillId="14" borderId="14" xfId="0" applyFont="1" applyFill="1" applyBorder="1" applyAlignment="1">
      <alignment vertical="top" wrapText="1"/>
    </xf>
    <xf numFmtId="0" fontId="42" fillId="14" borderId="0" xfId="0" applyFont="1" applyFill="1" applyAlignment="1">
      <alignment vertical="top" wrapText="1"/>
    </xf>
    <xf numFmtId="166" fontId="9" fillId="22" borderId="3" xfId="0" applyNumberFormat="1" applyFont="1" applyFill="1" applyBorder="1" applyAlignment="1">
      <alignment vertical="center"/>
    </xf>
    <xf numFmtId="166" fontId="9" fillId="22" borderId="3" xfId="0" applyNumberFormat="1" applyFont="1" applyFill="1" applyBorder="1" applyAlignment="1">
      <alignment horizontal="center" vertical="center"/>
    </xf>
    <xf numFmtId="0" fontId="34" fillId="16" borderId="3" xfId="0" applyFont="1" applyFill="1" applyBorder="1"/>
    <xf numFmtId="0" fontId="0" fillId="0" borderId="3" xfId="0" applyBorder="1"/>
    <xf numFmtId="0" fontId="0" fillId="0" borderId="0" xfId="0" pivotButton="1"/>
    <xf numFmtId="0" fontId="0" fillId="0" borderId="0" xfId="0" applyAlignment="1">
      <alignment horizontal="left"/>
    </xf>
    <xf numFmtId="0" fontId="50" fillId="4" borderId="3" xfId="0" applyFont="1" applyFill="1" applyBorder="1"/>
    <xf numFmtId="166" fontId="52" fillId="0" borderId="0" xfId="0" applyNumberFormat="1" applyFont="1" applyAlignment="1">
      <alignment vertical="center" wrapText="1"/>
    </xf>
    <xf numFmtId="168" fontId="9" fillId="0" borderId="0" xfId="2" applyNumberFormat="1" applyFont="1" applyFill="1" applyAlignment="1">
      <alignment vertical="center"/>
    </xf>
    <xf numFmtId="168" fontId="8" fillId="0" borderId="0" xfId="2" applyNumberFormat="1" applyFont="1" applyFill="1" applyAlignment="1">
      <alignment vertical="center"/>
    </xf>
    <xf numFmtId="166" fontId="9" fillId="0" borderId="20" xfId="0" applyNumberFormat="1" applyFont="1" applyBorder="1" applyAlignment="1">
      <alignment vertical="center"/>
    </xf>
    <xf numFmtId="166" fontId="8" fillId="0" borderId="20" xfId="0" applyNumberFormat="1" applyFont="1" applyBorder="1" applyAlignment="1">
      <alignment vertical="center"/>
    </xf>
    <xf numFmtId="166" fontId="9" fillId="0" borderId="20" xfId="0" applyNumberFormat="1" applyFont="1" applyBorder="1" applyAlignment="1">
      <alignment horizontal="center" vertical="center"/>
    </xf>
    <xf numFmtId="166" fontId="8" fillId="0" borderId="20" xfId="1" applyNumberFormat="1" applyFont="1" applyBorder="1" applyAlignment="1">
      <alignment vertical="center"/>
    </xf>
    <xf numFmtId="172" fontId="9" fillId="0" borderId="20" xfId="0" applyNumberFormat="1" applyFont="1" applyBorder="1" applyAlignment="1">
      <alignment horizontal="right" vertical="center"/>
    </xf>
    <xf numFmtId="168" fontId="9" fillId="0" borderId="20" xfId="0" applyNumberFormat="1" applyFont="1" applyBorder="1" applyAlignment="1">
      <alignment horizontal="center" vertical="center"/>
    </xf>
    <xf numFmtId="10" fontId="9" fillId="0" borderId="20" xfId="0" applyNumberFormat="1" applyFont="1" applyBorder="1" applyAlignment="1">
      <alignment horizontal="center" vertical="center"/>
    </xf>
    <xf numFmtId="172" fontId="9" fillId="0" borderId="20" xfId="0" applyNumberFormat="1" applyFont="1" applyBorder="1" applyAlignment="1">
      <alignment horizontal="center" vertical="center"/>
    </xf>
    <xf numFmtId="166" fontId="9" fillId="23" borderId="20" xfId="0" applyNumberFormat="1" applyFont="1" applyFill="1" applyBorder="1" applyAlignment="1">
      <alignment vertical="center"/>
    </xf>
    <xf numFmtId="166" fontId="8" fillId="23" borderId="20" xfId="0" applyNumberFormat="1" applyFont="1" applyFill="1" applyBorder="1" applyAlignment="1">
      <alignment vertical="center"/>
    </xf>
    <xf numFmtId="166" fontId="8" fillId="23" borderId="20" xfId="0" applyNumberFormat="1" applyFont="1" applyFill="1" applyBorder="1" applyAlignment="1">
      <alignment horizontal="center" vertical="center"/>
    </xf>
    <xf numFmtId="166" fontId="8" fillId="23" borderId="20" xfId="1" applyNumberFormat="1" applyFont="1" applyFill="1" applyBorder="1" applyAlignment="1">
      <alignment horizontal="center" vertical="center"/>
    </xf>
    <xf numFmtId="166" fontId="9" fillId="23" borderId="20" xfId="0" applyNumberFormat="1" applyFont="1" applyFill="1" applyBorder="1" applyAlignment="1">
      <alignment horizontal="center" vertical="center"/>
    </xf>
    <xf numFmtId="173" fontId="9" fillId="24" borderId="20" xfId="0" applyNumberFormat="1" applyFont="1" applyFill="1" applyBorder="1" applyAlignment="1">
      <alignment horizontal="center" vertical="center"/>
    </xf>
    <xf numFmtId="166" fontId="9" fillId="24" borderId="20" xfId="0" applyNumberFormat="1" applyFont="1" applyFill="1" applyBorder="1" applyAlignment="1">
      <alignment vertical="center"/>
    </xf>
    <xf numFmtId="168" fontId="9" fillId="24" borderId="20" xfId="0" applyNumberFormat="1" applyFont="1" applyFill="1" applyBorder="1" applyAlignment="1">
      <alignment horizontal="center" vertical="center"/>
    </xf>
    <xf numFmtId="10" fontId="9" fillId="24" borderId="20" xfId="0" applyNumberFormat="1" applyFont="1" applyFill="1" applyBorder="1" applyAlignment="1">
      <alignment horizontal="center" vertical="center"/>
    </xf>
    <xf numFmtId="172" fontId="9" fillId="24" borderId="20" xfId="0" applyNumberFormat="1" applyFont="1" applyFill="1" applyBorder="1" applyAlignment="1">
      <alignment horizontal="center" vertical="center"/>
    </xf>
    <xf numFmtId="167" fontId="21" fillId="4" borderId="3" xfId="1" applyNumberFormat="1" applyFont="1" applyFill="1" applyBorder="1" applyAlignment="1" applyProtection="1">
      <alignment horizontal="center" vertical="center"/>
      <protection locked="0" hidden="1"/>
    </xf>
    <xf numFmtId="167" fontId="30" fillId="4" borderId="3" xfId="1" applyNumberFormat="1" applyFont="1" applyFill="1" applyBorder="1" applyAlignment="1" applyProtection="1">
      <alignment horizontal="center" vertical="center"/>
      <protection locked="0" hidden="1"/>
    </xf>
    <xf numFmtId="166" fontId="52" fillId="19" borderId="0" xfId="0" applyNumberFormat="1" applyFont="1" applyFill="1" applyAlignment="1">
      <alignment vertical="center" wrapText="1"/>
    </xf>
    <xf numFmtId="166" fontId="54" fillId="7" borderId="3" xfId="0" quotePrefix="1" applyNumberFormat="1" applyFont="1" applyFill="1" applyBorder="1" applyAlignment="1">
      <alignment vertical="center"/>
    </xf>
    <xf numFmtId="166" fontId="54" fillId="0" borderId="0" xfId="0" quotePrefix="1" applyNumberFormat="1" applyFont="1" applyAlignment="1">
      <alignment vertical="center"/>
    </xf>
    <xf numFmtId="173" fontId="8" fillId="0" borderId="0" xfId="0" applyNumberFormat="1" applyFont="1" applyAlignment="1">
      <alignment vertical="center"/>
    </xf>
    <xf numFmtId="173" fontId="9" fillId="0" borderId="3" xfId="0" applyNumberFormat="1" applyFont="1" applyBorder="1" applyAlignment="1">
      <alignment horizontal="center" vertical="center"/>
    </xf>
    <xf numFmtId="173" fontId="9" fillId="0" borderId="3" xfId="0" applyNumberFormat="1" applyFont="1" applyBorder="1" applyAlignment="1">
      <alignment horizontal="center" vertical="center" wrapText="1"/>
    </xf>
    <xf numFmtId="173" fontId="8" fillId="0" borderId="3" xfId="0" applyNumberFormat="1" applyFont="1" applyBorder="1" applyAlignment="1">
      <alignment horizontal="center" vertical="center"/>
    </xf>
    <xf numFmtId="173" fontId="8" fillId="4" borderId="20" xfId="0" applyNumberFormat="1" applyFont="1" applyFill="1" applyBorder="1" applyAlignment="1">
      <alignment vertical="center"/>
    </xf>
    <xf numFmtId="173" fontId="55" fillId="0" borderId="0" xfId="0" applyNumberFormat="1" applyFont="1" applyAlignment="1">
      <alignment horizontal="left" vertical="center"/>
    </xf>
    <xf numFmtId="167" fontId="8" fillId="0" borderId="0" xfId="1" applyNumberFormat="1" applyFont="1" applyFill="1" applyAlignment="1">
      <alignment horizontal="center" vertical="center"/>
    </xf>
    <xf numFmtId="166" fontId="58" fillId="0" borderId="0" xfId="0" applyNumberFormat="1" applyFont="1" applyAlignment="1">
      <alignment horizontal="left" vertical="center"/>
    </xf>
    <xf numFmtId="167" fontId="55" fillId="0" borderId="0" xfId="0" applyNumberFormat="1" applyFont="1" applyAlignment="1">
      <alignment horizontal="center" vertical="center"/>
    </xf>
    <xf numFmtId="167" fontId="55" fillId="0" borderId="0" xfId="1" applyNumberFormat="1" applyFont="1" applyAlignment="1">
      <alignment horizontal="center" vertical="center"/>
    </xf>
    <xf numFmtId="166" fontId="8" fillId="16" borderId="7" xfId="0" applyNumberFormat="1" applyFont="1" applyFill="1" applyBorder="1" applyAlignment="1">
      <alignment vertical="center"/>
    </xf>
    <xf numFmtId="166" fontId="8" fillId="16" borderId="7" xfId="0" applyNumberFormat="1" applyFont="1" applyFill="1" applyBorder="1" applyAlignment="1">
      <alignment horizontal="center" vertical="center"/>
    </xf>
    <xf numFmtId="173" fontId="8" fillId="15" borderId="7" xfId="0" applyNumberFormat="1" applyFont="1" applyFill="1" applyBorder="1" applyAlignment="1">
      <alignment horizontal="center" vertical="center"/>
    </xf>
    <xf numFmtId="166" fontId="8" fillId="0" borderId="7" xfId="0" applyNumberFormat="1" applyFont="1" applyBorder="1" applyAlignment="1">
      <alignment vertical="center"/>
    </xf>
    <xf numFmtId="168" fontId="8" fillId="16" borderId="7" xfId="0" applyNumberFormat="1" applyFont="1" applyFill="1" applyBorder="1" applyAlignment="1">
      <alignment horizontal="center" vertical="center"/>
    </xf>
    <xf numFmtId="10" fontId="8" fillId="16" borderId="7" xfId="0" applyNumberFormat="1" applyFont="1" applyFill="1" applyBorder="1" applyAlignment="1">
      <alignment horizontal="center" vertical="center"/>
    </xf>
    <xf numFmtId="172" fontId="8" fillId="16" borderId="7" xfId="0" applyNumberFormat="1" applyFont="1" applyFill="1" applyBorder="1" applyAlignment="1">
      <alignment horizontal="center" vertical="center"/>
    </xf>
    <xf numFmtId="166" fontId="8" fillId="16" borderId="8" xfId="0" applyNumberFormat="1" applyFont="1" applyFill="1" applyBorder="1" applyAlignment="1">
      <alignment vertical="center"/>
    </xf>
    <xf numFmtId="166" fontId="8" fillId="16" borderId="8" xfId="0" applyNumberFormat="1" applyFont="1" applyFill="1" applyBorder="1" applyAlignment="1">
      <alignment horizontal="center" vertical="center"/>
    </xf>
    <xf numFmtId="173" fontId="8" fillId="15" borderId="8" xfId="0" applyNumberFormat="1" applyFont="1" applyFill="1" applyBorder="1" applyAlignment="1">
      <alignment horizontal="center" vertical="center"/>
    </xf>
    <xf numFmtId="166" fontId="8" fillId="0" borderId="8" xfId="0" applyNumberFormat="1" applyFont="1" applyBorder="1" applyAlignment="1">
      <alignment vertical="center"/>
    </xf>
    <xf numFmtId="168" fontId="8" fillId="16" borderId="8" xfId="0" applyNumberFormat="1" applyFont="1" applyFill="1" applyBorder="1" applyAlignment="1">
      <alignment horizontal="center" vertical="center"/>
    </xf>
    <xf numFmtId="10" fontId="8" fillId="16" borderId="8" xfId="0" applyNumberFormat="1" applyFont="1" applyFill="1" applyBorder="1" applyAlignment="1">
      <alignment horizontal="center" vertical="center"/>
    </xf>
    <xf numFmtId="172" fontId="8" fillId="16" borderId="8" xfId="0" applyNumberFormat="1" applyFont="1" applyFill="1" applyBorder="1" applyAlignment="1">
      <alignment horizontal="center" vertical="center"/>
    </xf>
    <xf numFmtId="166" fontId="9" fillId="25" borderId="19" xfId="0" applyNumberFormat="1" applyFont="1" applyFill="1" applyBorder="1" applyAlignment="1">
      <alignment vertical="center"/>
    </xf>
    <xf numFmtId="166" fontId="9" fillId="25" borderId="19" xfId="0" applyNumberFormat="1" applyFont="1" applyFill="1" applyBorder="1" applyAlignment="1">
      <alignment horizontal="center" vertical="center"/>
    </xf>
    <xf numFmtId="172" fontId="9" fillId="25" borderId="19" xfId="0" applyNumberFormat="1" applyFont="1" applyFill="1" applyBorder="1" applyAlignment="1">
      <alignment horizontal="right" vertical="center"/>
    </xf>
    <xf numFmtId="166" fontId="9" fillId="25" borderId="19" xfId="1" applyNumberFormat="1" applyFont="1" applyFill="1" applyBorder="1" applyAlignment="1">
      <alignment vertical="center"/>
    </xf>
    <xf numFmtId="168" fontId="31" fillId="0" borderId="8" xfId="2" applyNumberFormat="1" applyFont="1" applyFill="1" applyBorder="1" applyAlignment="1" applyProtection="1">
      <alignment horizontal="center" vertical="center"/>
    </xf>
    <xf numFmtId="168" fontId="32" fillId="4" borderId="8" xfId="2" applyNumberFormat="1" applyFont="1" applyFill="1" applyBorder="1" applyAlignment="1" applyProtection="1">
      <alignment horizontal="center" vertical="center"/>
    </xf>
    <xf numFmtId="166" fontId="8" fillId="0" borderId="7" xfId="0" applyNumberFormat="1" applyFont="1" applyBorder="1" applyAlignment="1">
      <alignment horizontal="center" vertical="center"/>
    </xf>
    <xf numFmtId="0" fontId="34" fillId="0" borderId="0" xfId="0" applyFont="1" applyAlignment="1">
      <alignment vertical="center"/>
    </xf>
    <xf numFmtId="0" fontId="42" fillId="0" borderId="0" xfId="0" applyFont="1" applyAlignment="1">
      <alignment vertical="center"/>
    </xf>
    <xf numFmtId="0" fontId="42" fillId="14" borderId="7" xfId="0" applyFont="1" applyFill="1" applyBorder="1" applyAlignment="1">
      <alignment vertical="center"/>
    </xf>
    <xf numFmtId="0" fontId="42" fillId="14" borderId="7" xfId="0" applyFont="1" applyFill="1" applyBorder="1" applyAlignment="1">
      <alignment horizontal="left" vertical="center" wrapText="1"/>
    </xf>
    <xf numFmtId="0" fontId="42" fillId="14" borderId="8" xfId="0" applyFont="1" applyFill="1" applyBorder="1" applyAlignment="1">
      <alignment vertical="center" wrapText="1"/>
    </xf>
    <xf numFmtId="173" fontId="34" fillId="0" borderId="0" xfId="0" applyNumberFormat="1" applyFont="1" applyAlignment="1">
      <alignment vertical="center"/>
    </xf>
    <xf numFmtId="0" fontId="41" fillId="0" borderId="0" xfId="0" applyFont="1" applyAlignment="1">
      <alignment vertical="center"/>
    </xf>
    <xf numFmtId="37" fontId="57" fillId="0" borderId="0" xfId="0" applyNumberFormat="1" applyFont="1" applyAlignment="1">
      <alignment horizontal="right" vertical="center"/>
    </xf>
    <xf numFmtId="166" fontId="9" fillId="0" borderId="21" xfId="0" applyNumberFormat="1" applyFont="1" applyBorder="1" applyAlignment="1">
      <alignment vertical="center"/>
    </xf>
    <xf numFmtId="166" fontId="8" fillId="0" borderId="21" xfId="0" applyNumberFormat="1" applyFont="1" applyBorder="1" applyAlignment="1">
      <alignment vertical="center"/>
    </xf>
    <xf numFmtId="166" fontId="9" fillId="0" borderId="21" xfId="0" applyNumberFormat="1" applyFont="1" applyBorder="1" applyAlignment="1">
      <alignment horizontal="center" vertical="center"/>
    </xf>
    <xf numFmtId="166" fontId="8" fillId="0" borderId="21" xfId="1" applyNumberFormat="1" applyFont="1" applyBorder="1" applyAlignment="1">
      <alignment vertical="center"/>
    </xf>
    <xf numFmtId="172" fontId="9" fillId="0" borderId="21" xfId="0" applyNumberFormat="1" applyFont="1" applyBorder="1" applyAlignment="1">
      <alignment horizontal="right" vertical="center"/>
    </xf>
    <xf numFmtId="173" fontId="8" fillId="4" borderId="21" xfId="0" applyNumberFormat="1" applyFont="1" applyFill="1" applyBorder="1" applyAlignment="1">
      <alignment vertical="center"/>
    </xf>
    <xf numFmtId="168" fontId="9" fillId="0" borderId="21" xfId="0" applyNumberFormat="1" applyFont="1" applyBorder="1" applyAlignment="1">
      <alignment horizontal="center" vertical="center"/>
    </xf>
    <xf numFmtId="10" fontId="9" fillId="0" borderId="21" xfId="0" applyNumberFormat="1" applyFont="1" applyBorder="1" applyAlignment="1">
      <alignment horizontal="center" vertical="center"/>
    </xf>
    <xf numFmtId="172" fontId="9" fillId="0" borderId="21" xfId="0" applyNumberFormat="1" applyFont="1" applyBorder="1" applyAlignment="1">
      <alignment horizontal="center" vertical="center"/>
    </xf>
    <xf numFmtId="0" fontId="41" fillId="12" borderId="6" xfId="0" applyFont="1" applyFill="1" applyBorder="1" applyAlignment="1">
      <alignment vertical="center"/>
    </xf>
    <xf numFmtId="166" fontId="9" fillId="13" borderId="6" xfId="0" applyNumberFormat="1" applyFont="1" applyFill="1" applyBorder="1" applyAlignment="1">
      <alignment vertical="center"/>
    </xf>
    <xf numFmtId="166" fontId="9" fillId="13" borderId="6" xfId="0" applyNumberFormat="1" applyFont="1" applyFill="1" applyBorder="1" applyAlignment="1">
      <alignment horizontal="center" vertical="center"/>
    </xf>
    <xf numFmtId="166" fontId="9" fillId="13" borderId="6" xfId="1" applyNumberFormat="1" applyFont="1" applyFill="1" applyBorder="1" applyAlignment="1">
      <alignment horizontal="center" vertical="center"/>
    </xf>
    <xf numFmtId="173" fontId="9" fillId="12" borderId="6" xfId="0" applyNumberFormat="1" applyFont="1" applyFill="1" applyBorder="1" applyAlignment="1">
      <alignment horizontal="center" vertical="center"/>
    </xf>
    <xf numFmtId="166" fontId="9" fillId="12" borderId="6" xfId="0" applyNumberFormat="1" applyFont="1" applyFill="1" applyBorder="1" applyAlignment="1">
      <alignment vertical="center"/>
    </xf>
    <xf numFmtId="168" fontId="9" fillId="13" borderId="6" xfId="0" applyNumberFormat="1" applyFont="1" applyFill="1" applyBorder="1" applyAlignment="1">
      <alignment horizontal="center" vertical="center"/>
    </xf>
    <xf numFmtId="10" fontId="9" fillId="13" borderId="6" xfId="0" applyNumberFormat="1" applyFont="1" applyFill="1" applyBorder="1" applyAlignment="1">
      <alignment horizontal="center" vertical="center"/>
    </xf>
    <xf numFmtId="172" fontId="9" fillId="13" borderId="6" xfId="0" applyNumberFormat="1" applyFont="1" applyFill="1" applyBorder="1" applyAlignment="1">
      <alignment horizontal="center" vertical="center"/>
    </xf>
    <xf numFmtId="168" fontId="8" fillId="0" borderId="7" xfId="0" applyNumberFormat="1" applyFont="1" applyBorder="1" applyAlignment="1">
      <alignment horizontal="center" vertical="center"/>
    </xf>
    <xf numFmtId="10" fontId="8" fillId="0" borderId="7" xfId="0" applyNumberFormat="1" applyFont="1" applyBorder="1" applyAlignment="1">
      <alignment horizontal="center" vertical="center"/>
    </xf>
    <xf numFmtId="172" fontId="8" fillId="0" borderId="7" xfId="0" applyNumberFormat="1" applyFont="1" applyBorder="1" applyAlignment="1">
      <alignment horizontal="center" vertical="center"/>
    </xf>
    <xf numFmtId="0" fontId="41" fillId="12" borderId="7" xfId="0" applyFont="1" applyFill="1" applyBorder="1" applyAlignment="1">
      <alignment vertical="center"/>
    </xf>
    <xf numFmtId="166" fontId="9" fillId="13" borderId="7" xfId="0" applyNumberFormat="1" applyFont="1" applyFill="1" applyBorder="1" applyAlignment="1">
      <alignment vertical="center"/>
    </xf>
    <xf numFmtId="166" fontId="9" fillId="13" borderId="7" xfId="0" applyNumberFormat="1" applyFont="1" applyFill="1" applyBorder="1" applyAlignment="1">
      <alignment horizontal="center" vertical="center"/>
    </xf>
    <xf numFmtId="166" fontId="9" fillId="13" borderId="7" xfId="1" applyNumberFormat="1" applyFont="1" applyFill="1" applyBorder="1" applyAlignment="1">
      <alignment horizontal="center" vertical="center"/>
    </xf>
    <xf numFmtId="173" fontId="9" fillId="12" borderId="7" xfId="0" applyNumberFormat="1" applyFont="1" applyFill="1" applyBorder="1" applyAlignment="1">
      <alignment horizontal="center" vertical="center"/>
    </xf>
    <xf numFmtId="166" fontId="9" fillId="12" borderId="7" xfId="0" applyNumberFormat="1" applyFont="1" applyFill="1" applyBorder="1" applyAlignment="1">
      <alignment vertical="center"/>
    </xf>
    <xf numFmtId="168" fontId="9" fillId="13" borderId="7" xfId="0" applyNumberFormat="1" applyFont="1" applyFill="1" applyBorder="1" applyAlignment="1">
      <alignment horizontal="center" vertical="center"/>
    </xf>
    <xf numFmtId="10" fontId="9" fillId="13" borderId="7" xfId="0" applyNumberFormat="1" applyFont="1" applyFill="1" applyBorder="1" applyAlignment="1">
      <alignment horizontal="center" vertical="center"/>
    </xf>
    <xf numFmtId="172" fontId="9" fillId="13" borderId="7" xfId="0" applyNumberFormat="1" applyFont="1" applyFill="1" applyBorder="1" applyAlignment="1">
      <alignment horizontal="center" vertical="center"/>
    </xf>
    <xf numFmtId="166" fontId="9" fillId="12" borderId="7" xfId="0" applyNumberFormat="1" applyFont="1" applyFill="1" applyBorder="1" applyAlignment="1">
      <alignment horizontal="center" vertical="center"/>
    </xf>
    <xf numFmtId="166" fontId="9" fillId="12" borderId="7" xfId="1" applyNumberFormat="1" applyFont="1" applyFill="1" applyBorder="1" applyAlignment="1">
      <alignment horizontal="center" vertical="center"/>
    </xf>
    <xf numFmtId="168" fontId="9" fillId="12" borderId="7" xfId="0" applyNumberFormat="1" applyFont="1" applyFill="1" applyBorder="1" applyAlignment="1">
      <alignment horizontal="center" vertical="center"/>
    </xf>
    <xf numFmtId="10" fontId="9" fillId="12" borderId="7" xfId="0" applyNumberFormat="1" applyFont="1" applyFill="1" applyBorder="1" applyAlignment="1">
      <alignment horizontal="center" vertical="center"/>
    </xf>
    <xf numFmtId="172" fontId="9" fillId="12" borderId="7" xfId="0" applyNumberFormat="1" applyFont="1" applyFill="1" applyBorder="1" applyAlignment="1">
      <alignment horizontal="center" vertical="center"/>
    </xf>
    <xf numFmtId="166" fontId="8" fillId="16" borderId="7" xfId="1" applyNumberFormat="1" applyFont="1" applyFill="1" applyBorder="1" applyAlignment="1">
      <alignment horizontal="center" vertical="center"/>
    </xf>
    <xf numFmtId="166" fontId="9" fillId="23" borderId="7" xfId="0" applyNumberFormat="1" applyFont="1" applyFill="1" applyBorder="1" applyAlignment="1">
      <alignment vertical="center"/>
    </xf>
    <xf numFmtId="166" fontId="9" fillId="23" borderId="7" xfId="0" applyNumberFormat="1" applyFont="1" applyFill="1" applyBorder="1" applyAlignment="1">
      <alignment horizontal="center" vertical="center"/>
    </xf>
    <xf numFmtId="166" fontId="9" fillId="23" borderId="7" xfId="1" applyNumberFormat="1" applyFont="1" applyFill="1" applyBorder="1" applyAlignment="1">
      <alignment horizontal="center" vertical="center"/>
    </xf>
    <xf numFmtId="173" fontId="9" fillId="24" borderId="7" xfId="0" applyNumberFormat="1" applyFont="1" applyFill="1" applyBorder="1" applyAlignment="1">
      <alignment horizontal="center" vertical="center"/>
    </xf>
    <xf numFmtId="166" fontId="9" fillId="24" borderId="7" xfId="0" applyNumberFormat="1" applyFont="1" applyFill="1" applyBorder="1" applyAlignment="1">
      <alignment vertical="center"/>
    </xf>
    <xf numFmtId="168" fontId="9" fillId="24" borderId="7" xfId="0" applyNumberFormat="1" applyFont="1" applyFill="1" applyBorder="1" applyAlignment="1">
      <alignment horizontal="center" vertical="center"/>
    </xf>
    <xf numFmtId="10" fontId="9" fillId="24" borderId="7" xfId="0" applyNumberFormat="1" applyFont="1" applyFill="1" applyBorder="1" applyAlignment="1">
      <alignment horizontal="center" vertical="center"/>
    </xf>
    <xf numFmtId="172" fontId="9" fillId="24" borderId="7" xfId="0" applyNumberFormat="1" applyFont="1" applyFill="1" applyBorder="1" applyAlignment="1">
      <alignment horizontal="center" vertical="center"/>
    </xf>
    <xf numFmtId="168" fontId="9" fillId="0" borderId="6" xfId="2" applyNumberFormat="1" applyFont="1" applyFill="1" applyBorder="1" applyAlignment="1">
      <alignment vertical="center"/>
    </xf>
    <xf numFmtId="168" fontId="31" fillId="0" borderId="7" xfId="2" applyNumberFormat="1" applyFont="1" applyFill="1" applyBorder="1" applyAlignment="1" applyProtection="1">
      <alignment horizontal="center" vertical="center"/>
    </xf>
    <xf numFmtId="168" fontId="32" fillId="4" borderId="7" xfId="2" applyNumberFormat="1" applyFont="1" applyFill="1" applyBorder="1" applyAlignment="1" applyProtection="1">
      <alignment horizontal="center" vertical="center"/>
    </xf>
    <xf numFmtId="166" fontId="42" fillId="0" borderId="0" xfId="0" applyNumberFormat="1" applyFont="1" applyAlignment="1">
      <alignment vertical="center"/>
    </xf>
    <xf numFmtId="166" fontId="42" fillId="0" borderId="7" xfId="0" applyNumberFormat="1" applyFont="1" applyBorder="1" applyAlignment="1">
      <alignment vertical="center"/>
    </xf>
    <xf numFmtId="0" fontId="59" fillId="12" borderId="7" xfId="0" applyFont="1" applyFill="1" applyBorder="1" applyAlignment="1">
      <alignment vertical="center"/>
    </xf>
    <xf numFmtId="166" fontId="59" fillId="13" borderId="7" xfId="0" applyNumberFormat="1" applyFont="1" applyFill="1" applyBorder="1" applyAlignment="1">
      <alignment vertical="center"/>
    </xf>
    <xf numFmtId="166" fontId="59" fillId="21" borderId="7" xfId="0" applyNumberFormat="1" applyFont="1" applyFill="1" applyBorder="1" applyAlignment="1">
      <alignment vertical="center"/>
    </xf>
    <xf numFmtId="166" fontId="38" fillId="19" borderId="24" xfId="1" applyNumberFormat="1" applyFont="1" applyFill="1" applyBorder="1" applyAlignment="1">
      <alignment horizontal="center" vertical="center"/>
    </xf>
    <xf numFmtId="166" fontId="59" fillId="0" borderId="7" xfId="0" applyNumberFormat="1" applyFont="1" applyBorder="1" applyAlignment="1">
      <alignment vertical="center"/>
    </xf>
    <xf numFmtId="166" fontId="59" fillId="0" borderId="7" xfId="56" applyNumberFormat="1" applyFont="1" applyFill="1" applyBorder="1" applyAlignment="1">
      <alignment vertical="center"/>
    </xf>
    <xf numFmtId="166" fontId="59" fillId="28" borderId="3" xfId="0" applyNumberFormat="1" applyFont="1" applyFill="1" applyBorder="1" applyAlignment="1">
      <alignment vertical="center"/>
    </xf>
    <xf numFmtId="166" fontId="59" fillId="19" borderId="3" xfId="0" applyNumberFormat="1" applyFont="1" applyFill="1" applyBorder="1" applyAlignment="1">
      <alignment vertical="center"/>
    </xf>
    <xf numFmtId="167" fontId="41" fillId="19" borderId="3" xfId="1" applyNumberFormat="1" applyFont="1" applyFill="1" applyBorder="1" applyAlignment="1">
      <alignment vertical="center"/>
    </xf>
    <xf numFmtId="40" fontId="34" fillId="0" borderId="0" xfId="0" applyNumberFormat="1" applyFont="1" applyAlignment="1">
      <alignment vertical="center"/>
    </xf>
    <xf numFmtId="38" fontId="34" fillId="0" borderId="0" xfId="1" applyNumberFormat="1" applyFont="1" applyAlignment="1">
      <alignment vertical="center"/>
    </xf>
    <xf numFmtId="38" fontId="42" fillId="0" borderId="0" xfId="1" applyNumberFormat="1" applyFont="1" applyAlignment="1">
      <alignment vertical="center"/>
    </xf>
    <xf numFmtId="38" fontId="41" fillId="0" borderId="0" xfId="1" applyNumberFormat="1" applyFont="1" applyAlignment="1">
      <alignment vertical="center"/>
    </xf>
    <xf numFmtId="40" fontId="41" fillId="0" borderId="0" xfId="0" applyNumberFormat="1" applyFont="1" applyAlignment="1">
      <alignment vertical="center"/>
    </xf>
    <xf numFmtId="165" fontId="34" fillId="0" borderId="0" xfId="1" applyFont="1" applyAlignment="1">
      <alignment vertical="center"/>
    </xf>
    <xf numFmtId="165" fontId="41" fillId="0" borderId="0" xfId="1" applyFont="1" applyAlignment="1">
      <alignment vertical="center"/>
    </xf>
    <xf numFmtId="38" fontId="59" fillId="29" borderId="5" xfId="0" applyNumberFormat="1" applyFont="1" applyFill="1" applyBorder="1" applyAlignment="1">
      <alignment horizontal="center" vertical="center" wrapText="1"/>
    </xf>
    <xf numFmtId="40" fontId="59" fillId="29" borderId="5" xfId="0" applyNumberFormat="1" applyFont="1" applyFill="1" applyBorder="1" applyAlignment="1">
      <alignment horizontal="center" vertical="center" wrapText="1"/>
    </xf>
    <xf numFmtId="40" fontId="59" fillId="30" borderId="7" xfId="1" applyNumberFormat="1" applyFont="1" applyFill="1" applyBorder="1" applyAlignment="1">
      <alignment vertical="center"/>
    </xf>
    <xf numFmtId="40" fontId="59" fillId="19" borderId="7" xfId="1" applyNumberFormat="1" applyFont="1" applyFill="1" applyBorder="1" applyAlignment="1">
      <alignment vertical="center"/>
    </xf>
    <xf numFmtId="166" fontId="59" fillId="27" borderId="6" xfId="0" applyNumberFormat="1" applyFont="1" applyFill="1" applyBorder="1" applyAlignment="1">
      <alignment horizontal="center" vertical="center" wrapText="1"/>
    </xf>
    <xf numFmtId="173" fontId="60" fillId="27" borderId="6" xfId="0" applyNumberFormat="1" applyFont="1" applyFill="1" applyBorder="1" applyAlignment="1">
      <alignment horizontal="center" vertical="center" wrapText="1"/>
    </xf>
    <xf numFmtId="165" fontId="60" fillId="27" borderId="6" xfId="1" applyFont="1" applyFill="1" applyBorder="1" applyAlignment="1">
      <alignment horizontal="center" vertical="center" wrapText="1"/>
    </xf>
    <xf numFmtId="40" fontId="42" fillId="0" borderId="7" xfId="1" applyNumberFormat="1" applyFont="1" applyFill="1" applyBorder="1" applyAlignment="1">
      <alignment vertical="center"/>
    </xf>
    <xf numFmtId="166" fontId="42" fillId="29" borderId="7" xfId="0" applyNumberFormat="1" applyFont="1" applyFill="1" applyBorder="1" applyAlignment="1">
      <alignment vertical="center"/>
    </xf>
    <xf numFmtId="165" fontId="42" fillId="29" borderId="7" xfId="1" applyFont="1" applyFill="1" applyBorder="1" applyAlignment="1">
      <alignment vertical="center"/>
    </xf>
    <xf numFmtId="166" fontId="42" fillId="28" borderId="7" xfId="0" applyNumberFormat="1" applyFont="1" applyFill="1" applyBorder="1" applyAlignment="1">
      <alignment vertical="center"/>
    </xf>
    <xf numFmtId="165" fontId="42" fillId="28" borderId="7" xfId="1" applyFont="1" applyFill="1" applyBorder="1" applyAlignment="1">
      <alignment vertical="center"/>
    </xf>
    <xf numFmtId="166" fontId="59" fillId="10" borderId="7" xfId="0" applyNumberFormat="1" applyFont="1" applyFill="1" applyBorder="1" applyAlignment="1">
      <alignment vertical="center"/>
    </xf>
    <xf numFmtId="166" fontId="59" fillId="31" borderId="6" xfId="0" applyNumberFormat="1" applyFont="1" applyFill="1" applyBorder="1" applyAlignment="1">
      <alignment horizontal="center" vertical="center" wrapText="1"/>
    </xf>
    <xf numFmtId="173" fontId="60" fillId="31" borderId="6" xfId="0" applyNumberFormat="1" applyFont="1" applyFill="1" applyBorder="1" applyAlignment="1">
      <alignment horizontal="center" vertical="center" wrapText="1"/>
    </xf>
    <xf numFmtId="165" fontId="60" fillId="31" borderId="6" xfId="1" applyFont="1" applyFill="1" applyBorder="1" applyAlignment="1">
      <alignment horizontal="center" vertical="center" wrapText="1"/>
    </xf>
    <xf numFmtId="166" fontId="8" fillId="33" borderId="7" xfId="1" applyNumberFormat="1" applyFont="1" applyFill="1" applyBorder="1" applyAlignment="1">
      <alignment horizontal="center" vertical="center"/>
    </xf>
    <xf numFmtId="168" fontId="63" fillId="0" borderId="7" xfId="2" applyNumberFormat="1" applyFont="1" applyFill="1" applyBorder="1" applyAlignment="1" applyProtection="1">
      <alignment horizontal="center" vertical="center"/>
    </xf>
    <xf numFmtId="0" fontId="64" fillId="14" borderId="7" xfId="0" applyFont="1" applyFill="1" applyBorder="1" applyAlignment="1">
      <alignment horizontal="left" vertical="center" wrapText="1"/>
    </xf>
    <xf numFmtId="166" fontId="64" fillId="0" borderId="0" xfId="0" applyNumberFormat="1" applyFont="1" applyAlignment="1">
      <alignment vertical="center"/>
    </xf>
    <xf numFmtId="166" fontId="64" fillId="0" borderId="0" xfId="0" applyNumberFormat="1" applyFont="1" applyAlignment="1">
      <alignment horizontal="center" vertical="center"/>
    </xf>
    <xf numFmtId="166" fontId="65" fillId="0" borderId="0" xfId="56" applyNumberFormat="1" applyFont="1" applyAlignment="1">
      <alignment horizontal="center" vertical="center"/>
    </xf>
    <xf numFmtId="173" fontId="64" fillId="0" borderId="0" xfId="0" applyNumberFormat="1" applyFont="1" applyAlignment="1">
      <alignment horizontal="center" vertical="center"/>
    </xf>
    <xf numFmtId="168" fontId="64" fillId="0" borderId="0" xfId="0" applyNumberFormat="1" applyFont="1" applyAlignment="1">
      <alignment horizontal="center" vertical="center"/>
    </xf>
    <xf numFmtId="10" fontId="64" fillId="0" borderId="0" xfId="0" applyNumberFormat="1" applyFont="1" applyAlignment="1">
      <alignment horizontal="center" vertical="center"/>
    </xf>
    <xf numFmtId="172" fontId="64" fillId="0" borderId="0" xfId="0" applyNumberFormat="1" applyFont="1" applyAlignment="1">
      <alignment horizontal="center" vertical="center"/>
    </xf>
    <xf numFmtId="168" fontId="64" fillId="0" borderId="0" xfId="0" applyNumberFormat="1" applyFont="1" applyAlignment="1">
      <alignment vertical="center"/>
    </xf>
    <xf numFmtId="168" fontId="64" fillId="0" borderId="0" xfId="70" applyNumberFormat="1" applyFont="1" applyAlignment="1">
      <alignment vertical="center"/>
    </xf>
    <xf numFmtId="38" fontId="64" fillId="0" borderId="0" xfId="0" applyNumberFormat="1" applyFont="1" applyAlignment="1">
      <alignment vertical="center"/>
    </xf>
    <xf numFmtId="40" fontId="64" fillId="0" borderId="0" xfId="0" applyNumberFormat="1" applyFont="1" applyAlignment="1">
      <alignment vertical="center"/>
    </xf>
    <xf numFmtId="173" fontId="64" fillId="0" borderId="0" xfId="0" applyNumberFormat="1" applyFont="1" applyAlignment="1">
      <alignment horizontal="left" vertical="center"/>
    </xf>
    <xf numFmtId="174" fontId="65" fillId="0" borderId="0" xfId="0" applyNumberFormat="1" applyFont="1" applyAlignment="1">
      <alignment vertical="center"/>
    </xf>
    <xf numFmtId="166" fontId="65" fillId="0" borderId="0" xfId="56" applyNumberFormat="1" applyFont="1" applyAlignment="1">
      <alignment horizontal="left" vertical="center"/>
    </xf>
    <xf numFmtId="166" fontId="64" fillId="0" borderId="0" xfId="0" applyNumberFormat="1" applyFont="1" applyAlignment="1">
      <alignment horizontal="left" vertical="center"/>
    </xf>
    <xf numFmtId="168" fontId="64" fillId="0" borderId="0" xfId="0" applyNumberFormat="1" applyFont="1" applyAlignment="1">
      <alignment horizontal="left" vertical="center"/>
    </xf>
    <xf numFmtId="168" fontId="64" fillId="4" borderId="3" xfId="70" applyNumberFormat="1" applyFont="1" applyFill="1" applyBorder="1" applyAlignment="1" applyProtection="1">
      <alignment horizontal="center" vertical="center"/>
    </xf>
    <xf numFmtId="169" fontId="64" fillId="0" borderId="0" xfId="71" applyNumberFormat="1" applyFont="1" applyAlignment="1">
      <alignment horizontal="left" vertical="center"/>
    </xf>
    <xf numFmtId="38" fontId="64" fillId="0" borderId="0" xfId="0" applyNumberFormat="1" applyFont="1" applyAlignment="1">
      <alignment horizontal="left" vertical="center"/>
    </xf>
    <xf numFmtId="40" fontId="64" fillId="0" borderId="0" xfId="0" applyNumberFormat="1" applyFont="1" applyAlignment="1">
      <alignment horizontal="left" vertical="center"/>
    </xf>
    <xf numFmtId="166" fontId="64" fillId="0" borderId="17" xfId="0" applyNumberFormat="1" applyFont="1" applyBorder="1" applyAlignment="1">
      <alignment vertical="center" wrapText="1"/>
    </xf>
    <xf numFmtId="166" fontId="66" fillId="0" borderId="0" xfId="0" applyNumberFormat="1" applyFont="1" applyAlignment="1">
      <alignment horizontal="left" vertical="center"/>
    </xf>
    <xf numFmtId="166" fontId="64" fillId="0" borderId="0" xfId="56" applyNumberFormat="1" applyFont="1" applyFill="1" applyAlignment="1">
      <alignment vertical="center"/>
    </xf>
    <xf numFmtId="9" fontId="64" fillId="0" borderId="0" xfId="0" applyNumberFormat="1" applyFont="1" applyAlignment="1">
      <alignment horizontal="center" vertical="center"/>
    </xf>
    <xf numFmtId="43" fontId="64" fillId="0" borderId="0" xfId="56" applyFont="1" applyFill="1" applyAlignment="1">
      <alignment horizontal="center" vertical="center"/>
    </xf>
    <xf numFmtId="166" fontId="64" fillId="0" borderId="0" xfId="71" applyNumberFormat="1" applyFont="1" applyAlignment="1">
      <alignment vertical="center"/>
    </xf>
    <xf numFmtId="166" fontId="66" fillId="0" borderId="0" xfId="0" applyNumberFormat="1" applyFont="1" applyAlignment="1">
      <alignment vertical="center"/>
    </xf>
    <xf numFmtId="166" fontId="65" fillId="0" borderId="0" xfId="0" applyNumberFormat="1" applyFont="1" applyAlignment="1">
      <alignment horizontal="center" vertical="center"/>
    </xf>
    <xf numFmtId="10" fontId="66" fillId="0" borderId="0" xfId="0" applyNumberFormat="1" applyFont="1" applyAlignment="1">
      <alignment horizontal="center" vertical="center"/>
    </xf>
    <xf numFmtId="166" fontId="65" fillId="26" borderId="11" xfId="0" applyNumberFormat="1" applyFont="1" applyFill="1" applyBorder="1" applyAlignment="1">
      <alignment horizontal="center" vertical="center"/>
    </xf>
    <xf numFmtId="168" fontId="65" fillId="0" borderId="13" xfId="0" applyNumberFormat="1" applyFont="1" applyBorder="1" applyAlignment="1">
      <alignment horizontal="center" vertical="center"/>
    </xf>
    <xf numFmtId="166" fontId="65" fillId="28" borderId="3" xfId="0" applyNumberFormat="1" applyFont="1" applyFill="1" applyBorder="1" applyAlignment="1">
      <alignment vertical="center"/>
    </xf>
    <xf numFmtId="166" fontId="67" fillId="0" borderId="0" xfId="0" applyNumberFormat="1" applyFont="1" applyAlignment="1">
      <alignment vertical="center"/>
    </xf>
    <xf numFmtId="166" fontId="65" fillId="19" borderId="3" xfId="0" applyNumberFormat="1" applyFont="1" applyFill="1" applyBorder="1" applyAlignment="1">
      <alignment vertical="center"/>
    </xf>
    <xf numFmtId="166" fontId="65" fillId="0" borderId="0" xfId="0" applyNumberFormat="1" applyFont="1" applyAlignment="1">
      <alignment vertical="center"/>
    </xf>
    <xf numFmtId="173" fontId="64" fillId="0" borderId="0" xfId="0" applyNumberFormat="1" applyFont="1" applyAlignment="1">
      <alignment vertical="center"/>
    </xf>
    <xf numFmtId="166" fontId="65" fillId="0" borderId="3" xfId="56" applyNumberFormat="1" applyFont="1" applyBorder="1" applyAlignment="1">
      <alignment horizontal="center" vertical="center"/>
    </xf>
    <xf numFmtId="173" fontId="65" fillId="0" borderId="3" xfId="0" applyNumberFormat="1" applyFont="1" applyBorder="1" applyAlignment="1">
      <alignment horizontal="center" vertical="center"/>
    </xf>
    <xf numFmtId="168" fontId="65" fillId="0" borderId="0" xfId="0" applyNumberFormat="1" applyFont="1" applyAlignment="1">
      <alignment horizontal="center" vertical="center"/>
    </xf>
    <xf numFmtId="168" fontId="65" fillId="0" borderId="0" xfId="70" applyNumberFormat="1" applyFont="1" applyAlignment="1">
      <alignment horizontal="center" vertical="center"/>
    </xf>
    <xf numFmtId="166" fontId="65" fillId="29" borderId="6" xfId="0" applyNumberFormat="1" applyFont="1" applyFill="1" applyBorder="1" applyAlignment="1">
      <alignment horizontal="center" vertical="center"/>
    </xf>
    <xf numFmtId="173" fontId="66" fillId="29" borderId="6" xfId="0" applyNumberFormat="1" applyFont="1" applyFill="1" applyBorder="1" applyAlignment="1">
      <alignment horizontal="center" vertical="center"/>
    </xf>
    <xf numFmtId="38" fontId="65" fillId="29" borderId="5" xfId="0" applyNumberFormat="1" applyFont="1" applyFill="1" applyBorder="1" applyAlignment="1">
      <alignment vertical="center"/>
    </xf>
    <xf numFmtId="40" fontId="65" fillId="29" borderId="5" xfId="0" applyNumberFormat="1" applyFont="1" applyFill="1" applyBorder="1" applyAlignment="1">
      <alignment vertical="center"/>
    </xf>
    <xf numFmtId="166" fontId="65" fillId="0" borderId="0" xfId="0" applyNumberFormat="1" applyFont="1" applyAlignment="1">
      <alignment vertical="center" wrapText="1"/>
    </xf>
    <xf numFmtId="166" fontId="65" fillId="0" borderId="3" xfId="56" applyNumberFormat="1" applyFont="1" applyBorder="1" applyAlignment="1">
      <alignment horizontal="center" vertical="center" wrapText="1"/>
    </xf>
    <xf numFmtId="173" fontId="65" fillId="0" borderId="3" xfId="0" applyNumberFormat="1" applyFont="1" applyBorder="1" applyAlignment="1">
      <alignment horizontal="center" vertical="center" wrapText="1"/>
    </xf>
    <xf numFmtId="14" fontId="65" fillId="0" borderId="3" xfId="0" applyNumberFormat="1" applyFont="1" applyBorder="1" applyAlignment="1">
      <alignment horizontal="center" vertical="center" wrapText="1"/>
    </xf>
    <xf numFmtId="168" fontId="65" fillId="0" borderId="0" xfId="0" applyNumberFormat="1" applyFont="1" applyAlignment="1">
      <alignment horizontal="center" vertical="center" wrapText="1"/>
    </xf>
    <xf numFmtId="168" fontId="65" fillId="0" borderId="0" xfId="70" applyNumberFormat="1" applyFont="1" applyAlignment="1">
      <alignment horizontal="center" vertical="center" wrapText="1"/>
    </xf>
    <xf numFmtId="38" fontId="65" fillId="21" borderId="7" xfId="0" applyNumberFormat="1" applyFont="1" applyFill="1" applyBorder="1" applyAlignment="1">
      <alignment vertical="center"/>
    </xf>
    <xf numFmtId="14" fontId="65" fillId="0" borderId="0" xfId="0" applyNumberFormat="1" applyFont="1" applyAlignment="1">
      <alignment vertical="center" wrapText="1"/>
    </xf>
    <xf numFmtId="166" fontId="64" fillId="0" borderId="3" xfId="0" applyNumberFormat="1" applyFont="1" applyBorder="1" applyAlignment="1">
      <alignment horizontal="center" vertical="center"/>
    </xf>
    <xf numFmtId="173" fontId="64" fillId="0" borderId="3" xfId="0" applyNumberFormat="1" applyFont="1" applyBorder="1" applyAlignment="1">
      <alignment horizontal="center" vertical="center"/>
    </xf>
    <xf numFmtId="166" fontId="65" fillId="0" borderId="3" xfId="0" applyNumberFormat="1" applyFont="1" applyBorder="1" applyAlignment="1">
      <alignment vertical="center"/>
    </xf>
    <xf numFmtId="10" fontId="65" fillId="0" borderId="3" xfId="0" applyNumberFormat="1" applyFont="1" applyBorder="1" applyAlignment="1">
      <alignment horizontal="center" vertical="center"/>
    </xf>
    <xf numFmtId="172" fontId="65" fillId="0" borderId="3" xfId="0" applyNumberFormat="1" applyFont="1" applyBorder="1" applyAlignment="1">
      <alignment horizontal="center" vertical="center"/>
    </xf>
    <xf numFmtId="168" fontId="65" fillId="0" borderId="0" xfId="70" applyNumberFormat="1" applyFont="1" applyAlignment="1">
      <alignment vertical="center"/>
    </xf>
    <xf numFmtId="166" fontId="64" fillId="0" borderId="7" xfId="0" applyNumberFormat="1" applyFont="1" applyBorder="1" applyAlignment="1">
      <alignment vertical="center"/>
    </xf>
    <xf numFmtId="166" fontId="65" fillId="0" borderId="7" xfId="0" applyNumberFormat="1" applyFont="1" applyBorder="1" applyAlignment="1">
      <alignment vertical="center"/>
    </xf>
    <xf numFmtId="43" fontId="64" fillId="0" borderId="7" xfId="0" applyNumberFormat="1" applyFont="1" applyBorder="1" applyAlignment="1">
      <alignment vertical="center"/>
    </xf>
    <xf numFmtId="38" fontId="65" fillId="0" borderId="7" xfId="56" applyNumberFormat="1" applyFont="1" applyBorder="1" applyAlignment="1">
      <alignment vertical="center"/>
    </xf>
    <xf numFmtId="40" fontId="65" fillId="0" borderId="7" xfId="56" applyNumberFormat="1" applyFont="1" applyBorder="1" applyAlignment="1">
      <alignment vertical="center"/>
    </xf>
    <xf numFmtId="166" fontId="65" fillId="9" borderId="3" xfId="0" applyNumberFormat="1" applyFont="1" applyFill="1" applyBorder="1" applyAlignment="1">
      <alignment vertical="center"/>
    </xf>
    <xf numFmtId="166" fontId="64" fillId="9" borderId="3" xfId="0" applyNumberFormat="1" applyFont="1" applyFill="1" applyBorder="1" applyAlignment="1">
      <alignment vertical="center"/>
    </xf>
    <xf numFmtId="166" fontId="65" fillId="9" borderId="3" xfId="0" applyNumberFormat="1" applyFont="1" applyFill="1" applyBorder="1" applyAlignment="1">
      <alignment horizontal="center" vertical="center"/>
    </xf>
    <xf numFmtId="166" fontId="64" fillId="9" borderId="3" xfId="56" applyNumberFormat="1" applyFont="1" applyFill="1" applyBorder="1" applyAlignment="1">
      <alignment vertical="center"/>
    </xf>
    <xf numFmtId="172" fontId="65" fillId="9" borderId="3" xfId="0" applyNumberFormat="1" applyFont="1" applyFill="1" applyBorder="1" applyAlignment="1">
      <alignment horizontal="right" vertical="center"/>
    </xf>
    <xf numFmtId="173" fontId="65" fillId="10" borderId="3" xfId="0" applyNumberFormat="1" applyFont="1" applyFill="1" applyBorder="1" applyAlignment="1">
      <alignment horizontal="center" vertical="center"/>
    </xf>
    <xf numFmtId="167" fontId="65" fillId="4" borderId="3" xfId="71" applyNumberFormat="1" applyFont="1" applyFill="1" applyBorder="1" applyAlignment="1" applyProtection="1">
      <alignment horizontal="center" vertical="center"/>
      <protection locked="0" hidden="1"/>
    </xf>
    <xf numFmtId="175" fontId="64" fillId="0" borderId="0" xfId="56" applyNumberFormat="1" applyFont="1" applyAlignment="1">
      <alignment vertical="center"/>
    </xf>
    <xf numFmtId="168" fontId="65" fillId="0" borderId="0" xfId="0" applyNumberFormat="1" applyFont="1" applyAlignment="1">
      <alignment vertical="center"/>
    </xf>
    <xf numFmtId="166" fontId="64" fillId="0" borderId="3" xfId="0" applyNumberFormat="1" applyFont="1" applyBorder="1" applyAlignment="1">
      <alignment vertical="center"/>
    </xf>
    <xf numFmtId="166" fontId="64" fillId="0" borderId="3" xfId="56" applyNumberFormat="1" applyFont="1" applyBorder="1" applyAlignment="1">
      <alignment vertical="center"/>
    </xf>
    <xf numFmtId="172" fontId="65" fillId="0" borderId="3" xfId="0" applyNumberFormat="1" applyFont="1" applyBorder="1" applyAlignment="1">
      <alignment horizontal="right" vertical="center"/>
    </xf>
    <xf numFmtId="173" fontId="64" fillId="4" borderId="3" xfId="0" applyNumberFormat="1" applyFont="1" applyFill="1" applyBorder="1" applyAlignment="1">
      <alignment vertical="center"/>
    </xf>
    <xf numFmtId="167" fontId="65" fillId="0" borderId="0" xfId="71" applyNumberFormat="1" applyFont="1" applyAlignment="1">
      <alignment vertical="center"/>
    </xf>
    <xf numFmtId="166" fontId="65" fillId="0" borderId="7" xfId="56" applyNumberFormat="1" applyFont="1" applyFill="1" applyBorder="1" applyAlignment="1">
      <alignment vertical="center"/>
    </xf>
    <xf numFmtId="166" fontId="65" fillId="11" borderId="3" xfId="0" applyNumberFormat="1" applyFont="1" applyFill="1" applyBorder="1" applyAlignment="1">
      <alignment vertical="center"/>
    </xf>
    <xf numFmtId="166" fontId="64" fillId="11" borderId="3" xfId="0" applyNumberFormat="1" applyFont="1" applyFill="1" applyBorder="1" applyAlignment="1">
      <alignment vertical="center"/>
    </xf>
    <xf numFmtId="166" fontId="64" fillId="11" borderId="3" xfId="0" applyNumberFormat="1" applyFont="1" applyFill="1" applyBorder="1" applyAlignment="1">
      <alignment horizontal="center" vertical="center"/>
    </xf>
    <xf numFmtId="166" fontId="64" fillId="11" borderId="3" xfId="56" applyNumberFormat="1" applyFont="1" applyFill="1" applyBorder="1" applyAlignment="1">
      <alignment horizontal="center" vertical="center"/>
    </xf>
    <xf numFmtId="166" fontId="65" fillId="11" borderId="3" xfId="0" applyNumberFormat="1" applyFont="1" applyFill="1" applyBorder="1" applyAlignment="1">
      <alignment horizontal="center" vertical="center"/>
    </xf>
    <xf numFmtId="166" fontId="65" fillId="10" borderId="3" xfId="0" applyNumberFormat="1" applyFont="1" applyFill="1" applyBorder="1" applyAlignment="1">
      <alignment vertical="center"/>
    </xf>
    <xf numFmtId="168" fontId="65" fillId="10" borderId="3" xfId="0" applyNumberFormat="1" applyFont="1" applyFill="1" applyBorder="1" applyAlignment="1">
      <alignment horizontal="center" vertical="center"/>
    </xf>
    <xf numFmtId="10" fontId="65" fillId="10" borderId="3" xfId="0" applyNumberFormat="1" applyFont="1" applyFill="1" applyBorder="1" applyAlignment="1">
      <alignment horizontal="center" vertical="center"/>
    </xf>
    <xf numFmtId="172" fontId="65" fillId="10" borderId="3" xfId="0" applyNumberFormat="1" applyFont="1" applyFill="1" applyBorder="1" applyAlignment="1">
      <alignment horizontal="center" vertical="center"/>
    </xf>
    <xf numFmtId="166" fontId="65" fillId="12" borderId="0" xfId="0" applyNumberFormat="1" applyFont="1" applyFill="1" applyAlignment="1">
      <alignment vertical="center"/>
    </xf>
    <xf numFmtId="0" fontId="65" fillId="12" borderId="6" xfId="0" applyFont="1" applyFill="1" applyBorder="1" applyAlignment="1">
      <alignment vertical="center"/>
    </xf>
    <xf numFmtId="166" fontId="65" fillId="13" borderId="6" xfId="0" applyNumberFormat="1" applyFont="1" applyFill="1" applyBorder="1" applyAlignment="1">
      <alignment vertical="center"/>
    </xf>
    <xf numFmtId="166" fontId="65" fillId="13" borderId="6" xfId="0" applyNumberFormat="1" applyFont="1" applyFill="1" applyBorder="1" applyAlignment="1">
      <alignment horizontal="center" vertical="center"/>
    </xf>
    <xf numFmtId="166" fontId="65" fillId="13" borderId="6" xfId="56" applyNumberFormat="1" applyFont="1" applyFill="1" applyBorder="1" applyAlignment="1">
      <alignment horizontal="center" vertical="center"/>
    </xf>
    <xf numFmtId="173" fontId="65" fillId="13" borderId="6" xfId="0" applyNumberFormat="1" applyFont="1" applyFill="1" applyBorder="1" applyAlignment="1">
      <alignment horizontal="center" vertical="center"/>
    </xf>
    <xf numFmtId="166" fontId="65" fillId="12" borderId="6" xfId="0" applyNumberFormat="1" applyFont="1" applyFill="1" applyBorder="1" applyAlignment="1">
      <alignment vertical="center"/>
    </xf>
    <xf numFmtId="168" fontId="65" fillId="13" borderId="6" xfId="0" applyNumberFormat="1" applyFont="1" applyFill="1" applyBorder="1" applyAlignment="1">
      <alignment horizontal="center" vertical="center"/>
    </xf>
    <xf numFmtId="10" fontId="65" fillId="13" borderId="6" xfId="0" applyNumberFormat="1" applyFont="1" applyFill="1" applyBorder="1" applyAlignment="1">
      <alignment horizontal="center" vertical="center"/>
    </xf>
    <xf numFmtId="172" fontId="65" fillId="13" borderId="6" xfId="0" applyNumberFormat="1" applyFont="1" applyFill="1" applyBorder="1" applyAlignment="1">
      <alignment horizontal="center" vertical="center"/>
    </xf>
    <xf numFmtId="168" fontId="65" fillId="0" borderId="6" xfId="70" applyNumberFormat="1" applyFont="1" applyFill="1" applyBorder="1" applyAlignment="1">
      <alignment vertical="center"/>
    </xf>
    <xf numFmtId="168" fontId="65" fillId="0" borderId="0" xfId="70" applyNumberFormat="1" applyFont="1" applyFill="1" applyAlignment="1">
      <alignment vertical="center"/>
    </xf>
    <xf numFmtId="0" fontId="65" fillId="0" borderId="0" xfId="0" applyFont="1" applyAlignment="1">
      <alignment vertical="center"/>
    </xf>
    <xf numFmtId="0" fontId="65" fillId="12" borderId="0" xfId="0" applyFont="1" applyFill="1" applyAlignment="1">
      <alignment vertical="center"/>
    </xf>
    <xf numFmtId="0" fontId="64" fillId="14" borderId="7" xfId="0" applyFont="1" applyFill="1" applyBorder="1" applyAlignment="1">
      <alignment vertical="center"/>
    </xf>
    <xf numFmtId="0" fontId="64" fillId="14" borderId="7" xfId="0" applyFont="1" applyFill="1" applyBorder="1" applyAlignment="1">
      <alignment horizontal="center" vertical="center" wrapText="1"/>
    </xf>
    <xf numFmtId="166" fontId="64" fillId="32" borderId="7" xfId="56" applyNumberFormat="1" applyFont="1" applyFill="1" applyBorder="1" applyAlignment="1">
      <alignment horizontal="center" vertical="center"/>
    </xf>
    <xf numFmtId="166" fontId="64" fillId="0" borderId="7" xfId="0" applyNumberFormat="1" applyFont="1" applyBorder="1" applyAlignment="1">
      <alignment horizontal="center" vertical="center"/>
    </xf>
    <xf numFmtId="173" fontId="64" fillId="15" borderId="7" xfId="0" applyNumberFormat="1" applyFont="1" applyFill="1" applyBorder="1" applyAlignment="1">
      <alignment horizontal="center" vertical="center"/>
    </xf>
    <xf numFmtId="166" fontId="64" fillId="33" borderId="7" xfId="0" applyNumberFormat="1" applyFont="1" applyFill="1" applyBorder="1" applyAlignment="1">
      <alignment vertical="center"/>
    </xf>
    <xf numFmtId="168" fontId="64" fillId="0" borderId="7" xfId="0" applyNumberFormat="1" applyFont="1" applyBorder="1" applyAlignment="1">
      <alignment horizontal="center" vertical="center"/>
    </xf>
    <xf numFmtId="10" fontId="64" fillId="0" borderId="7" xfId="0" applyNumberFormat="1" applyFont="1" applyBorder="1" applyAlignment="1">
      <alignment horizontal="center" vertical="center"/>
    </xf>
    <xf numFmtId="172" fontId="64" fillId="0" borderId="7" xfId="0" applyNumberFormat="1" applyFont="1" applyBorder="1" applyAlignment="1">
      <alignment horizontal="center" vertical="center"/>
    </xf>
    <xf numFmtId="168" fontId="68" fillId="0" borderId="7" xfId="70" applyNumberFormat="1" applyFont="1" applyFill="1" applyBorder="1" applyAlignment="1" applyProtection="1">
      <alignment horizontal="center" vertical="center"/>
    </xf>
    <xf numFmtId="168" fontId="64" fillId="4" borderId="7" xfId="70" applyNumberFormat="1" applyFont="1" applyFill="1" applyBorder="1" applyAlignment="1" applyProtection="1">
      <alignment horizontal="center" vertical="center"/>
    </xf>
    <xf numFmtId="166" fontId="64" fillId="0" borderId="7" xfId="56" applyNumberFormat="1" applyFont="1" applyBorder="1" applyAlignment="1">
      <alignment horizontal="center" vertical="center"/>
    </xf>
    <xf numFmtId="0" fontId="65" fillId="12" borderId="7" xfId="0" applyFont="1" applyFill="1" applyBorder="1" applyAlignment="1">
      <alignment vertical="center"/>
    </xf>
    <xf numFmtId="166" fontId="65" fillId="13" borderId="7" xfId="0" applyNumberFormat="1" applyFont="1" applyFill="1" applyBorder="1" applyAlignment="1">
      <alignment vertical="center"/>
    </xf>
    <xf numFmtId="166" fontId="65" fillId="13" borderId="7" xfId="0" applyNumberFormat="1" applyFont="1" applyFill="1" applyBorder="1" applyAlignment="1">
      <alignment horizontal="center" vertical="center"/>
    </xf>
    <xf numFmtId="166" fontId="65" fillId="13" borderId="7" xfId="56" applyNumberFormat="1" applyFont="1" applyFill="1" applyBorder="1" applyAlignment="1">
      <alignment horizontal="center" vertical="center"/>
    </xf>
    <xf numFmtId="173" fontId="65" fillId="13" borderId="7" xfId="0" applyNumberFormat="1" applyFont="1" applyFill="1" applyBorder="1" applyAlignment="1">
      <alignment horizontal="center" vertical="center"/>
    </xf>
    <xf numFmtId="166" fontId="65" fillId="12" borderId="7" xfId="0" applyNumberFormat="1" applyFont="1" applyFill="1" applyBorder="1" applyAlignment="1">
      <alignment vertical="center"/>
    </xf>
    <xf numFmtId="168" fontId="65" fillId="13" borderId="7" xfId="0" applyNumberFormat="1" applyFont="1" applyFill="1" applyBorder="1" applyAlignment="1">
      <alignment horizontal="center" vertical="center"/>
    </xf>
    <xf numFmtId="10" fontId="65" fillId="13" borderId="7" xfId="0" applyNumberFormat="1" applyFont="1" applyFill="1" applyBorder="1" applyAlignment="1">
      <alignment horizontal="center" vertical="center"/>
    </xf>
    <xf numFmtId="172" fontId="65" fillId="13" borderId="7" xfId="0" applyNumberFormat="1" applyFont="1" applyFill="1" applyBorder="1" applyAlignment="1">
      <alignment horizontal="center" vertical="center"/>
    </xf>
    <xf numFmtId="168" fontId="64" fillId="0" borderId="0" xfId="70" applyNumberFormat="1" applyFont="1" applyFill="1" applyAlignment="1">
      <alignment vertical="center"/>
    </xf>
    <xf numFmtId="166" fontId="65" fillId="12" borderId="7" xfId="0" applyNumberFormat="1" applyFont="1" applyFill="1" applyBorder="1" applyAlignment="1">
      <alignment horizontal="center" vertical="center"/>
    </xf>
    <xf numFmtId="166" fontId="65" fillId="12" borderId="7" xfId="56" applyNumberFormat="1" applyFont="1" applyFill="1" applyBorder="1" applyAlignment="1">
      <alignment horizontal="center" vertical="center"/>
    </xf>
    <xf numFmtId="168" fontId="65" fillId="12" borderId="7" xfId="0" applyNumberFormat="1" applyFont="1" applyFill="1" applyBorder="1" applyAlignment="1">
      <alignment horizontal="center" vertical="center"/>
    </xf>
    <xf numFmtId="10" fontId="65" fillId="12" borderId="7" xfId="0" applyNumberFormat="1" applyFont="1" applyFill="1" applyBorder="1" applyAlignment="1">
      <alignment horizontal="center" vertical="center"/>
    </xf>
    <xf numFmtId="172" fontId="65" fillId="12" borderId="7" xfId="0" applyNumberFormat="1" applyFont="1" applyFill="1" applyBorder="1" applyAlignment="1">
      <alignment horizontal="center" vertical="center"/>
    </xf>
    <xf numFmtId="166" fontId="64" fillId="16" borderId="7" xfId="0" applyNumberFormat="1" applyFont="1" applyFill="1" applyBorder="1" applyAlignment="1">
      <alignment horizontal="center" vertical="center"/>
    </xf>
    <xf numFmtId="166" fontId="64" fillId="16" borderId="7" xfId="0" applyNumberFormat="1" applyFont="1" applyFill="1" applyBorder="1" applyAlignment="1">
      <alignment vertical="center"/>
    </xf>
    <xf numFmtId="168" fontId="64" fillId="16" borderId="7" xfId="0" applyNumberFormat="1" applyFont="1" applyFill="1" applyBorder="1" applyAlignment="1">
      <alignment horizontal="center" vertical="center"/>
    </xf>
    <xf numFmtId="10" fontId="64" fillId="16" borderId="7" xfId="0" applyNumberFormat="1" applyFont="1" applyFill="1" applyBorder="1" applyAlignment="1">
      <alignment horizontal="center" vertical="center"/>
    </xf>
    <xf numFmtId="172" fontId="64" fillId="16" borderId="7" xfId="0" applyNumberFormat="1" applyFont="1" applyFill="1" applyBorder="1" applyAlignment="1">
      <alignment horizontal="center" vertical="center"/>
    </xf>
    <xf numFmtId="166" fontId="64" fillId="0" borderId="8" xfId="0" applyNumberFormat="1" applyFont="1" applyBorder="1" applyAlignment="1">
      <alignment vertical="center"/>
    </xf>
    <xf numFmtId="43" fontId="64" fillId="0" borderId="8" xfId="0" applyNumberFormat="1" applyFont="1" applyBorder="1" applyAlignment="1">
      <alignment vertical="center"/>
    </xf>
    <xf numFmtId="38" fontId="65" fillId="0" borderId="8" xfId="56" applyNumberFormat="1" applyFont="1" applyBorder="1" applyAlignment="1">
      <alignment vertical="center"/>
    </xf>
    <xf numFmtId="40" fontId="65" fillId="0" borderId="8" xfId="56" applyNumberFormat="1" applyFont="1" applyBorder="1" applyAlignment="1">
      <alignment vertical="center"/>
    </xf>
    <xf numFmtId="166" fontId="64" fillId="0" borderId="0" xfId="56" applyNumberFormat="1" applyFont="1" applyAlignment="1">
      <alignment vertical="center"/>
    </xf>
    <xf numFmtId="166" fontId="65" fillId="12" borderId="0" xfId="56" applyNumberFormat="1" applyFont="1" applyFill="1" applyAlignment="1">
      <alignment vertical="center"/>
    </xf>
    <xf numFmtId="38" fontId="65" fillId="12" borderId="0" xfId="0" applyNumberFormat="1" applyFont="1" applyFill="1" applyAlignment="1">
      <alignment vertical="center"/>
    </xf>
    <xf numFmtId="40" fontId="65" fillId="12" borderId="0" xfId="0" applyNumberFormat="1" applyFont="1" applyFill="1" applyAlignment="1">
      <alignment vertical="center"/>
    </xf>
    <xf numFmtId="166" fontId="64" fillId="16" borderId="7" xfId="56" applyNumberFormat="1" applyFont="1" applyFill="1" applyBorder="1" applyAlignment="1">
      <alignment horizontal="center" vertical="center"/>
    </xf>
    <xf numFmtId="166" fontId="64" fillId="14" borderId="7" xfId="0" applyNumberFormat="1" applyFont="1" applyFill="1" applyBorder="1" applyAlignment="1">
      <alignment vertical="center"/>
    </xf>
    <xf numFmtId="0" fontId="64" fillId="14" borderId="7" xfId="229" applyFont="1" applyFill="1" applyBorder="1" applyAlignment="1">
      <alignment vertical="center"/>
    </xf>
    <xf numFmtId="166" fontId="65" fillId="20" borderId="7" xfId="0" applyNumberFormat="1" applyFont="1" applyFill="1" applyBorder="1" applyAlignment="1">
      <alignment vertical="center"/>
    </xf>
    <xf numFmtId="166" fontId="65" fillId="20" borderId="7" xfId="0" applyNumberFormat="1" applyFont="1" applyFill="1" applyBorder="1" applyAlignment="1">
      <alignment horizontal="center" vertical="center"/>
    </xf>
    <xf numFmtId="166" fontId="65" fillId="20" borderId="7" xfId="56" applyNumberFormat="1" applyFont="1" applyFill="1" applyBorder="1" applyAlignment="1">
      <alignment horizontal="center" vertical="center"/>
    </xf>
    <xf numFmtId="173" fontId="65" fillId="21" borderId="7" xfId="0" applyNumberFormat="1" applyFont="1" applyFill="1" applyBorder="1" applyAlignment="1">
      <alignment horizontal="center" vertical="center"/>
    </xf>
    <xf numFmtId="166" fontId="65" fillId="21" borderId="7" xfId="0" applyNumberFormat="1" applyFont="1" applyFill="1" applyBorder="1" applyAlignment="1">
      <alignment vertical="center"/>
    </xf>
    <xf numFmtId="168" fontId="65" fillId="21" borderId="7" xfId="0" applyNumberFormat="1" applyFont="1" applyFill="1" applyBorder="1" applyAlignment="1">
      <alignment horizontal="center" vertical="center"/>
    </xf>
    <xf numFmtId="10" fontId="65" fillId="21" borderId="7" xfId="0" applyNumberFormat="1" applyFont="1" applyFill="1" applyBorder="1" applyAlignment="1">
      <alignment horizontal="center" vertical="center"/>
    </xf>
    <xf numFmtId="172" fontId="65" fillId="21" borderId="7" xfId="0" applyNumberFormat="1" applyFont="1" applyFill="1" applyBorder="1" applyAlignment="1">
      <alignment horizontal="center" vertical="center"/>
    </xf>
    <xf numFmtId="0" fontId="64" fillId="14" borderId="7" xfId="0" applyFont="1" applyFill="1" applyBorder="1" applyAlignment="1">
      <alignment vertical="center" wrapText="1"/>
    </xf>
    <xf numFmtId="0" fontId="64" fillId="14" borderId="8" xfId="0" applyFont="1" applyFill="1" applyBorder="1" applyAlignment="1">
      <alignment vertical="center" wrapText="1"/>
    </xf>
    <xf numFmtId="0" fontId="64" fillId="14" borderId="8" xfId="0" applyFont="1" applyFill="1" applyBorder="1" applyAlignment="1">
      <alignment horizontal="left" vertical="center" wrapText="1"/>
    </xf>
    <xf numFmtId="0" fontId="64" fillId="14" borderId="8" xfId="0" applyFont="1" applyFill="1" applyBorder="1" applyAlignment="1">
      <alignment horizontal="center" vertical="center" wrapText="1"/>
    </xf>
    <xf numFmtId="166" fontId="64" fillId="0" borderId="8" xfId="56" applyNumberFormat="1" applyFont="1" applyBorder="1" applyAlignment="1">
      <alignment horizontal="center" vertical="center"/>
    </xf>
    <xf numFmtId="166" fontId="64" fillId="0" borderId="8" xfId="0" applyNumberFormat="1" applyFont="1" applyBorder="1" applyAlignment="1">
      <alignment horizontal="center" vertical="center"/>
    </xf>
    <xf numFmtId="166" fontId="64" fillId="16" borderId="8" xfId="0" applyNumberFormat="1" applyFont="1" applyFill="1" applyBorder="1" applyAlignment="1">
      <alignment horizontal="center" vertical="center"/>
    </xf>
    <xf numFmtId="173" fontId="64" fillId="15" borderId="8" xfId="0" applyNumberFormat="1" applyFont="1" applyFill="1" applyBorder="1" applyAlignment="1">
      <alignment horizontal="center" vertical="center"/>
    </xf>
    <xf numFmtId="166" fontId="64" fillId="16" borderId="8" xfId="0" applyNumberFormat="1" applyFont="1" applyFill="1" applyBorder="1" applyAlignment="1">
      <alignment vertical="center"/>
    </xf>
    <xf numFmtId="168" fontId="64" fillId="16" borderId="8" xfId="0" applyNumberFormat="1" applyFont="1" applyFill="1" applyBorder="1" applyAlignment="1">
      <alignment horizontal="center" vertical="center"/>
    </xf>
    <xf numFmtId="10" fontId="64" fillId="16" borderId="8" xfId="0" applyNumberFormat="1" applyFont="1" applyFill="1" applyBorder="1" applyAlignment="1">
      <alignment horizontal="center" vertical="center"/>
    </xf>
    <xf numFmtId="172" fontId="64" fillId="16" borderId="8" xfId="0" applyNumberFormat="1" applyFont="1" applyFill="1" applyBorder="1" applyAlignment="1">
      <alignment horizontal="center" vertical="center"/>
    </xf>
    <xf numFmtId="0" fontId="64" fillId="0" borderId="0" xfId="0" applyFont="1" applyAlignment="1">
      <alignment horizontal="center" vertical="center"/>
    </xf>
    <xf numFmtId="166" fontId="59" fillId="0" borderId="0" xfId="56" applyNumberFormat="1" applyFont="1" applyFill="1" applyBorder="1" applyAlignment="1">
      <alignment vertical="center"/>
    </xf>
    <xf numFmtId="165" fontId="42" fillId="0" borderId="0" xfId="1" applyFont="1" applyFill="1" applyBorder="1" applyAlignment="1">
      <alignment vertical="center"/>
    </xf>
    <xf numFmtId="40" fontId="42" fillId="0" borderId="0" xfId="1" applyNumberFormat="1" applyFont="1" applyFill="1" applyBorder="1" applyAlignment="1">
      <alignment vertical="center"/>
    </xf>
    <xf numFmtId="166" fontId="65" fillId="0" borderId="0" xfId="56" applyNumberFormat="1" applyFont="1" applyFill="1" applyBorder="1" applyAlignment="1">
      <alignment vertical="center"/>
    </xf>
    <xf numFmtId="38" fontId="65" fillId="0" borderId="0" xfId="56" applyNumberFormat="1" applyFont="1" applyFill="1" applyBorder="1" applyAlignment="1">
      <alignment vertical="center"/>
    </xf>
    <xf numFmtId="40" fontId="65" fillId="0" borderId="0" xfId="56" applyNumberFormat="1" applyFont="1" applyFill="1" applyBorder="1" applyAlignment="1">
      <alignment vertical="center"/>
    </xf>
    <xf numFmtId="169" fontId="69" fillId="0" borderId="0" xfId="56" applyNumberFormat="1" applyFont="1" applyAlignment="1">
      <alignment vertical="center"/>
    </xf>
    <xf numFmtId="172" fontId="70" fillId="19" borderId="3" xfId="56" applyNumberFormat="1" applyFont="1" applyFill="1" applyBorder="1" applyAlignment="1">
      <alignment vertical="center"/>
    </xf>
    <xf numFmtId="172" fontId="73" fillId="0" borderId="5" xfId="0" applyNumberFormat="1" applyFont="1" applyBorder="1" applyAlignment="1">
      <alignment horizontal="center" vertical="center"/>
    </xf>
    <xf numFmtId="174" fontId="73" fillId="0" borderId="5" xfId="0" applyNumberFormat="1" applyFont="1" applyBorder="1" applyAlignment="1">
      <alignment horizontal="center" vertical="center"/>
    </xf>
    <xf numFmtId="176" fontId="73" fillId="0" borderId="19" xfId="0" applyNumberFormat="1" applyFont="1" applyBorder="1" applyAlignment="1">
      <alignment horizontal="center" vertical="center"/>
    </xf>
    <xf numFmtId="174" fontId="73" fillId="0" borderId="19" xfId="0" applyNumberFormat="1" applyFont="1" applyBorder="1" applyAlignment="1">
      <alignment horizontal="center" vertical="center"/>
    </xf>
    <xf numFmtId="172" fontId="73" fillId="13" borderId="7" xfId="0" applyNumberFormat="1" applyFont="1" applyFill="1" applyBorder="1" applyAlignment="1">
      <alignment horizontal="center" vertical="center"/>
    </xf>
    <xf numFmtId="174" fontId="73" fillId="13" borderId="7" xfId="0" applyNumberFormat="1" applyFont="1" applyFill="1" applyBorder="1" applyAlignment="1">
      <alignment horizontal="center" vertical="center"/>
    </xf>
    <xf numFmtId="172" fontId="74" fillId="0" borderId="7" xfId="0" applyNumberFormat="1" applyFont="1" applyBorder="1" applyAlignment="1">
      <alignment horizontal="center" vertical="center"/>
    </xf>
    <xf numFmtId="174" fontId="74" fillId="0" borderId="7" xfId="0" applyNumberFormat="1" applyFont="1" applyBorder="1" applyAlignment="1">
      <alignment horizontal="center" vertical="center"/>
    </xf>
    <xf numFmtId="38" fontId="65" fillId="0" borderId="0" xfId="56" applyNumberFormat="1" applyFont="1" applyBorder="1" applyAlignment="1">
      <alignment vertical="center"/>
    </xf>
    <xf numFmtId="40" fontId="65" fillId="0" borderId="0" xfId="56" applyNumberFormat="1" applyFont="1" applyBorder="1" applyAlignment="1">
      <alignment vertical="center"/>
    </xf>
    <xf numFmtId="172" fontId="74" fillId="0" borderId="8" xfId="0" applyNumberFormat="1" applyFont="1" applyBorder="1" applyAlignment="1">
      <alignment horizontal="center" vertical="center"/>
    </xf>
    <xf numFmtId="174" fontId="74" fillId="0" borderId="8" xfId="0" applyNumberFormat="1" applyFont="1" applyBorder="1" applyAlignment="1">
      <alignment horizontal="center" vertical="center"/>
    </xf>
    <xf numFmtId="166" fontId="64" fillId="19" borderId="7" xfId="56" applyNumberFormat="1" applyFont="1" applyFill="1" applyBorder="1" applyAlignment="1">
      <alignment horizontal="center" vertical="center"/>
    </xf>
    <xf numFmtId="166" fontId="64" fillId="0" borderId="26" xfId="0" applyNumberFormat="1" applyFont="1" applyBorder="1" applyAlignment="1">
      <alignment vertical="center"/>
    </xf>
    <xf numFmtId="166" fontId="65" fillId="0" borderId="26" xfId="56" applyNumberFormat="1" applyFont="1" applyFill="1" applyBorder="1" applyAlignment="1">
      <alignment vertical="center"/>
    </xf>
    <xf numFmtId="43" fontId="64" fillId="0" borderId="26" xfId="0" applyNumberFormat="1" applyFont="1" applyBorder="1" applyAlignment="1">
      <alignment vertical="center"/>
    </xf>
    <xf numFmtId="38" fontId="65" fillId="0" borderId="26" xfId="56" applyNumberFormat="1" applyFont="1" applyBorder="1" applyAlignment="1">
      <alignment vertical="center"/>
    </xf>
    <xf numFmtId="40" fontId="65" fillId="0" borderId="26" xfId="56" applyNumberFormat="1" applyFont="1" applyBorder="1" applyAlignment="1">
      <alignment vertical="center"/>
    </xf>
    <xf numFmtId="166" fontId="64" fillId="0" borderId="27" xfId="0" applyNumberFormat="1" applyFont="1" applyBorder="1" applyAlignment="1">
      <alignment vertical="center"/>
    </xf>
    <xf numFmtId="166" fontId="65" fillId="0" borderId="27" xfId="56" applyNumberFormat="1" applyFont="1" applyFill="1" applyBorder="1" applyAlignment="1">
      <alignment vertical="center"/>
    </xf>
    <xf numFmtId="43" fontId="64" fillId="0" borderId="27" xfId="0" applyNumberFormat="1" applyFont="1" applyBorder="1" applyAlignment="1">
      <alignment vertical="center"/>
    </xf>
    <xf numFmtId="38" fontId="65" fillId="0" borderId="27" xfId="56" applyNumberFormat="1" applyFont="1" applyBorder="1" applyAlignment="1">
      <alignment vertical="center"/>
    </xf>
    <xf numFmtId="40" fontId="65" fillId="0" borderId="27" xfId="56" applyNumberFormat="1" applyFont="1" applyBorder="1" applyAlignment="1">
      <alignment vertical="center"/>
    </xf>
    <xf numFmtId="166" fontId="65" fillId="0" borderId="27" xfId="0" applyNumberFormat="1" applyFont="1" applyBorder="1" applyAlignment="1">
      <alignment vertical="center"/>
    </xf>
    <xf numFmtId="1" fontId="64" fillId="0" borderId="0" xfId="0" applyNumberFormat="1" applyFont="1" applyAlignment="1">
      <alignment vertical="center"/>
    </xf>
    <xf numFmtId="172" fontId="55" fillId="0" borderId="0" xfId="0" applyNumberFormat="1" applyFont="1" applyAlignment="1">
      <alignment horizontal="center" vertical="center"/>
    </xf>
    <xf numFmtId="166" fontId="55" fillId="0" borderId="0" xfId="56" applyNumberFormat="1" applyFont="1" applyAlignment="1">
      <alignment horizontal="center" vertical="center"/>
    </xf>
    <xf numFmtId="2" fontId="70" fillId="19" borderId="3" xfId="56" applyNumberFormat="1" applyFont="1" applyFill="1" applyBorder="1" applyAlignment="1">
      <alignment vertical="center"/>
    </xf>
    <xf numFmtId="166" fontId="65" fillId="0" borderId="3" xfId="0" applyNumberFormat="1" applyFont="1" applyBorder="1" applyAlignment="1">
      <alignment horizontal="center" vertical="center"/>
    </xf>
    <xf numFmtId="166" fontId="65" fillId="0" borderId="3" xfId="0" applyNumberFormat="1" applyFont="1" applyBorder="1" applyAlignment="1">
      <alignment horizontal="center" vertical="center" wrapText="1"/>
    </xf>
    <xf numFmtId="168" fontId="65" fillId="0" borderId="3" xfId="0" applyNumberFormat="1" applyFont="1" applyBorder="1" applyAlignment="1">
      <alignment horizontal="center" vertical="center"/>
    </xf>
    <xf numFmtId="173" fontId="66" fillId="0" borderId="0" xfId="0" applyNumberFormat="1" applyFont="1" applyAlignment="1">
      <alignment horizontal="center" vertical="center"/>
    </xf>
    <xf numFmtId="0" fontId="64" fillId="0" borderId="0" xfId="0" applyFont="1" applyAlignment="1">
      <alignment vertical="center"/>
    </xf>
    <xf numFmtId="43" fontId="64" fillId="0" borderId="0" xfId="0" applyNumberFormat="1" applyFont="1" applyAlignment="1">
      <alignment vertical="center"/>
    </xf>
    <xf numFmtId="38" fontId="65" fillId="21" borderId="26" xfId="0" applyNumberFormat="1" applyFont="1" applyFill="1" applyBorder="1" applyAlignment="1">
      <alignment vertical="center"/>
    </xf>
    <xf numFmtId="0" fontId="59" fillId="0" borderId="6" xfId="0" applyFont="1" applyBorder="1" applyAlignment="1">
      <alignment vertical="center"/>
    </xf>
    <xf numFmtId="166" fontId="64" fillId="0" borderId="6" xfId="0" applyNumberFormat="1" applyFont="1" applyBorder="1" applyAlignment="1">
      <alignment vertical="center"/>
    </xf>
    <xf numFmtId="43" fontId="64" fillId="0" borderId="6" xfId="0" applyNumberFormat="1" applyFont="1" applyBorder="1" applyAlignment="1">
      <alignment vertical="center"/>
    </xf>
    <xf numFmtId="38" fontId="65" fillId="0" borderId="6" xfId="56" applyNumberFormat="1" applyFont="1" applyBorder="1" applyAlignment="1">
      <alignment vertical="center"/>
    </xf>
    <xf numFmtId="40" fontId="65" fillId="0" borderId="6" xfId="56" applyNumberFormat="1" applyFont="1" applyBorder="1" applyAlignment="1">
      <alignment vertical="center"/>
    </xf>
    <xf numFmtId="0" fontId="59" fillId="0" borderId="7" xfId="0" applyFont="1" applyBorder="1" applyAlignment="1">
      <alignment vertical="center"/>
    </xf>
    <xf numFmtId="0" fontId="59" fillId="0" borderId="8" xfId="0" applyFont="1" applyBorder="1" applyAlignment="1">
      <alignment vertical="center"/>
    </xf>
    <xf numFmtId="166" fontId="64" fillId="0" borderId="7" xfId="56" applyNumberFormat="1" applyFont="1" applyFill="1" applyBorder="1" applyAlignment="1">
      <alignment horizontal="center" vertical="center"/>
    </xf>
    <xf numFmtId="172" fontId="75" fillId="0" borderId="0" xfId="0" applyNumberFormat="1" applyFont="1" applyAlignment="1">
      <alignment horizontal="center" vertical="center"/>
    </xf>
    <xf numFmtId="166" fontId="75" fillId="0" borderId="0" xfId="56" applyNumberFormat="1" applyFont="1" applyAlignment="1">
      <alignment horizontal="center" vertical="center"/>
    </xf>
    <xf numFmtId="0" fontId="59" fillId="0" borderId="6" xfId="0" applyFont="1" applyBorder="1" applyAlignment="1">
      <alignment horizontal="left" vertical="center"/>
    </xf>
    <xf numFmtId="0" fontId="59" fillId="0" borderId="7" xfId="0" applyFont="1" applyBorder="1" applyAlignment="1">
      <alignment horizontal="left" vertical="center"/>
    </xf>
    <xf numFmtId="166" fontId="59" fillId="0" borderId="7" xfId="0" applyNumberFormat="1" applyFont="1" applyBorder="1" applyAlignment="1">
      <alignment horizontal="left" vertical="center"/>
    </xf>
    <xf numFmtId="166" fontId="59" fillId="0" borderId="8" xfId="0" applyNumberFormat="1" applyFont="1" applyBorder="1" applyAlignment="1">
      <alignment horizontal="left" vertical="center"/>
    </xf>
    <xf numFmtId="166" fontId="65" fillId="0" borderId="8" xfId="56" applyNumberFormat="1" applyFont="1" applyFill="1" applyBorder="1" applyAlignment="1">
      <alignment vertical="center"/>
    </xf>
    <xf numFmtId="174" fontId="9" fillId="0" borderId="0" xfId="0" applyNumberFormat="1" applyFont="1" applyAlignment="1">
      <alignment horizontal="center" vertical="center"/>
    </xf>
    <xf numFmtId="0" fontId="64" fillId="14" borderId="7" xfId="72" applyFont="1" applyFill="1" applyBorder="1" applyAlignment="1">
      <alignment vertical="center"/>
    </xf>
    <xf numFmtId="166" fontId="42" fillId="0" borderId="8" xfId="0" applyNumberFormat="1" applyFont="1" applyBorder="1" applyAlignment="1">
      <alignment vertical="center"/>
    </xf>
    <xf numFmtId="166" fontId="59" fillId="0" borderId="8" xfId="56" applyNumberFormat="1" applyFont="1" applyFill="1" applyBorder="1" applyAlignment="1">
      <alignment vertical="center"/>
    </xf>
    <xf numFmtId="166" fontId="42" fillId="29" borderId="8" xfId="0" applyNumberFormat="1" applyFont="1" applyFill="1" applyBorder="1" applyAlignment="1">
      <alignment vertical="center"/>
    </xf>
    <xf numFmtId="165" fontId="42" fillId="29" borderId="8" xfId="1" applyFont="1" applyFill="1" applyBorder="1" applyAlignment="1">
      <alignment vertical="center"/>
    </xf>
    <xf numFmtId="166" fontId="42" fillId="28" borderId="8" xfId="0" applyNumberFormat="1" applyFont="1" applyFill="1" applyBorder="1" applyAlignment="1">
      <alignment vertical="center"/>
    </xf>
    <xf numFmtId="165" fontId="42" fillId="28" borderId="8" xfId="1" applyFont="1" applyFill="1" applyBorder="1" applyAlignment="1">
      <alignment vertical="center"/>
    </xf>
    <xf numFmtId="40" fontId="42" fillId="0" borderId="8" xfId="1" applyNumberFormat="1" applyFont="1" applyFill="1" applyBorder="1" applyAlignment="1">
      <alignment vertical="center"/>
    </xf>
    <xf numFmtId="166" fontId="65" fillId="27" borderId="5" xfId="0" applyNumberFormat="1" applyFont="1" applyFill="1" applyBorder="1" applyAlignment="1">
      <alignment horizontal="center" vertical="center"/>
    </xf>
    <xf numFmtId="166" fontId="65" fillId="27" borderId="1" xfId="0" applyNumberFormat="1" applyFont="1" applyFill="1" applyBorder="1" applyAlignment="1">
      <alignment horizontal="center" vertical="center"/>
    </xf>
    <xf numFmtId="166" fontId="65" fillId="0" borderId="5" xfId="71" applyNumberFormat="1" applyFont="1" applyFill="1" applyBorder="1" applyAlignment="1">
      <alignment horizontal="center" vertical="center"/>
    </xf>
    <xf numFmtId="166" fontId="65" fillId="0" borderId="1" xfId="71" applyNumberFormat="1" applyFont="1" applyFill="1" applyBorder="1" applyAlignment="1">
      <alignment horizontal="center" vertical="center"/>
    </xf>
    <xf numFmtId="166" fontId="65" fillId="27" borderId="5" xfId="0" quotePrefix="1" applyNumberFormat="1" applyFont="1" applyFill="1" applyBorder="1" applyAlignment="1">
      <alignment horizontal="center" vertical="center"/>
    </xf>
    <xf numFmtId="166" fontId="65" fillId="27" borderId="1" xfId="0" quotePrefix="1" applyNumberFormat="1" applyFont="1" applyFill="1" applyBorder="1" applyAlignment="1">
      <alignment horizontal="center" vertical="center"/>
    </xf>
    <xf numFmtId="166" fontId="65" fillId="7" borderId="9" xfId="0" quotePrefix="1" applyNumberFormat="1" applyFont="1" applyFill="1" applyBorder="1" applyAlignment="1">
      <alignment horizontal="center" vertical="center"/>
    </xf>
    <xf numFmtId="166" fontId="65" fillId="7" borderId="10" xfId="0" quotePrefix="1" applyNumberFormat="1" applyFont="1" applyFill="1" applyBorder="1" applyAlignment="1">
      <alignment horizontal="center" vertical="center"/>
    </xf>
    <xf numFmtId="10" fontId="65" fillId="0" borderId="5" xfId="0" applyNumberFormat="1" applyFont="1" applyBorder="1" applyAlignment="1">
      <alignment horizontal="center" vertical="center" wrapText="1"/>
    </xf>
    <xf numFmtId="10" fontId="65" fillId="0" borderId="1" xfId="0" applyNumberFormat="1" applyFont="1" applyBorder="1" applyAlignment="1">
      <alignment horizontal="center" vertical="center" wrapText="1"/>
    </xf>
    <xf numFmtId="172" fontId="65" fillId="0" borderId="5" xfId="0" applyNumberFormat="1" applyFont="1" applyBorder="1" applyAlignment="1">
      <alignment horizontal="center" vertical="center" wrapText="1"/>
    </xf>
    <xf numFmtId="172" fontId="65" fillId="0" borderId="1" xfId="0" applyNumberFormat="1" applyFont="1" applyBorder="1" applyAlignment="1">
      <alignment horizontal="center" vertical="center" wrapText="1"/>
    </xf>
    <xf numFmtId="173" fontId="66" fillId="0" borderId="18" xfId="0" applyNumberFormat="1" applyFont="1" applyBorder="1" applyAlignment="1">
      <alignment horizontal="center" vertical="center"/>
    </xf>
    <xf numFmtId="174" fontId="65" fillId="0" borderId="12" xfId="0" applyNumberFormat="1" applyFont="1" applyBorder="1" applyAlignment="1">
      <alignment horizontal="center" vertical="center"/>
    </xf>
    <xf numFmtId="166" fontId="65" fillId="0" borderId="12" xfId="0" applyNumberFormat="1" applyFont="1" applyBorder="1" applyAlignment="1">
      <alignment horizontal="center" vertical="center"/>
    </xf>
    <xf numFmtId="172" fontId="71" fillId="0" borderId="5" xfId="0" applyNumberFormat="1" applyFont="1" applyBorder="1" applyAlignment="1">
      <alignment horizontal="center" vertical="center" wrapText="1"/>
    </xf>
    <xf numFmtId="172" fontId="71" fillId="0" borderId="1" xfId="0" applyNumberFormat="1" applyFont="1" applyBorder="1" applyAlignment="1">
      <alignment horizontal="center" vertical="center" wrapText="1"/>
    </xf>
    <xf numFmtId="174" fontId="71" fillId="0" borderId="5" xfId="0" applyNumberFormat="1" applyFont="1" applyBorder="1" applyAlignment="1">
      <alignment horizontal="center" vertical="center" wrapText="1"/>
    </xf>
    <xf numFmtId="174" fontId="71" fillId="0" borderId="1" xfId="0" applyNumberFormat="1" applyFont="1" applyBorder="1" applyAlignment="1">
      <alignment horizontal="center" vertical="center" wrapText="1"/>
    </xf>
    <xf numFmtId="168" fontId="66" fillId="0" borderId="0" xfId="70" applyNumberFormat="1" applyFont="1" applyAlignment="1">
      <alignment horizontal="right" vertical="center"/>
    </xf>
    <xf numFmtId="168" fontId="66" fillId="0" borderId="4" xfId="70" applyNumberFormat="1" applyFont="1" applyBorder="1" applyAlignment="1">
      <alignment horizontal="right" vertical="center"/>
    </xf>
    <xf numFmtId="166" fontId="65" fillId="0" borderId="5" xfId="0" quotePrefix="1" applyNumberFormat="1" applyFont="1" applyBorder="1" applyAlignment="1">
      <alignment horizontal="center" vertical="center"/>
    </xf>
    <xf numFmtId="166" fontId="65" fillId="0" borderId="1" xfId="0" quotePrefix="1" applyNumberFormat="1" applyFont="1" applyBorder="1" applyAlignment="1">
      <alignment horizontal="center" vertical="center"/>
    </xf>
    <xf numFmtId="166" fontId="65" fillId="0" borderId="5" xfId="0" applyNumberFormat="1" applyFont="1" applyBorder="1" applyAlignment="1">
      <alignment horizontal="center" vertical="center"/>
    </xf>
    <xf numFmtId="166" fontId="65" fillId="0" borderId="1" xfId="0" applyNumberFormat="1" applyFont="1" applyBorder="1" applyAlignment="1">
      <alignment horizontal="center" vertical="center"/>
    </xf>
    <xf numFmtId="166" fontId="65" fillId="0" borderId="5" xfId="0" applyNumberFormat="1" applyFont="1" applyBorder="1" applyAlignment="1">
      <alignment horizontal="center" vertical="center" wrapText="1"/>
    </xf>
    <xf numFmtId="166" fontId="65" fillId="0" borderId="1" xfId="0" applyNumberFormat="1" applyFont="1" applyBorder="1" applyAlignment="1">
      <alignment horizontal="center" vertical="center" wrapText="1"/>
    </xf>
    <xf numFmtId="168" fontId="65" fillId="0" borderId="5" xfId="0" applyNumberFormat="1" applyFont="1" applyBorder="1" applyAlignment="1">
      <alignment horizontal="center" vertical="center"/>
    </xf>
    <xf numFmtId="168" fontId="65" fillId="0" borderId="1" xfId="0" applyNumberFormat="1" applyFont="1" applyBorder="1" applyAlignment="1">
      <alignment horizontal="center" vertical="center"/>
    </xf>
    <xf numFmtId="0" fontId="64" fillId="34" borderId="7" xfId="0" applyFont="1" applyFill="1" applyBorder="1" applyAlignment="1">
      <alignment horizontal="center" vertical="center" wrapText="1"/>
    </xf>
    <xf numFmtId="0" fontId="64" fillId="0" borderId="7" xfId="0" applyFont="1" applyBorder="1" applyAlignment="1">
      <alignment vertical="center"/>
    </xf>
    <xf numFmtId="0" fontId="64" fillId="0" borderId="7" xfId="229" applyFont="1" applyBorder="1" applyAlignment="1">
      <alignment vertical="center"/>
    </xf>
    <xf numFmtId="0" fontId="0" fillId="0" borderId="0" xfId="0" applyNumberFormat="1"/>
    <xf numFmtId="173" fontId="60" fillId="0" borderId="25" xfId="0" applyNumberFormat="1" applyFont="1" applyBorder="1" applyAlignment="1">
      <alignment horizontal="center" vertical="center"/>
    </xf>
    <xf numFmtId="166" fontId="9" fillId="0" borderId="3" xfId="0" quotePrefix="1" applyNumberFormat="1" applyFont="1" applyBorder="1" applyAlignment="1">
      <alignment horizontal="center" vertical="center"/>
    </xf>
    <xf numFmtId="0" fontId="40" fillId="0" borderId="3" xfId="0" applyFont="1" applyBorder="1" applyAlignment="1">
      <alignment vertical="center"/>
    </xf>
    <xf numFmtId="166" fontId="9" fillId="0" borderId="3" xfId="0" applyNumberFormat="1" applyFont="1" applyBorder="1" applyAlignment="1">
      <alignment horizontal="center" vertical="center"/>
    </xf>
    <xf numFmtId="166" fontId="9" fillId="0" borderId="3" xfId="0" applyNumberFormat="1" applyFont="1" applyBorder="1" applyAlignment="1">
      <alignment horizontal="center" vertical="center" wrapText="1"/>
    </xf>
    <xf numFmtId="166" fontId="59" fillId="27" borderId="6" xfId="0" quotePrefix="1" applyNumberFormat="1" applyFont="1" applyFill="1" applyBorder="1" applyAlignment="1">
      <alignment horizontal="center" vertical="center"/>
    </xf>
    <xf numFmtId="0" fontId="42" fillId="27" borderId="7" xfId="0" applyFont="1" applyFill="1" applyBorder="1" applyAlignment="1">
      <alignment vertical="center"/>
    </xf>
    <xf numFmtId="166" fontId="59" fillId="27" borderId="6" xfId="0" applyNumberFormat="1" applyFont="1" applyFill="1" applyBorder="1" applyAlignment="1">
      <alignment horizontal="center" vertical="center"/>
    </xf>
    <xf numFmtId="10" fontId="9" fillId="0" borderId="3" xfId="0" applyNumberFormat="1" applyFont="1" applyBorder="1" applyAlignment="1">
      <alignment horizontal="center" vertical="center" wrapText="1"/>
    </xf>
    <xf numFmtId="172" fontId="9" fillId="0" borderId="3" xfId="0" applyNumberFormat="1" applyFont="1" applyBorder="1" applyAlignment="1">
      <alignment horizontal="center" vertical="center" wrapText="1"/>
    </xf>
    <xf numFmtId="166" fontId="28" fillId="0" borderId="5" xfId="1" applyNumberFormat="1" applyFont="1" applyFill="1" applyBorder="1" applyAlignment="1">
      <alignment horizontal="center" vertical="center"/>
    </xf>
    <xf numFmtId="166" fontId="28" fillId="0" borderId="1" xfId="1" applyNumberFormat="1" applyFont="1" applyFill="1" applyBorder="1" applyAlignment="1">
      <alignment horizontal="center" vertical="center"/>
    </xf>
    <xf numFmtId="172" fontId="71" fillId="0" borderId="3" xfId="0" applyNumberFormat="1" applyFont="1" applyBorder="1" applyAlignment="1">
      <alignment horizontal="center" vertical="center" wrapText="1"/>
    </xf>
    <xf numFmtId="0" fontId="72" fillId="0" borderId="3" xfId="0" applyFont="1" applyBorder="1" applyAlignment="1">
      <alignment vertical="center"/>
    </xf>
    <xf numFmtId="174" fontId="71" fillId="0" borderId="3" xfId="0" applyNumberFormat="1" applyFont="1" applyBorder="1" applyAlignment="1">
      <alignment horizontal="center" vertical="center" wrapText="1"/>
    </xf>
    <xf numFmtId="174" fontId="72" fillId="0" borderId="3" xfId="0" applyNumberFormat="1" applyFont="1" applyBorder="1" applyAlignment="1">
      <alignment vertical="center"/>
    </xf>
    <xf numFmtId="166" fontId="52" fillId="0" borderId="0" xfId="0" applyNumberFormat="1" applyFont="1" applyAlignment="1">
      <alignment horizontal="center" vertical="center" wrapText="1"/>
    </xf>
    <xf numFmtId="168" fontId="9" fillId="0" borderId="3" xfId="0" applyNumberFormat="1" applyFont="1" applyBorder="1" applyAlignment="1">
      <alignment horizontal="center" vertical="center"/>
    </xf>
    <xf numFmtId="168" fontId="29" fillId="0" borderId="0" xfId="2" applyNumberFormat="1" applyFont="1" applyAlignment="1">
      <alignment horizontal="right" vertical="center"/>
    </xf>
    <xf numFmtId="173" fontId="36" fillId="0" borderId="0" xfId="0" applyNumberFormat="1" applyFont="1" applyAlignment="1">
      <alignment horizontal="center" vertical="center"/>
    </xf>
    <xf numFmtId="0" fontId="34" fillId="0" borderId="0" xfId="0" applyFont="1" applyAlignment="1">
      <alignment vertical="center"/>
    </xf>
    <xf numFmtId="166" fontId="38" fillId="0" borderId="22" xfId="0" applyNumberFormat="1" applyFont="1" applyBorder="1" applyAlignment="1">
      <alignment horizontal="center" vertical="center"/>
    </xf>
    <xf numFmtId="0" fontId="39" fillId="0" borderId="23" xfId="0" applyFont="1" applyBorder="1" applyAlignment="1">
      <alignment vertical="center"/>
    </xf>
    <xf numFmtId="174" fontId="38" fillId="0" borderId="12" xfId="0" applyNumberFormat="1" applyFont="1" applyBorder="1" applyAlignment="1">
      <alignment horizontal="center" vertical="center"/>
    </xf>
    <xf numFmtId="0" fontId="39" fillId="0" borderId="12" xfId="0" applyFont="1" applyBorder="1" applyAlignment="1">
      <alignment vertical="center"/>
    </xf>
    <xf numFmtId="166" fontId="65" fillId="27" borderId="5" xfId="0" applyNumberFormat="1" applyFont="1" applyFill="1" applyBorder="1" applyAlignment="1">
      <alignment horizontal="center" vertical="center"/>
    </xf>
    <xf numFmtId="166" fontId="65" fillId="27" borderId="1" xfId="0" applyNumberFormat="1" applyFont="1" applyFill="1" applyBorder="1" applyAlignment="1">
      <alignment horizontal="center" vertical="center"/>
    </xf>
    <xf numFmtId="166" fontId="65" fillId="0" borderId="5" xfId="71" applyNumberFormat="1" applyFont="1" applyFill="1" applyBorder="1" applyAlignment="1">
      <alignment horizontal="center" vertical="center"/>
    </xf>
    <xf numFmtId="166" fontId="65" fillId="0" borderId="1" xfId="71" applyNumberFormat="1" applyFont="1" applyFill="1" applyBorder="1" applyAlignment="1">
      <alignment horizontal="center" vertical="center"/>
    </xf>
    <xf numFmtId="173" fontId="66" fillId="0" borderId="25" xfId="0" quotePrefix="1" applyNumberFormat="1" applyFont="1" applyBorder="1" applyAlignment="1">
      <alignment horizontal="center" vertical="center"/>
    </xf>
    <xf numFmtId="166" fontId="65" fillId="27" borderId="5" xfId="0" quotePrefix="1" applyNumberFormat="1" applyFont="1" applyFill="1" applyBorder="1" applyAlignment="1">
      <alignment horizontal="center" vertical="center"/>
    </xf>
    <xf numFmtId="166" fontId="65" fillId="27" borderId="1" xfId="0" quotePrefix="1" applyNumberFormat="1" applyFont="1" applyFill="1" applyBorder="1" applyAlignment="1">
      <alignment horizontal="center" vertical="center"/>
    </xf>
    <xf numFmtId="166" fontId="65" fillId="7" borderId="9" xfId="0" quotePrefix="1" applyNumberFormat="1" applyFont="1" applyFill="1" applyBorder="1" applyAlignment="1">
      <alignment horizontal="center" vertical="center"/>
    </xf>
    <xf numFmtId="166" fontId="65" fillId="7" borderId="10" xfId="0" quotePrefix="1" applyNumberFormat="1" applyFont="1" applyFill="1" applyBorder="1" applyAlignment="1">
      <alignment horizontal="center" vertical="center"/>
    </xf>
    <xf numFmtId="10" fontId="65" fillId="0" borderId="5" xfId="0" applyNumberFormat="1" applyFont="1" applyBorder="1" applyAlignment="1">
      <alignment horizontal="center" vertical="center" wrapText="1"/>
    </xf>
    <xf numFmtId="10" fontId="65" fillId="0" borderId="1" xfId="0" applyNumberFormat="1" applyFont="1" applyBorder="1" applyAlignment="1">
      <alignment horizontal="center" vertical="center" wrapText="1"/>
    </xf>
    <xf numFmtId="172" fontId="65" fillId="0" borderId="5" xfId="0" applyNumberFormat="1" applyFont="1" applyBorder="1" applyAlignment="1">
      <alignment horizontal="center" vertical="center" wrapText="1"/>
    </xf>
    <xf numFmtId="172" fontId="65" fillId="0" borderId="1" xfId="0" applyNumberFormat="1" applyFont="1" applyBorder="1" applyAlignment="1">
      <alignment horizontal="center" vertical="center" wrapText="1"/>
    </xf>
    <xf numFmtId="173" fontId="66" fillId="0" borderId="18" xfId="0" applyNumberFormat="1" applyFont="1" applyBorder="1" applyAlignment="1">
      <alignment horizontal="center" vertical="center"/>
    </xf>
    <xf numFmtId="174" fontId="65" fillId="0" borderId="12" xfId="0" applyNumberFormat="1" applyFont="1" applyBorder="1" applyAlignment="1">
      <alignment horizontal="center" vertical="center"/>
    </xf>
    <xf numFmtId="166" fontId="65" fillId="0" borderId="12" xfId="0" applyNumberFormat="1" applyFont="1" applyBorder="1" applyAlignment="1">
      <alignment horizontal="center" vertical="center"/>
    </xf>
    <xf numFmtId="172" fontId="71" fillId="0" borderId="5" xfId="0" applyNumberFormat="1" applyFont="1" applyBorder="1" applyAlignment="1">
      <alignment horizontal="center" vertical="center" wrapText="1"/>
    </xf>
    <xf numFmtId="172" fontId="71" fillId="0" borderId="1" xfId="0" applyNumberFormat="1" applyFont="1" applyBorder="1" applyAlignment="1">
      <alignment horizontal="center" vertical="center" wrapText="1"/>
    </xf>
    <xf numFmtId="174" fontId="71" fillId="0" borderId="5" xfId="0" applyNumberFormat="1" applyFont="1" applyBorder="1" applyAlignment="1">
      <alignment horizontal="center" vertical="center" wrapText="1"/>
    </xf>
    <xf numFmtId="174" fontId="71" fillId="0" borderId="1" xfId="0" applyNumberFormat="1" applyFont="1" applyBorder="1" applyAlignment="1">
      <alignment horizontal="center" vertical="center" wrapText="1"/>
    </xf>
    <xf numFmtId="168" fontId="66" fillId="0" borderId="0" xfId="70" applyNumberFormat="1" applyFont="1" applyAlignment="1">
      <alignment horizontal="right" vertical="center"/>
    </xf>
    <xf numFmtId="168" fontId="66" fillId="0" borderId="4" xfId="70" applyNumberFormat="1" applyFont="1" applyBorder="1" applyAlignment="1">
      <alignment horizontal="right" vertical="center"/>
    </xf>
    <xf numFmtId="166" fontId="65" fillId="0" borderId="5" xfId="0" quotePrefix="1" applyNumberFormat="1" applyFont="1" applyBorder="1" applyAlignment="1">
      <alignment horizontal="center" vertical="center"/>
    </xf>
    <xf numFmtId="166" fontId="65" fillId="0" borderId="1" xfId="0" quotePrefix="1" applyNumberFormat="1" applyFont="1" applyBorder="1" applyAlignment="1">
      <alignment horizontal="center" vertical="center"/>
    </xf>
    <xf numFmtId="166" fontId="65" fillId="0" borderId="5" xfId="0" applyNumberFormat="1" applyFont="1" applyBorder="1" applyAlignment="1">
      <alignment horizontal="center" vertical="center"/>
    </xf>
    <xf numFmtId="166" fontId="65" fillId="0" borderId="1" xfId="0" applyNumberFormat="1" applyFont="1" applyBorder="1" applyAlignment="1">
      <alignment horizontal="center" vertical="center"/>
    </xf>
    <xf numFmtId="166" fontId="65" fillId="0" borderId="5" xfId="0" applyNumberFormat="1" applyFont="1" applyBorder="1" applyAlignment="1">
      <alignment horizontal="center" vertical="center" wrapText="1"/>
    </xf>
    <xf numFmtId="166" fontId="65" fillId="0" borderId="1" xfId="0" applyNumberFormat="1" applyFont="1" applyBorder="1" applyAlignment="1">
      <alignment horizontal="center" vertical="center" wrapText="1"/>
    </xf>
    <xf numFmtId="168" fontId="65" fillId="0" borderId="5" xfId="0" applyNumberFormat="1" applyFont="1" applyBorder="1" applyAlignment="1">
      <alignment horizontal="center" vertical="center"/>
    </xf>
    <xf numFmtId="168" fontId="65" fillId="0" borderId="1" xfId="0" applyNumberFormat="1" applyFont="1" applyBorder="1" applyAlignment="1">
      <alignment horizontal="center" vertical="center"/>
    </xf>
    <xf numFmtId="166" fontId="65" fillId="27" borderId="6" xfId="0" applyNumberFormat="1" applyFont="1" applyFill="1" applyBorder="1" applyAlignment="1">
      <alignment horizontal="center" vertical="center"/>
    </xf>
    <xf numFmtId="0" fontId="64" fillId="27" borderId="7" xfId="0" applyFont="1" applyFill="1" applyBorder="1" applyAlignment="1">
      <alignment vertical="center"/>
    </xf>
    <xf numFmtId="166" fontId="65" fillId="27" borderId="6" xfId="0" quotePrefix="1" applyNumberFormat="1" applyFont="1" applyFill="1" applyBorder="1" applyAlignment="1">
      <alignment horizontal="center" vertical="center"/>
    </xf>
    <xf numFmtId="173" fontId="66" fillId="0" borderId="25" xfId="0" applyNumberFormat="1" applyFont="1" applyBorder="1" applyAlignment="1">
      <alignment horizontal="center" vertical="center"/>
    </xf>
    <xf numFmtId="172" fontId="65" fillId="0" borderId="3" xfId="0" applyNumberFormat="1" applyFont="1" applyBorder="1" applyAlignment="1">
      <alignment horizontal="center" vertical="center" wrapText="1"/>
    </xf>
    <xf numFmtId="0" fontId="64" fillId="0" borderId="3" xfId="0" applyFont="1" applyBorder="1" applyAlignment="1">
      <alignment vertical="center"/>
    </xf>
    <xf numFmtId="166" fontId="65" fillId="0" borderId="3" xfId="0" quotePrefix="1" applyNumberFormat="1" applyFont="1" applyBorder="1" applyAlignment="1">
      <alignment horizontal="center" vertical="center"/>
    </xf>
    <xf numFmtId="166" fontId="65" fillId="0" borderId="3" xfId="0" applyNumberFormat="1" applyFont="1" applyBorder="1" applyAlignment="1">
      <alignment horizontal="center" vertical="center"/>
    </xf>
    <xf numFmtId="166" fontId="65" fillId="0" borderId="3" xfId="0" applyNumberFormat="1" applyFont="1" applyBorder="1" applyAlignment="1">
      <alignment horizontal="center" vertical="center" wrapText="1"/>
    </xf>
    <xf numFmtId="0" fontId="64" fillId="0" borderId="3" xfId="0" applyFont="1" applyBorder="1" applyAlignment="1">
      <alignment horizontal="center" vertical="center"/>
    </xf>
    <xf numFmtId="168" fontId="65" fillId="0" borderId="3" xfId="0" applyNumberFormat="1" applyFont="1" applyBorder="1" applyAlignment="1">
      <alignment horizontal="center" vertical="center"/>
    </xf>
    <xf numFmtId="10" fontId="65" fillId="0" borderId="3" xfId="0" applyNumberFormat="1" applyFont="1" applyBorder="1" applyAlignment="1">
      <alignment horizontal="center" vertical="center" wrapText="1"/>
    </xf>
    <xf numFmtId="173" fontId="66" fillId="0" borderId="0" xfId="0" applyNumberFormat="1" applyFont="1" applyAlignment="1">
      <alignment horizontal="center" vertical="center"/>
    </xf>
    <xf numFmtId="0" fontId="64" fillId="0" borderId="0" xfId="0" applyFont="1" applyAlignment="1">
      <alignment vertical="center"/>
    </xf>
    <xf numFmtId="0" fontId="64" fillId="0" borderId="12" xfId="0" applyFont="1" applyBorder="1" applyAlignment="1">
      <alignment vertical="center"/>
    </xf>
    <xf numFmtId="166" fontId="37" fillId="7" borderId="9" xfId="0" quotePrefix="1" applyNumberFormat="1" applyFont="1" applyFill="1" applyBorder="1" applyAlignment="1">
      <alignment horizontal="center" vertical="center"/>
    </xf>
    <xf numFmtId="166" fontId="37" fillId="7" borderId="10" xfId="0" quotePrefix="1" applyNumberFormat="1" applyFont="1" applyFill="1" applyBorder="1" applyAlignment="1">
      <alignment horizontal="center" vertical="center"/>
    </xf>
    <xf numFmtId="173" fontId="36" fillId="0" borderId="18" xfId="0" applyNumberFormat="1" applyFont="1" applyBorder="1" applyAlignment="1">
      <alignment horizontal="center" vertical="center"/>
    </xf>
    <xf numFmtId="166" fontId="38" fillId="0" borderId="12" xfId="0" applyNumberFormat="1" applyFont="1" applyBorder="1" applyAlignment="1">
      <alignment horizontal="center" vertical="center"/>
    </xf>
    <xf numFmtId="172" fontId="9" fillId="0" borderId="5" xfId="0" applyNumberFormat="1" applyFont="1" applyBorder="1" applyAlignment="1">
      <alignment horizontal="center" vertical="center" wrapText="1"/>
    </xf>
    <xf numFmtId="172" fontId="9" fillId="0" borderId="1" xfId="0" applyNumberFormat="1" applyFont="1" applyBorder="1" applyAlignment="1">
      <alignment horizontal="center" vertical="center" wrapText="1"/>
    </xf>
    <xf numFmtId="166" fontId="9" fillId="0" borderId="5" xfId="0" quotePrefix="1" applyNumberFormat="1" applyFont="1" applyBorder="1" applyAlignment="1">
      <alignment horizontal="center" vertical="center"/>
    </xf>
    <xf numFmtId="166" fontId="9" fillId="0" borderId="1" xfId="0" quotePrefix="1" applyNumberFormat="1" applyFont="1" applyBorder="1" applyAlignment="1">
      <alignment horizontal="center" vertical="center"/>
    </xf>
    <xf numFmtId="166" fontId="9" fillId="0" borderId="5" xfId="0" applyNumberFormat="1" applyFont="1" applyBorder="1" applyAlignment="1">
      <alignment horizontal="center" vertical="center"/>
    </xf>
    <xf numFmtId="166" fontId="9" fillId="0" borderId="1" xfId="0" applyNumberFormat="1" applyFont="1" applyBorder="1" applyAlignment="1">
      <alignment horizontal="center" vertical="center"/>
    </xf>
    <xf numFmtId="166" fontId="9" fillId="0" borderId="5" xfId="0" applyNumberFormat="1" applyFont="1" applyBorder="1" applyAlignment="1">
      <alignment horizontal="center" vertical="center" wrapText="1"/>
    </xf>
    <xf numFmtId="166" fontId="9" fillId="0" borderId="1" xfId="0" applyNumberFormat="1" applyFont="1" applyBorder="1" applyAlignment="1">
      <alignment horizontal="center" vertical="center" wrapText="1"/>
    </xf>
    <xf numFmtId="168" fontId="9" fillId="0" borderId="5" xfId="0" applyNumberFormat="1" applyFont="1" applyBorder="1" applyAlignment="1">
      <alignment horizontal="center" vertical="center"/>
    </xf>
    <xf numFmtId="168" fontId="9" fillId="0" borderId="1" xfId="0" applyNumberFormat="1" applyFont="1" applyBorder="1" applyAlignment="1">
      <alignment horizontal="center" vertical="center"/>
    </xf>
    <xf numFmtId="10" fontId="9" fillId="0" borderId="5" xfId="0" applyNumberFormat="1" applyFont="1" applyBorder="1" applyAlignment="1">
      <alignment horizontal="center" vertical="center" wrapText="1"/>
    </xf>
    <xf numFmtId="10" fontId="9" fillId="0" borderId="1" xfId="0" applyNumberFormat="1" applyFont="1" applyBorder="1" applyAlignment="1">
      <alignment horizontal="center" vertical="center" wrapText="1"/>
    </xf>
    <xf numFmtId="166" fontId="12" fillId="0" borderId="0" xfId="1" applyNumberFormat="1" applyFont="1" applyAlignment="1">
      <alignment horizontal="right" vertical="center"/>
    </xf>
    <xf numFmtId="166" fontId="12" fillId="0" borderId="4" xfId="1" applyNumberFormat="1" applyFont="1" applyBorder="1" applyAlignment="1">
      <alignment horizontal="right" vertical="center"/>
    </xf>
    <xf numFmtId="166" fontId="22" fillId="0" borderId="5" xfId="1" applyNumberFormat="1" applyFont="1" applyBorder="1" applyAlignment="1">
      <alignment horizontal="center" vertical="center" wrapText="1"/>
    </xf>
    <xf numFmtId="166" fontId="22" fillId="0" borderId="1" xfId="1" applyNumberFormat="1" applyFont="1" applyBorder="1" applyAlignment="1">
      <alignment horizontal="center" vertical="center" wrapText="1"/>
    </xf>
    <xf numFmtId="165" fontId="24" fillId="0" borderId="3" xfId="1" applyFont="1" applyBorder="1" applyAlignment="1">
      <alignment horizontal="center" vertical="center" wrapText="1"/>
    </xf>
    <xf numFmtId="166" fontId="22" fillId="0" borderId="5" xfId="1" quotePrefix="1" applyNumberFormat="1" applyFont="1" applyBorder="1" applyAlignment="1">
      <alignment horizontal="center" vertical="center"/>
    </xf>
    <xf numFmtId="166" fontId="22" fillId="0" borderId="1" xfId="1" quotePrefix="1" applyNumberFormat="1" applyFont="1" applyBorder="1" applyAlignment="1">
      <alignment horizontal="center" vertical="center"/>
    </xf>
    <xf numFmtId="166" fontId="23" fillId="0" borderId="5" xfId="1" applyNumberFormat="1" applyFont="1" applyBorder="1" applyAlignment="1">
      <alignment horizontal="center" vertical="center"/>
    </xf>
    <xf numFmtId="166" fontId="23" fillId="0" borderId="1" xfId="1" applyNumberFormat="1" applyFont="1" applyBorder="1" applyAlignment="1">
      <alignment horizontal="center" vertical="center"/>
    </xf>
  </cellXfs>
  <cellStyles count="329">
    <cellStyle name="Comma" xfId="1" builtinId="3"/>
    <cellStyle name="Comma 2" xfId="14"/>
    <cellStyle name="Comma 2 2" xfId="15"/>
    <cellStyle name="Comma 2 2 2" xfId="53"/>
    <cellStyle name="Comma 2 2 3" xfId="36"/>
    <cellStyle name="Comma 2 3" xfId="30"/>
    <cellStyle name="Comma 2 4" xfId="116"/>
    <cellStyle name="Comma 2 5" xfId="71"/>
    <cellStyle name="Comma 3" xfId="56"/>
    <cellStyle name="Comma 4" xfId="32"/>
    <cellStyle name="Comma 5" xfId="18"/>
    <cellStyle name="Comma 5 2" xfId="109"/>
    <cellStyle name="Comma 5 3" xfId="189"/>
    <cellStyle name="Comma 5 4" xfId="278"/>
    <cellStyle name="Comma 6" xfId="228"/>
    <cellStyle name="Comma 6 2" xfId="317"/>
    <cellStyle name="Comma 7" xfId="231"/>
    <cellStyle name="Comma 7 2" xfId="319"/>
    <cellStyle name="Comma 8" xfId="234"/>
    <cellStyle name="Comma 8 2" xfId="322"/>
    <cellStyle name="Comma 9" xfId="239"/>
    <cellStyle name="Comma 9 2" xfId="327"/>
    <cellStyle name="Normal" xfId="0" builtinId="0"/>
    <cellStyle name="Normal 10" xfId="24"/>
    <cellStyle name="Normal 10 2" xfId="28"/>
    <cellStyle name="Normal 10 2 2" xfId="34"/>
    <cellStyle name="Normal 10 2 2 2" xfId="66"/>
    <cellStyle name="Normal 10 2 2 2 2" xfId="148"/>
    <cellStyle name="Normal 10 2 2 2 3" xfId="224"/>
    <cellStyle name="Normal 10 2 2 2 4" xfId="313"/>
    <cellStyle name="Normal 10 2 2 3" xfId="105"/>
    <cellStyle name="Normal 10 2 2 4" xfId="185"/>
    <cellStyle name="Normal 10 2 2 5" xfId="274"/>
    <cellStyle name="Normal 10 2 3" xfId="48"/>
    <cellStyle name="Normal 10 2 3 2" xfId="133"/>
    <cellStyle name="Normal 10 2 3 3" xfId="209"/>
    <cellStyle name="Normal 10 2 3 4" xfId="298"/>
    <cellStyle name="Normal 10 2 4" xfId="90"/>
    <cellStyle name="Normal 10 2 5" xfId="170"/>
    <cellStyle name="Normal 10 2 6" xfId="259"/>
    <cellStyle name="Normal 10 3" xfId="62"/>
    <cellStyle name="Normal 10 3 2" xfId="144"/>
    <cellStyle name="Normal 10 3 2 2" xfId="220"/>
    <cellStyle name="Normal 10 3 2 3" xfId="309"/>
    <cellStyle name="Normal 10 3 3" xfId="101"/>
    <cellStyle name="Normal 10 3 4" xfId="181"/>
    <cellStyle name="Normal 10 3 5" xfId="270"/>
    <cellStyle name="Normal 10 4" xfId="45"/>
    <cellStyle name="Normal 10 4 2" xfId="120"/>
    <cellStyle name="Normal 10 4 3" xfId="197"/>
    <cellStyle name="Normal 10 4 4" xfId="286"/>
    <cellStyle name="Normal 10 5" xfId="78"/>
    <cellStyle name="Normal 10 6" xfId="158"/>
    <cellStyle name="Normal 10 7" xfId="247"/>
    <cellStyle name="Normal 11" xfId="25"/>
    <cellStyle name="Normal 11 2" xfId="63"/>
    <cellStyle name="Normal 11 2 2" xfId="134"/>
    <cellStyle name="Normal 11 2 2 2" xfId="210"/>
    <cellStyle name="Normal 11 2 2 3" xfId="299"/>
    <cellStyle name="Normal 11 2 3" xfId="91"/>
    <cellStyle name="Normal 11 2 4" xfId="171"/>
    <cellStyle name="Normal 11 2 5" xfId="260"/>
    <cellStyle name="Normal 11 3" xfId="47"/>
    <cellStyle name="Normal 11 3 2" xfId="145"/>
    <cellStyle name="Normal 11 3 2 2" xfId="221"/>
    <cellStyle name="Normal 11 3 2 3" xfId="310"/>
    <cellStyle name="Normal 11 3 3" xfId="102"/>
    <cellStyle name="Normal 11 3 4" xfId="182"/>
    <cellStyle name="Normal 11 3 5" xfId="271"/>
    <cellStyle name="Normal 11 4" xfId="121"/>
    <cellStyle name="Normal 11 4 2" xfId="198"/>
    <cellStyle name="Normal 11 4 3" xfId="287"/>
    <cellStyle name="Normal 11 5" xfId="79"/>
    <cellStyle name="Normal 11 6" xfId="159"/>
    <cellStyle name="Normal 11 7" xfId="248"/>
    <cellStyle name="Normal 12" xfId="27"/>
    <cellStyle name="Normal 12 2" xfId="65"/>
    <cellStyle name="Normal 12 2 2" xfId="135"/>
    <cellStyle name="Normal 12 2 2 2" xfId="211"/>
    <cellStyle name="Normal 12 2 2 3" xfId="300"/>
    <cellStyle name="Normal 12 2 3" xfId="92"/>
    <cellStyle name="Normal 12 2 4" xfId="172"/>
    <cellStyle name="Normal 12 2 5" xfId="261"/>
    <cellStyle name="Normal 12 3" xfId="104"/>
    <cellStyle name="Normal 12 3 2" xfId="147"/>
    <cellStyle name="Normal 12 3 2 2" xfId="223"/>
    <cellStyle name="Normal 12 3 2 3" xfId="312"/>
    <cellStyle name="Normal 12 3 3" xfId="184"/>
    <cellStyle name="Normal 12 3 4" xfId="273"/>
    <cellStyle name="Normal 12 4" xfId="122"/>
    <cellStyle name="Normal 12 4 2" xfId="199"/>
    <cellStyle name="Normal 12 4 3" xfId="288"/>
    <cellStyle name="Normal 12 5" xfId="80"/>
    <cellStyle name="Normal 12 6" xfId="160"/>
    <cellStyle name="Normal 12 7" xfId="249"/>
    <cellStyle name="Normal 13" xfId="26"/>
    <cellStyle name="Normal 13 2" xfId="31"/>
    <cellStyle name="Normal 13 2 2" xfId="69"/>
    <cellStyle name="Normal 13 2 2 2" xfId="150"/>
    <cellStyle name="Normal 13 2 2 2 2" xfId="226"/>
    <cellStyle name="Normal 13 2 2 2 3" xfId="315"/>
    <cellStyle name="Normal 13 2 2 3" xfId="107"/>
    <cellStyle name="Normal 13 2 2 4" xfId="187"/>
    <cellStyle name="Normal 13 2 2 5" xfId="276"/>
    <cellStyle name="Normal 13 2 3" xfId="50"/>
    <cellStyle name="Normal 13 2 3 2" xfId="136"/>
    <cellStyle name="Normal 13 2 3 3" xfId="212"/>
    <cellStyle name="Normal 13 2 3 4" xfId="301"/>
    <cellStyle name="Normal 13 2 4" xfId="93"/>
    <cellStyle name="Normal 13 2 5" xfId="173"/>
    <cellStyle name="Normal 13 2 6" xfId="262"/>
    <cellStyle name="Normal 13 3" xfId="64"/>
    <cellStyle name="Normal 13 3 2" xfId="146"/>
    <cellStyle name="Normal 13 3 2 2" xfId="222"/>
    <cellStyle name="Normal 13 3 2 3" xfId="311"/>
    <cellStyle name="Normal 13 3 3" xfId="103"/>
    <cellStyle name="Normal 13 3 4" xfId="183"/>
    <cellStyle name="Normal 13 3 5" xfId="272"/>
    <cellStyle name="Normal 13 4" xfId="46"/>
    <cellStyle name="Normal 13 4 2" xfId="123"/>
    <cellStyle name="Normal 13 4 3" xfId="200"/>
    <cellStyle name="Normal 13 4 4" xfId="289"/>
    <cellStyle name="Normal 13 5" xfId="81"/>
    <cellStyle name="Normal 13 6" xfId="161"/>
    <cellStyle name="Normal 13 7" xfId="250"/>
    <cellStyle name="Normal 14" xfId="12"/>
    <cellStyle name="Normal 14 2" xfId="94"/>
    <cellStyle name="Normal 14 2 2" xfId="137"/>
    <cellStyle name="Normal 14 2 2 2" xfId="213"/>
    <cellStyle name="Normal 14 2 2 3" xfId="302"/>
    <cellStyle name="Normal 14 2 3" xfId="174"/>
    <cellStyle name="Normal 14 2 4" xfId="263"/>
    <cellStyle name="Normal 14 3" xfId="124"/>
    <cellStyle name="Normal 14 3 2" xfId="201"/>
    <cellStyle name="Normal 14 3 3" xfId="290"/>
    <cellStyle name="Normal 14 4" xfId="82"/>
    <cellStyle name="Normal 14 5" xfId="162"/>
    <cellStyle name="Normal 14 6" xfId="251"/>
    <cellStyle name="Normal 15" xfId="9"/>
    <cellStyle name="Normal 16" xfId="10"/>
    <cellStyle name="Normal 16 2" xfId="52"/>
    <cellStyle name="Normal 16 2 2" xfId="125"/>
    <cellStyle name="Normal 16 2 3" xfId="202"/>
    <cellStyle name="Normal 16 2 4" xfId="291"/>
    <cellStyle name="Normal 16 3" xfId="83"/>
    <cellStyle name="Normal 16 4" xfId="163"/>
    <cellStyle name="Normal 16 5" xfId="252"/>
    <cellStyle name="Normal 17" xfId="7"/>
    <cellStyle name="Normal 17 2" xfId="108"/>
    <cellStyle name="Normal 17 3" xfId="188"/>
    <cellStyle name="Normal 17 4" xfId="277"/>
    <cellStyle name="Normal 18" xfId="8"/>
    <cellStyle name="Normal 19" xfId="68"/>
    <cellStyle name="Normal 19 2" xfId="227"/>
    <cellStyle name="Normal 19 3" xfId="316"/>
    <cellStyle name="Normal 2" xfId="3"/>
    <cellStyle name="Normal 2 2" xfId="51"/>
    <cellStyle name="Normal 2 2 2" xfId="126"/>
    <cellStyle name="Normal 2 2 2 2" xfId="203"/>
    <cellStyle name="Normal 2 2 2 3" xfId="292"/>
    <cellStyle name="Normal 2 2 3" xfId="84"/>
    <cellStyle name="Normal 2 2 4" xfId="164"/>
    <cellStyle name="Normal 2 2 5" xfId="253"/>
    <cellStyle name="Normal 2 3" xfId="20"/>
    <cellStyle name="Normal 2 3 2" xfId="58"/>
    <cellStyle name="Normal 2 3 3" xfId="41"/>
    <cellStyle name="Normal 2 4" xfId="35"/>
    <cellStyle name="Normal 2 4 2" xfId="138"/>
    <cellStyle name="Normal 2 4 2 2" xfId="214"/>
    <cellStyle name="Normal 2 4 2 3" xfId="303"/>
    <cellStyle name="Normal 2 4 3" xfId="95"/>
    <cellStyle name="Normal 2 4 4" xfId="175"/>
    <cellStyle name="Normal 2 4 5" xfId="264"/>
    <cellStyle name="Normal 2 5" xfId="13"/>
    <cellStyle name="Normal 2 5 2" xfId="111"/>
    <cellStyle name="Normal 2 5 3" xfId="190"/>
    <cellStyle name="Normal 2 5 4" xfId="279"/>
    <cellStyle name="Normal 2 6" xfId="72"/>
    <cellStyle name="Normal 2 6 2" xfId="229"/>
    <cellStyle name="Normal 2 7" xfId="152"/>
    <cellStyle name="Normal 2 8" xfId="241"/>
    <cellStyle name="Normal 20" xfId="230"/>
    <cellStyle name="Normal 20 2" xfId="318"/>
    <cellStyle name="Normal 21" xfId="232"/>
    <cellStyle name="Normal 21 2" xfId="320"/>
    <cellStyle name="Normal 22" xfId="233"/>
    <cellStyle name="Normal 22 2" xfId="321"/>
    <cellStyle name="Normal 23" xfId="235"/>
    <cellStyle name="Normal 23 2" xfId="323"/>
    <cellStyle name="Normal 24" xfId="236"/>
    <cellStyle name="Normal 24 2" xfId="324"/>
    <cellStyle name="Normal 25" xfId="237"/>
    <cellStyle name="Normal 25 2" xfId="325"/>
    <cellStyle name="Normal 26" xfId="238"/>
    <cellStyle name="Normal 26 2" xfId="326"/>
    <cellStyle name="Normal 27" xfId="240"/>
    <cellStyle name="Normal 27 2" xfId="328"/>
    <cellStyle name="Normal 28" xfId="151"/>
    <cellStyle name="Normal 3" xfId="4"/>
    <cellStyle name="Normal 3 2" xfId="115"/>
    <cellStyle name="Normal 3 3" xfId="113"/>
    <cellStyle name="Normal 3 3 2" xfId="192"/>
    <cellStyle name="Normal 3 3 3" xfId="281"/>
    <cellStyle name="Normal 4" xfId="16"/>
    <cellStyle name="Normal 4 2" xfId="54"/>
    <cellStyle name="Normal 4 2 2" xfId="127"/>
    <cellStyle name="Normal 4 2 2 2" xfId="204"/>
    <cellStyle name="Normal 4 2 2 3" xfId="293"/>
    <cellStyle name="Normal 4 2 3" xfId="85"/>
    <cellStyle name="Normal 4 2 4" xfId="165"/>
    <cellStyle name="Normal 4 2 5" xfId="254"/>
    <cellStyle name="Normal 4 3" xfId="37"/>
    <cellStyle name="Normal 4 3 2" xfId="139"/>
    <cellStyle name="Normal 4 3 2 2" xfId="215"/>
    <cellStyle name="Normal 4 3 2 3" xfId="304"/>
    <cellStyle name="Normal 4 3 3" xfId="96"/>
    <cellStyle name="Normal 4 3 4" xfId="176"/>
    <cellStyle name="Normal 4 3 5" xfId="265"/>
    <cellStyle name="Normal 4 4" xfId="114"/>
    <cellStyle name="Normal 4 4 2" xfId="193"/>
    <cellStyle name="Normal 4 4 3" xfId="282"/>
    <cellStyle name="Normal 4 5" xfId="73"/>
    <cellStyle name="Normal 4 6" xfId="153"/>
    <cellStyle name="Normal 4 7" xfId="242"/>
    <cellStyle name="Normal 5" xfId="17"/>
    <cellStyle name="Normal 5 2" xfId="55"/>
    <cellStyle name="Normal 5 3" xfId="38"/>
    <cellStyle name="Normal 5 4" xfId="110"/>
    <cellStyle name="Normal 6" xfId="19"/>
    <cellStyle name="Normal 6 2" xfId="29"/>
    <cellStyle name="Normal 6 2 2" xfId="67"/>
    <cellStyle name="Normal 6 2 2 2" xfId="149"/>
    <cellStyle name="Normal 6 2 2 2 2" xfId="225"/>
    <cellStyle name="Normal 6 2 2 2 3" xfId="314"/>
    <cellStyle name="Normal 6 2 2 3" xfId="106"/>
    <cellStyle name="Normal 6 2 2 4" xfId="186"/>
    <cellStyle name="Normal 6 2 2 5" xfId="275"/>
    <cellStyle name="Normal 6 2 3" xfId="49"/>
    <cellStyle name="Normal 6 2 3 2" xfId="128"/>
    <cellStyle name="Normal 6 2 3 3" xfId="205"/>
    <cellStyle name="Normal 6 2 3 4" xfId="294"/>
    <cellStyle name="Normal 6 2 4" xfId="86"/>
    <cellStyle name="Normal 6 2 5" xfId="166"/>
    <cellStyle name="Normal 6 2 6" xfId="255"/>
    <cellStyle name="Normal 6 3" xfId="33"/>
    <cellStyle name="Normal 6 3 2" xfId="57"/>
    <cellStyle name="Normal 6 3 2 2" xfId="140"/>
    <cellStyle name="Normal 6 3 2 3" xfId="216"/>
    <cellStyle name="Normal 6 3 2 4" xfId="305"/>
    <cellStyle name="Normal 6 3 3" xfId="97"/>
    <cellStyle name="Normal 6 3 4" xfId="177"/>
    <cellStyle name="Normal 6 3 5" xfId="266"/>
    <cellStyle name="Normal 6 4" xfId="39"/>
    <cellStyle name="Normal 6 4 2" xfId="117"/>
    <cellStyle name="Normal 6 4 3" xfId="194"/>
    <cellStyle name="Normal 6 4 4" xfId="283"/>
    <cellStyle name="Normal 6 5" xfId="74"/>
    <cellStyle name="Normal 6 6" xfId="154"/>
    <cellStyle name="Normal 6 7" xfId="243"/>
    <cellStyle name="Normal 7" xfId="5"/>
    <cellStyle name="Normal 7 2" xfId="59"/>
    <cellStyle name="Normal 7 2 2" xfId="130"/>
    <cellStyle name="Normal 7 2 2 2" xfId="206"/>
    <cellStyle name="Normal 7 2 2 3" xfId="295"/>
    <cellStyle name="Normal 7 2 3" xfId="87"/>
    <cellStyle name="Normal 7 2 4" xfId="167"/>
    <cellStyle name="Normal 7 2 5" xfId="256"/>
    <cellStyle name="Normal 7 3" xfId="42"/>
    <cellStyle name="Normal 7 3 2" xfId="141"/>
    <cellStyle name="Normal 7 3 2 2" xfId="217"/>
    <cellStyle name="Normal 7 3 2 3" xfId="306"/>
    <cellStyle name="Normal 7 3 3" xfId="98"/>
    <cellStyle name="Normal 7 3 4" xfId="178"/>
    <cellStyle name="Normal 7 3 5" xfId="267"/>
    <cellStyle name="Normal 7 4" xfId="21"/>
    <cellStyle name="Normal 7 4 2" xfId="112"/>
    <cellStyle name="Normal 7 4 3" xfId="191"/>
    <cellStyle name="Normal 7 4 4" xfId="280"/>
    <cellStyle name="Normal 7 5" xfId="75"/>
    <cellStyle name="Normal 7 6" xfId="155"/>
    <cellStyle name="Normal 7 7" xfId="244"/>
    <cellStyle name="Normal 8" xfId="22"/>
    <cellStyle name="Normal 8 2" xfId="60"/>
    <cellStyle name="Normal 8 2 2" xfId="132"/>
    <cellStyle name="Normal 8 2 2 2" xfId="208"/>
    <cellStyle name="Normal 8 2 2 3" xfId="297"/>
    <cellStyle name="Normal 8 2 3" xfId="89"/>
    <cellStyle name="Normal 8 2 4" xfId="169"/>
    <cellStyle name="Normal 8 2 5" xfId="258"/>
    <cellStyle name="Normal 8 3" xfId="44"/>
    <cellStyle name="Normal 8 3 2" xfId="142"/>
    <cellStyle name="Normal 8 3 2 2" xfId="218"/>
    <cellStyle name="Normal 8 3 2 3" xfId="307"/>
    <cellStyle name="Normal 8 3 3" xfId="99"/>
    <cellStyle name="Normal 8 3 4" xfId="179"/>
    <cellStyle name="Normal 8 3 5" xfId="268"/>
    <cellStyle name="Normal 8 4" xfId="119"/>
    <cellStyle name="Normal 8 4 2" xfId="196"/>
    <cellStyle name="Normal 8 4 3" xfId="285"/>
    <cellStyle name="Normal 8 5" xfId="77"/>
    <cellStyle name="Normal 8 6" xfId="157"/>
    <cellStyle name="Normal 8 7" xfId="246"/>
    <cellStyle name="Normal 9" xfId="6"/>
    <cellStyle name="Normal 9 2" xfId="61"/>
    <cellStyle name="Normal 9 2 2" xfId="131"/>
    <cellStyle name="Normal 9 2 2 2" xfId="207"/>
    <cellStyle name="Normal 9 2 2 3" xfId="296"/>
    <cellStyle name="Normal 9 2 3" xfId="88"/>
    <cellStyle name="Normal 9 2 4" xfId="168"/>
    <cellStyle name="Normal 9 2 5" xfId="257"/>
    <cellStyle name="Normal 9 3" xfId="43"/>
    <cellStyle name="Normal 9 3 2" xfId="143"/>
    <cellStyle name="Normal 9 3 2 2" xfId="219"/>
    <cellStyle name="Normal 9 3 2 3" xfId="308"/>
    <cellStyle name="Normal 9 3 3" xfId="100"/>
    <cellStyle name="Normal 9 3 4" xfId="180"/>
    <cellStyle name="Normal 9 3 5" xfId="269"/>
    <cellStyle name="Normal 9 4" xfId="23"/>
    <cellStyle name="Normal 9 4 2" xfId="118"/>
    <cellStyle name="Normal 9 4 3" xfId="195"/>
    <cellStyle name="Normal 9 4 4" xfId="284"/>
    <cellStyle name="Normal 9 5" xfId="76"/>
    <cellStyle name="Normal 9 6" xfId="156"/>
    <cellStyle name="Normal 9 7" xfId="245"/>
    <cellStyle name="Percent" xfId="2" builtinId="5"/>
    <cellStyle name="Percent 2" xfId="11"/>
    <cellStyle name="Percent 2 2" xfId="129"/>
    <cellStyle name="Percent 2 3" xfId="70"/>
    <cellStyle name="Percent 3" xfId="40"/>
  </cellStyles>
  <dxfs count="60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patternType="solid">
          <fgColor rgb="FFFFC7CE"/>
          <bgColor rgb="FFFFC7CE"/>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patternType="solid">
          <fgColor rgb="FFFFC7CE"/>
          <bgColor rgb="FFFFC7CE"/>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rgb="FF9C0006"/>
      </font>
      <fill>
        <patternFill patternType="solid">
          <fgColor rgb="FFFFC7CE"/>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bgColor theme="7" tint="0.39994506668294322"/>
        </patternFill>
      </fill>
    </dxf>
    <dxf>
      <fill>
        <patternFill patternType="solid">
          <fgColor auto="1"/>
          <bgColor theme="8" tint="0.79998168889431442"/>
        </patternFill>
      </fill>
    </dxf>
    <dxf>
      <fill>
        <patternFill patternType="solid">
          <fgColor theme="4"/>
          <bgColor theme="4"/>
        </patternFill>
      </fill>
    </dxf>
    <dxf>
      <fill>
        <patternFill patternType="gray125">
          <bgColor theme="9" tint="0.39994506668294322"/>
        </patternFill>
      </fill>
    </dxf>
    <dxf>
      <fill>
        <patternFill patternType="solid">
          <fgColor auto="1"/>
          <bgColor theme="8" tint="0.79998168889431442"/>
        </patternFill>
      </fill>
    </dxf>
    <dxf>
      <fill>
        <patternFill patternType="solid">
          <fgColor theme="4"/>
          <bgColor theme="4"/>
        </patternFill>
      </fill>
    </dxf>
    <dxf>
      <fill>
        <patternFill patternType="darkGrid">
          <fgColor theme="9" tint="0.39991454817346722"/>
          <bgColor theme="7"/>
        </patternFill>
      </fill>
    </dxf>
    <dxf>
      <fill>
        <patternFill patternType="gray125">
          <bgColor theme="9" tint="0.3999450666829432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8</xdr:col>
      <xdr:colOff>632350</xdr:colOff>
      <xdr:row>4</xdr:row>
      <xdr:rowOff>224216</xdr:rowOff>
    </xdr:to>
    <mc:AlternateContent xmlns:mc="http://schemas.openxmlformats.org/markup-compatibility/2006" xmlns:a14="http://schemas.microsoft.com/office/drawing/2010/main">
      <mc:Choice Requires="a14">
        <xdr:graphicFrame macro="">
          <xdr:nvGraphicFramePr>
            <xdr:cNvPr id="2" name="Cửa hàng">
              <a:extLst>
                <a:ext uri="{FF2B5EF4-FFF2-40B4-BE49-F238E27FC236}">
                  <a16:creationId xmlns:a16="http://schemas.microsoft.com/office/drawing/2014/main" id="{963C4C46-A782-4532-BACB-E8CD089C127C}"/>
                </a:ext>
              </a:extLst>
            </xdr:cNvPr>
            <xdr:cNvGraphicFramePr/>
          </xdr:nvGraphicFramePr>
          <xdr:xfrm>
            <a:off x="0" y="0"/>
            <a:ext cx="0" cy="0"/>
          </xdr:xfrm>
          <a:graphic>
            <a:graphicData uri="http://schemas.microsoft.com/office/drawing/2010/slicer">
              <sle:slicer xmlns:sle="http://schemas.microsoft.com/office/drawing/2010/slicer" name="Cửa hàng"/>
            </a:graphicData>
          </a:graphic>
        </xdr:graphicFrame>
      </mc:Choice>
      <mc:Fallback xmlns="">
        <xdr:sp macro="" textlink="">
          <xdr:nvSpPr>
            <xdr:cNvPr id="0" name=""/>
            <xdr:cNvSpPr>
              <a:spLocks noTextEdit="1"/>
            </xdr:cNvSpPr>
          </xdr:nvSpPr>
          <xdr:spPr>
            <a:xfrm>
              <a:off x="4995333" y="364067"/>
              <a:ext cx="3675059" cy="1007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754.405657986114" createdVersion="6" refreshedVersion="6" minRefreshableVersion="3" recordCount="15">
  <cacheSource type="worksheet">
    <worksheetSource ref="L1:M16" sheet="Control"/>
  </cacheSource>
  <cacheFields count="2">
    <cacheField name="Cửa hàng" numFmtId="0">
      <sharedItems count="15">
        <s v="SG01"/>
        <s v="SG02"/>
        <s v="SG03"/>
        <s v="SG04"/>
        <s v="SG05"/>
        <s v="SG06"/>
        <s v="SG07"/>
        <s v="SG08"/>
        <s v="SG09"/>
        <s v="SG10"/>
        <s v="SG11"/>
        <s v="SG12"/>
        <s v="SG13"/>
        <s v="SG14"/>
        <s v="SG15"/>
      </sharedItems>
    </cacheField>
    <cacheField name="Check"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334678674"/>
    </ext>
  </extLst>
</pivotCacheDefinition>
</file>

<file path=xl/pivotCache/pivotCacheRecords1.xml><?xml version="1.0" encoding="utf-8"?>
<pivotCacheRecords xmlns="http://schemas.openxmlformats.org/spreadsheetml/2006/main" xmlns:r="http://schemas.openxmlformats.org/officeDocument/2006/relationships" count="15">
  <r>
    <x v="0"/>
    <n v="1"/>
  </r>
  <r>
    <x v="1"/>
    <n v="1"/>
  </r>
  <r>
    <x v="2"/>
    <n v="1"/>
  </r>
  <r>
    <x v="3"/>
    <n v="1"/>
  </r>
  <r>
    <x v="4"/>
    <n v="1"/>
  </r>
  <r>
    <x v="5"/>
    <n v="1"/>
  </r>
  <r>
    <x v="6"/>
    <n v="1"/>
  </r>
  <r>
    <x v="7"/>
    <n v="1"/>
  </r>
  <r>
    <x v="8"/>
    <n v="1"/>
  </r>
  <r>
    <x v="9"/>
    <n v="1"/>
  </r>
  <r>
    <x v="10"/>
    <n v="1"/>
  </r>
  <r>
    <x v="11"/>
    <n v="1"/>
  </r>
  <r>
    <x v="12"/>
    <n v="1"/>
  </r>
  <r>
    <x v="13"/>
    <n v="1"/>
  </r>
  <r>
    <x v="1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F1:G3" firstHeaderRow="1" firstDataRow="1" firstDataCol="1"/>
  <pivotFields count="2">
    <pivotField axis="axisRow" showAll="0">
      <items count="16">
        <item x="0"/>
        <item h="1" x="1"/>
        <item h="1" x="2"/>
        <item h="1" x="3"/>
        <item h="1" x="4"/>
        <item h="1" x="5"/>
        <item h="1" x="6"/>
        <item h="1" x="7"/>
        <item h="1" x="8"/>
        <item h="1" x="9"/>
        <item h="1" x="10"/>
        <item h="1" x="11"/>
        <item h="1" x="12"/>
        <item h="1" x="13"/>
        <item h="1" x="14"/>
        <item t="default"/>
      </items>
    </pivotField>
    <pivotField dataField="1" showAll="0"/>
  </pivotFields>
  <rowFields count="1">
    <field x="0"/>
  </rowFields>
  <rowItems count="2">
    <i>
      <x/>
    </i>
    <i t="grand">
      <x/>
    </i>
  </rowItems>
  <colItems count="1">
    <i/>
  </colItems>
  <dataFields count="1">
    <dataField name="Sum of Check"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ửa_hàng" sourceName="Cửa hàng">
  <pivotTables>
    <pivotTable tabId="19" name="PivotTable3"/>
  </pivotTables>
  <data>
    <tabular pivotCacheId="334678674">
      <items count="15">
        <i x="0" s="1"/>
        <i x="1"/>
        <i x="2"/>
        <i x="3"/>
        <i x="4"/>
        <i x="5"/>
        <i x="6"/>
        <i x="7"/>
        <i x="8"/>
        <i x="9"/>
        <i x="10"/>
        <i x="11"/>
        <i x="12"/>
        <i x="13"/>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ửa hàng" cache="Slicer_Cửa_hàng" caption="Cửa hàng" columnCount="5" showCaption="0"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16"/>
  <sheetViews>
    <sheetView workbookViewId="0">
      <selection activeCell="B150" sqref="B150:E150"/>
    </sheetView>
  </sheetViews>
  <sheetFormatPr defaultRowHeight="14.5" x14ac:dyDescent="0.35"/>
  <cols>
    <col min="1" max="1" width="9.81640625" customWidth="1"/>
    <col min="2" max="4" width="10.54296875" customWidth="1"/>
    <col min="6" max="6" width="12.36328125" customWidth="1"/>
    <col min="7" max="7" width="12.08984375" customWidth="1"/>
    <col min="12" max="12" width="11.54296875" customWidth="1"/>
  </cols>
  <sheetData>
    <row r="1" spans="1:13" x14ac:dyDescent="0.35">
      <c r="A1" s="216" t="s">
        <v>419</v>
      </c>
      <c r="B1" s="216" t="s">
        <v>420</v>
      </c>
      <c r="C1" s="216" t="s">
        <v>433</v>
      </c>
      <c r="D1" s="216" t="s">
        <v>434</v>
      </c>
      <c r="F1" s="214" t="s">
        <v>417</v>
      </c>
      <c r="G1" t="s">
        <v>421</v>
      </c>
      <c r="L1" s="216" t="s">
        <v>419</v>
      </c>
      <c r="M1" s="216" t="s">
        <v>420</v>
      </c>
    </row>
    <row r="2" spans="1:13" x14ac:dyDescent="0.35">
      <c r="A2" s="213" t="s">
        <v>422</v>
      </c>
      <c r="B2" s="213">
        <f ca="1">C2*D2</f>
        <v>1</v>
      </c>
      <c r="C2" s="213">
        <f>IFERROR(VLOOKUP(A2,$F$2:$G$14,2,0),0)</f>
        <v>1</v>
      </c>
      <c r="D2" s="213">
        <f ca="1">IF(INDIRECT(A2&amp;"!K10",TRUE)="",0,1)</f>
        <v>1</v>
      </c>
      <c r="F2" s="215" t="s">
        <v>422</v>
      </c>
      <c r="G2" s="630">
        <v>1</v>
      </c>
      <c r="L2" s="213" t="s">
        <v>422</v>
      </c>
      <c r="M2" s="213">
        <v>1</v>
      </c>
    </row>
    <row r="3" spans="1:13" x14ac:dyDescent="0.35">
      <c r="A3" s="213" t="s">
        <v>423</v>
      </c>
      <c r="B3" s="213">
        <f t="shared" ref="B3:B11" ca="1" si="0">C3*D3</f>
        <v>0</v>
      </c>
      <c r="C3" s="213">
        <f t="shared" ref="C3:C11" si="1">IFERROR(VLOOKUP(A3,$F$2:$G$14,2,0),0)</f>
        <v>0</v>
      </c>
      <c r="D3" s="213">
        <f t="shared" ref="D3:D11" ca="1" si="2">IF(INDIRECT(A3&amp;"!K10",TRUE)="",0,1)</f>
        <v>1</v>
      </c>
      <c r="F3" s="215" t="s">
        <v>418</v>
      </c>
      <c r="G3" s="630">
        <v>1</v>
      </c>
      <c r="L3" s="213" t="s">
        <v>423</v>
      </c>
      <c r="M3" s="213">
        <v>1</v>
      </c>
    </row>
    <row r="4" spans="1:13" x14ac:dyDescent="0.35">
      <c r="A4" s="213" t="s">
        <v>424</v>
      </c>
      <c r="B4" s="213">
        <f t="shared" ca="1" si="0"/>
        <v>0</v>
      </c>
      <c r="C4" s="213">
        <f t="shared" si="1"/>
        <v>0</v>
      </c>
      <c r="D4" s="213">
        <f t="shared" ca="1" si="2"/>
        <v>1</v>
      </c>
      <c r="L4" s="213" t="s">
        <v>424</v>
      </c>
      <c r="M4" s="213">
        <v>1</v>
      </c>
    </row>
    <row r="5" spans="1:13" x14ac:dyDescent="0.35">
      <c r="A5" s="213" t="s">
        <v>425</v>
      </c>
      <c r="B5" s="213">
        <f t="shared" ca="1" si="0"/>
        <v>0</v>
      </c>
      <c r="C5" s="213">
        <f t="shared" si="1"/>
        <v>0</v>
      </c>
      <c r="D5" s="213">
        <f t="shared" ca="1" si="2"/>
        <v>0</v>
      </c>
      <c r="L5" s="213" t="s">
        <v>425</v>
      </c>
      <c r="M5" s="213">
        <v>1</v>
      </c>
    </row>
    <row r="6" spans="1:13" x14ac:dyDescent="0.35">
      <c r="A6" s="213" t="s">
        <v>426</v>
      </c>
      <c r="B6" s="213">
        <f t="shared" ca="1" si="0"/>
        <v>0</v>
      </c>
      <c r="C6" s="213">
        <f t="shared" si="1"/>
        <v>0</v>
      </c>
      <c r="D6" s="213">
        <f t="shared" ca="1" si="2"/>
        <v>0</v>
      </c>
      <c r="L6" s="213" t="s">
        <v>426</v>
      </c>
      <c r="M6" s="213">
        <v>1</v>
      </c>
    </row>
    <row r="7" spans="1:13" x14ac:dyDescent="0.35">
      <c r="A7" s="213" t="s">
        <v>427</v>
      </c>
      <c r="B7" s="213">
        <f t="shared" ca="1" si="0"/>
        <v>0</v>
      </c>
      <c r="C7" s="213">
        <f t="shared" si="1"/>
        <v>0</v>
      </c>
      <c r="D7" s="213">
        <f t="shared" ca="1" si="2"/>
        <v>0</v>
      </c>
      <c r="L7" s="213" t="s">
        <v>427</v>
      </c>
      <c r="M7" s="213">
        <v>1</v>
      </c>
    </row>
    <row r="8" spans="1:13" x14ac:dyDescent="0.35">
      <c r="A8" s="213" t="s">
        <v>428</v>
      </c>
      <c r="B8" s="213">
        <f t="shared" ca="1" si="0"/>
        <v>0</v>
      </c>
      <c r="C8" s="213">
        <f t="shared" si="1"/>
        <v>0</v>
      </c>
      <c r="D8" s="213">
        <f t="shared" ca="1" si="2"/>
        <v>0</v>
      </c>
      <c r="L8" s="213" t="s">
        <v>428</v>
      </c>
      <c r="M8" s="213">
        <v>1</v>
      </c>
    </row>
    <row r="9" spans="1:13" x14ac:dyDescent="0.35">
      <c r="A9" s="213" t="s">
        <v>429</v>
      </c>
      <c r="B9" s="213">
        <f t="shared" ca="1" si="0"/>
        <v>0</v>
      </c>
      <c r="C9" s="213">
        <f t="shared" si="1"/>
        <v>0</v>
      </c>
      <c r="D9" s="213">
        <f t="shared" ca="1" si="2"/>
        <v>0</v>
      </c>
      <c r="L9" s="213" t="s">
        <v>429</v>
      </c>
      <c r="M9" s="213">
        <v>1</v>
      </c>
    </row>
    <row r="10" spans="1:13" x14ac:dyDescent="0.35">
      <c r="A10" s="213" t="s">
        <v>430</v>
      </c>
      <c r="B10" s="213">
        <f t="shared" ca="1" si="0"/>
        <v>0</v>
      </c>
      <c r="C10" s="213">
        <f t="shared" si="1"/>
        <v>0</v>
      </c>
      <c r="D10" s="213">
        <f t="shared" ca="1" si="2"/>
        <v>0</v>
      </c>
      <c r="L10" s="213" t="s">
        <v>430</v>
      </c>
      <c r="M10" s="213">
        <v>1</v>
      </c>
    </row>
    <row r="11" spans="1:13" x14ac:dyDescent="0.35">
      <c r="A11" s="213" t="s">
        <v>416</v>
      </c>
      <c r="B11" s="213">
        <f t="shared" ca="1" si="0"/>
        <v>0</v>
      </c>
      <c r="C11" s="213">
        <f t="shared" si="1"/>
        <v>0</v>
      </c>
      <c r="D11" s="213">
        <f t="shared" ca="1" si="2"/>
        <v>0</v>
      </c>
      <c r="L11" s="213" t="s">
        <v>416</v>
      </c>
      <c r="M11" s="213">
        <v>1</v>
      </c>
    </row>
    <row r="12" spans="1:13" x14ac:dyDescent="0.35">
      <c r="A12" s="213" t="s">
        <v>459</v>
      </c>
      <c r="B12" s="213">
        <f t="shared" ref="B12:B13" ca="1" si="3">C12*D12</f>
        <v>0</v>
      </c>
      <c r="C12" s="213">
        <f t="shared" ref="C12:C13" si="4">IFERROR(VLOOKUP(A12,$F$2:$G$14,2,0),0)</f>
        <v>0</v>
      </c>
      <c r="D12" s="213">
        <f t="shared" ref="D12:D13" ca="1" si="5">IF(INDIRECT(A12&amp;"!K10",TRUE)="",0,1)</f>
        <v>0</v>
      </c>
      <c r="L12" s="213" t="s">
        <v>459</v>
      </c>
      <c r="M12" s="213">
        <v>1</v>
      </c>
    </row>
    <row r="13" spans="1:13" x14ac:dyDescent="0.35">
      <c r="A13" s="213" t="s">
        <v>460</v>
      </c>
      <c r="B13" s="213">
        <f t="shared" ca="1" si="3"/>
        <v>0</v>
      </c>
      <c r="C13" s="213">
        <f t="shared" si="4"/>
        <v>0</v>
      </c>
      <c r="D13" s="213">
        <f t="shared" ca="1" si="5"/>
        <v>0</v>
      </c>
      <c r="L13" s="213" t="s">
        <v>460</v>
      </c>
      <c r="M13" s="213">
        <v>1</v>
      </c>
    </row>
    <row r="14" spans="1:13" x14ac:dyDescent="0.35">
      <c r="A14" s="213" t="s">
        <v>461</v>
      </c>
      <c r="B14" s="213">
        <f t="shared" ref="B14:B16" ca="1" si="6">C14*D14</f>
        <v>0</v>
      </c>
      <c r="C14" s="213">
        <f t="shared" ref="C14:C16" si="7">IFERROR(VLOOKUP(A14,$F$2:$G$14,2,0),0)</f>
        <v>0</v>
      </c>
      <c r="D14" s="213">
        <f t="shared" ref="D14:D16" ca="1" si="8">IF(INDIRECT(A14&amp;"!K10",TRUE)="",0,1)</f>
        <v>0</v>
      </c>
      <c r="L14" s="213" t="s">
        <v>461</v>
      </c>
      <c r="M14" s="213">
        <v>1</v>
      </c>
    </row>
    <row r="15" spans="1:13" x14ac:dyDescent="0.35">
      <c r="A15" s="213" t="s">
        <v>462</v>
      </c>
      <c r="B15" s="213">
        <f t="shared" ca="1" si="6"/>
        <v>0</v>
      </c>
      <c r="C15" s="213">
        <f t="shared" si="7"/>
        <v>0</v>
      </c>
      <c r="D15" s="213">
        <f t="shared" ca="1" si="8"/>
        <v>0</v>
      </c>
      <c r="L15" s="213" t="s">
        <v>462</v>
      </c>
      <c r="M15" s="213">
        <v>1</v>
      </c>
    </row>
    <row r="16" spans="1:13" x14ac:dyDescent="0.35">
      <c r="A16" s="213" t="s">
        <v>463</v>
      </c>
      <c r="B16" s="213">
        <f t="shared" ca="1" si="6"/>
        <v>0</v>
      </c>
      <c r="C16" s="213">
        <f t="shared" si="7"/>
        <v>0</v>
      </c>
      <c r="D16" s="213">
        <f t="shared" ca="1" si="8"/>
        <v>0</v>
      </c>
      <c r="L16" s="213" t="s">
        <v>463</v>
      </c>
      <c r="M16" s="213">
        <v>1</v>
      </c>
    </row>
  </sheetData>
  <phoneticPr fontId="5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5"/>
  </sheetPr>
  <dimension ref="A1:AN156"/>
  <sheetViews>
    <sheetView topLeftCell="C1" zoomScale="84" zoomScaleNormal="84" workbookViewId="0">
      <pane ySplit="10" topLeftCell="A11" activePane="bottomLeft" state="frozen"/>
      <selection pane="bottomLeft" activeCell="C2" sqref="A1:XFD1048576"/>
    </sheetView>
  </sheetViews>
  <sheetFormatPr defaultColWidth="12.54296875" defaultRowHeight="13" outlineLevelCol="1" x14ac:dyDescent="0.35"/>
  <cols>
    <col min="1" max="1" width="4.54296875" style="274" customWidth="1"/>
    <col min="2" max="2" width="12.7265625" style="274" customWidth="1"/>
    <col min="3" max="3" width="50" style="274" customWidth="1"/>
    <col min="4" max="4" width="9.453125" style="274" customWidth="1"/>
    <col min="5" max="5" width="7.81640625" style="274" customWidth="1"/>
    <col min="6" max="6" width="15.26953125" style="274" customWidth="1"/>
    <col min="7" max="7" width="15.1796875" style="274" customWidth="1"/>
    <col min="8" max="8" width="14" style="274" customWidth="1"/>
    <col min="9" max="9" width="11.54296875" style="279" customWidth="1"/>
    <col min="10" max="10" width="5.453125" style="274" customWidth="1"/>
    <col min="11" max="11" width="23.81640625" style="274" customWidth="1" outlineLevel="1"/>
    <col min="12" max="12" width="19" style="274" customWidth="1" outlineLevel="1"/>
    <col min="13" max="13" width="19.7265625" style="274" customWidth="1" outlineLevel="1"/>
    <col min="14" max="14" width="13.26953125" style="274" customWidth="1" outlineLevel="1"/>
    <col min="15" max="15" width="12.26953125" style="274" customWidth="1" outlineLevel="1"/>
    <col min="16" max="17" width="10.26953125" style="274" customWidth="1" outlineLevel="1"/>
    <col min="18" max="18" width="11.453125" style="274" customWidth="1" outlineLevel="1"/>
    <col min="19" max="19" width="14.7265625" style="274" customWidth="1" outlineLevel="1"/>
    <col min="20" max="20" width="18.7265625" style="274" customWidth="1" outlineLevel="1"/>
    <col min="21" max="21" width="4" style="274" customWidth="1"/>
    <col min="22" max="22" width="16.7265625" style="4" customWidth="1"/>
    <col min="23" max="23" width="13.1796875" style="4" customWidth="1"/>
    <col min="24" max="24" width="16.7265625" style="4" customWidth="1"/>
    <col min="25" max="25" width="5" style="4" customWidth="1"/>
    <col min="26" max="27" width="5" style="274" customWidth="1"/>
    <col min="28" max="28" width="13" style="274" customWidth="1"/>
    <col min="29" max="29" width="36.81640625" style="274" customWidth="1"/>
    <col min="30" max="30" width="15.54296875" style="274" customWidth="1"/>
    <col min="31" max="31" width="13.81640625" style="274" customWidth="1"/>
    <col min="32" max="32" width="11.81640625" style="274" customWidth="1"/>
    <col min="33" max="33" width="10.1796875" style="345" customWidth="1"/>
    <col min="34" max="34" width="16.1796875" style="274" customWidth="1"/>
    <col min="35" max="35" width="11.54296875" style="274" customWidth="1"/>
    <col min="36" max="36" width="12.7265625" style="274" customWidth="1"/>
    <col min="37" max="37" width="11" style="345" customWidth="1"/>
    <col min="38" max="38" width="19.26953125" style="341" customWidth="1"/>
    <col min="39" max="39" width="18.81640625" style="340" customWidth="1"/>
    <col min="40" max="16384" width="12.54296875" style="274"/>
  </cols>
  <sheetData>
    <row r="1" spans="1:39" ht="4.5" customHeight="1" x14ac:dyDescent="0.35">
      <c r="A1" s="76"/>
      <c r="B1" s="76"/>
      <c r="C1" s="76"/>
      <c r="D1" s="76"/>
      <c r="E1" s="77"/>
      <c r="F1" s="78"/>
      <c r="G1" s="77"/>
      <c r="H1" s="77"/>
      <c r="I1" s="87"/>
      <c r="J1" s="76"/>
      <c r="K1" s="76"/>
      <c r="L1" s="76"/>
      <c r="M1" s="76"/>
      <c r="N1" s="80"/>
      <c r="O1" s="81"/>
      <c r="P1" s="81"/>
      <c r="Q1" s="81"/>
      <c r="R1" s="82"/>
      <c r="S1" s="82"/>
      <c r="T1" s="82"/>
      <c r="U1" s="83"/>
    </row>
    <row r="2" spans="1:39" ht="24.75" customHeight="1" x14ac:dyDescent="0.35">
      <c r="A2" s="85"/>
      <c r="B2" s="86" t="s">
        <v>558</v>
      </c>
      <c r="C2" s="85"/>
      <c r="D2" s="85"/>
      <c r="E2" s="87"/>
      <c r="F2" s="88"/>
      <c r="G2" s="89">
        <f ca="1">L5</f>
        <v>1550563000</v>
      </c>
      <c r="H2" s="89"/>
      <c r="I2" s="85"/>
      <c r="J2" s="85"/>
      <c r="K2" s="248"/>
      <c r="L2" s="248"/>
      <c r="M2" s="248">
        <v>422104678.51413411</v>
      </c>
      <c r="N2" s="252"/>
      <c r="O2" s="249"/>
      <c r="P2" s="98"/>
      <c r="Q2" s="81"/>
      <c r="R2" s="82"/>
      <c r="S2" s="82"/>
      <c r="T2" s="82"/>
      <c r="U2" s="94"/>
      <c r="V2" s="39" t="s">
        <v>353</v>
      </c>
      <c r="W2" s="5" t="s">
        <v>354</v>
      </c>
      <c r="X2" s="5"/>
      <c r="Y2" s="5"/>
    </row>
    <row r="3" spans="1:39" ht="34.5" customHeight="1" x14ac:dyDescent="0.35">
      <c r="A3" s="76"/>
      <c r="B3" s="86" t="s">
        <v>0</v>
      </c>
      <c r="C3" s="76"/>
      <c r="D3" s="76"/>
      <c r="E3" s="77"/>
      <c r="F3" s="78"/>
      <c r="G3" s="77"/>
      <c r="H3" s="77"/>
      <c r="I3" s="87"/>
      <c r="J3" s="76"/>
      <c r="K3" s="281"/>
      <c r="L3" s="250"/>
      <c r="M3" s="252"/>
      <c r="N3" s="251"/>
      <c r="O3" s="249"/>
      <c r="P3" s="93">
        <f>O3/7</f>
        <v>0</v>
      </c>
      <c r="Q3" s="81"/>
      <c r="R3" s="82"/>
      <c r="S3" s="82"/>
      <c r="T3" s="82"/>
      <c r="U3" s="83"/>
      <c r="V3" s="39" t="s">
        <v>355</v>
      </c>
      <c r="W3" s="40" t="s">
        <v>356</v>
      </c>
      <c r="X3" s="11"/>
      <c r="Y3" s="11"/>
    </row>
    <row r="4" spans="1:39" ht="27.75" customHeight="1" thickBot="1" x14ac:dyDescent="0.4">
      <c r="A4" s="76"/>
      <c r="B4" s="99" t="s">
        <v>432</v>
      </c>
      <c r="C4" s="240" t="s">
        <v>435</v>
      </c>
      <c r="E4" s="217"/>
      <c r="F4" s="217"/>
      <c r="J4" s="76"/>
      <c r="K4" s="101" t="s">
        <v>18</v>
      </c>
      <c r="L4" s="650" t="s">
        <v>19</v>
      </c>
      <c r="M4" s="651"/>
      <c r="N4" s="650" t="s">
        <v>20</v>
      </c>
      <c r="O4" s="651"/>
      <c r="P4" s="102" t="s">
        <v>21</v>
      </c>
      <c r="Q4" s="2"/>
      <c r="R4" s="103"/>
      <c r="S4" s="589" t="s">
        <v>464</v>
      </c>
      <c r="T4" s="589">
        <f ca="1">(SUMIF('SG01'!$S$4,$S$4,'SG01'!$T$4)*SG01_+SUMIF('SG02'!$S$4,$S$4,'SG02'!$T$4)*SG02_+SUMIF('SG03'!$S$4,$S$4,'SG03'!$T$4)*SG03_+SUMIF('SG04'!$S$4,$S$4,'SG04'!$T$4)*SG04_+SUMIF('SG05'!$S$4,$S$4,'SG05'!$T$4)*SG05_+SUMIF('SG06'!$S$4,$S$4,'SG06'!$T$4)*SG06_+SUMIF('SG07'!$S$4,$S$4,'SG07'!$T$4)*SG07_+SUMIF('SG08'!$S$4,$S$4,'SG08'!$T$4)*SG08_+SUMIF('SG09'!$S$4,$S$4,'SG09'!$T$4)*SG09_+SUMIF('SG10'!$S$4,$S$4,'SG10'!$T$4)*SG10_+SUMIF('SG11'!$S$4,$S$4,'SG11'!$T$4)*SG11_+SUMIF('SG12'!$S$4,$S$4,'SG12'!$T$4)*SG12_+SUMIF('SG13'!$S$4,$S$4,'SG13'!$T$4)*SG13_+SUMIF('SG14'!$S$4,$S$4,'SG14'!$T$4)*SG14_+SUMIF('SG15'!$S$4,$S$4,'SG15'!$T$4)*SG15_)</f>
        <v>1257</v>
      </c>
      <c r="U4" s="83"/>
      <c r="V4" s="39" t="s">
        <v>357</v>
      </c>
      <c r="W4" s="41" t="s">
        <v>358</v>
      </c>
      <c r="X4" s="42"/>
      <c r="Y4" s="43"/>
    </row>
    <row r="5" spans="1:39" ht="30" customHeight="1" thickBot="1" x14ac:dyDescent="0.4">
      <c r="A5" s="76"/>
      <c r="B5" s="99" t="s">
        <v>2</v>
      </c>
      <c r="C5" s="241" t="str">
        <f>'SG01'!C5:D5</f>
        <v>01.09.2026-&gt;30.09.2026</v>
      </c>
      <c r="D5" s="242"/>
      <c r="E5" s="100"/>
      <c r="F5" s="78"/>
      <c r="G5" s="647" t="s">
        <v>436</v>
      </c>
      <c r="H5" s="647"/>
      <c r="I5" s="647"/>
      <c r="J5" s="76"/>
      <c r="K5" s="334">
        <f ca="1">(SUMIF('SG01'!$K$4,$K4,'SG01'!$K$5)*SG01_+SUMIF('SG02'!$K$4,$K4,'SG02'!$K$5)*SG02_+SUMIF('SG03'!$K$4,$K4,'SG03'!$K$5)*SG03_+SUMIF('SG04'!$K$4,$K4,'SG04'!$K$5)*SG04_+SUMIF('SG05'!$K$4,$K4,'SG05'!$K$5)*SG05_+SUMIF('SG06'!$K$4,$K4,'SG06'!$K$5)*SG06_+SUMIF('SG07'!$K$4,$K4,'SG07'!$K$5)*SG07_+SUMIF('SG08'!$K$4,$K4,'SG08'!$K$5)*SG08_+SUMIF('SG09'!$K$4,$K4,'SG09'!$K$5)*SG09_+SUMIF('SG10'!$K$4,$K4,'SG10'!$K$5)*SG10_+SUMIF('SG11'!$K$4,$K4,'SG11'!$K$5)*SG11_+SUMIF('SG12'!$K$4,$K4,'SG12'!$K$5)*SG12_+SUMIF('SG13'!$K$4,$K4,'SG13'!$K$5)*SG13_+SUMIF('SG14'!$K$4,$K4,'SG14'!$K$5)*SG14_+SUMIF('SG15'!$K$4,$K4,'SG15'!$K$5)*SG15_)</f>
        <v>3693</v>
      </c>
      <c r="L5" s="652">
        <f ca="1">L10</f>
        <v>1550563000</v>
      </c>
      <c r="M5" s="653"/>
      <c r="N5" s="654">
        <f ca="1">L5/K5</f>
        <v>419865.42106688331</v>
      </c>
      <c r="O5" s="655"/>
      <c r="P5" s="105">
        <f ca="1">K10/L10</f>
        <v>0.33646929639498285</v>
      </c>
      <c r="Q5" s="81"/>
      <c r="R5" s="82"/>
      <c r="S5" s="537" t="s">
        <v>456</v>
      </c>
      <c r="T5" s="538">
        <f ca="1">K5/T4</f>
        <v>2.9379474940334127</v>
      </c>
      <c r="U5" s="83"/>
      <c r="V5" s="39" t="s">
        <v>359</v>
      </c>
      <c r="W5" s="40" t="s">
        <v>360</v>
      </c>
      <c r="X5" s="42"/>
      <c r="Y5" s="43"/>
      <c r="AC5" s="337" t="s">
        <v>18</v>
      </c>
      <c r="AE5" s="338">
        <f ca="1">K5</f>
        <v>3693</v>
      </c>
      <c r="AI5" s="339">
        <f ca="1">(SUMIF('SG01'!$AB:$AB,$AC5,'SG01'!AH:AH)*SG01_+SUMIF('SG02'!$AB:$AB,$AC5,'SG02'!AH:AH)*SG02_+SUMIF('SG03'!$AB:$AB,$AC5,'SG03'!AH:AH)*SG03_+SUMIF('SG04'!$AB:$AB,$AC5,'SG04'!AH:AH)*SG04_+SUMIF('SG05'!$AB:$AB,$AC5,'SG05'!AH:AH)*SG05_+SUMIF('SG06'!$AB:$AB,$AC5,'SG06'!AH:AH)*SG06_+SUMIF('SG07'!$AB:$AB,$AC5,'SG07'!AH:AH)*SG07_+SUMIF('SG08'!$AB:$AB,$AC5,'SG08'!AH:AH)*SG08_+SUMIF('SG09'!$AB:$AB,$AC5,'SG09'!AH:AH)*SG09_+SUMIF('SG10'!$AB:$AB,$AC5,'SG10'!AH:AH)*SG10_+SUMIF('SG11'!$AB:$AB,$AC5,'SG11'!AH:AH)*SG11_+SUMIF('SG12'!$AB:$AB,$AC5,'SG12'!AH:AH)*SG12_+SUMIF('SG13'!$AB:$AB,$AC5,'SG13'!AH:AH)*SG13_+SUMIF('SG14'!$AB:$AB,$AC5,'SG14'!AH:AH)*SG14_+SUMIF('SG15'!$AB:$AB,$AC5,'SG15'!AH:AH)*SG15_)</f>
        <v>3521</v>
      </c>
    </row>
    <row r="6" spans="1:39" ht="19.149999999999999" customHeight="1" x14ac:dyDescent="0.35">
      <c r="A6" s="76"/>
      <c r="B6" s="76">
        <v>1</v>
      </c>
      <c r="C6" s="76">
        <v>2</v>
      </c>
      <c r="D6" s="76">
        <v>3</v>
      </c>
      <c r="E6" s="76">
        <v>4</v>
      </c>
      <c r="F6" s="76">
        <v>5</v>
      </c>
      <c r="G6" s="76">
        <v>6</v>
      </c>
      <c r="H6" s="76">
        <v>7</v>
      </c>
      <c r="I6" s="243">
        <v>8</v>
      </c>
      <c r="J6" s="76">
        <v>9</v>
      </c>
      <c r="K6" s="76">
        <v>10</v>
      </c>
      <c r="L6" s="76">
        <v>11</v>
      </c>
      <c r="M6" s="76">
        <v>12</v>
      </c>
      <c r="N6" s="76">
        <v>13</v>
      </c>
      <c r="O6" s="76">
        <v>14</v>
      </c>
      <c r="P6" s="76">
        <v>15</v>
      </c>
      <c r="Q6" s="76">
        <v>16</v>
      </c>
      <c r="R6" s="76">
        <v>17</v>
      </c>
      <c r="S6" s="366">
        <v>18</v>
      </c>
      <c r="T6" s="366">
        <v>19</v>
      </c>
      <c r="U6" s="76">
        <v>18</v>
      </c>
      <c r="V6" s="76">
        <v>19</v>
      </c>
      <c r="W6" s="76">
        <v>20</v>
      </c>
      <c r="X6" s="76">
        <v>21</v>
      </c>
      <c r="AB6" s="275"/>
      <c r="AC6" s="275"/>
      <c r="AD6" s="631" t="str">
        <f>'SG01'!AC6</f>
        <v>01.09.2026-&gt;30.09.2026</v>
      </c>
      <c r="AE6" s="631"/>
      <c r="AF6" s="631"/>
      <c r="AG6" s="631"/>
      <c r="AH6" s="631" t="str">
        <f>'SG01'!AG6</f>
        <v>01.09.2026-&gt;27.09.2026</v>
      </c>
      <c r="AI6" s="631"/>
      <c r="AJ6" s="631"/>
      <c r="AK6" s="631"/>
      <c r="AL6" s="342"/>
    </row>
    <row r="7" spans="1:39" ht="29.5" customHeight="1" x14ac:dyDescent="0.35">
      <c r="A7" s="100"/>
      <c r="B7" s="632" t="s">
        <v>3</v>
      </c>
      <c r="C7" s="634" t="s">
        <v>4</v>
      </c>
      <c r="D7" s="634" t="s">
        <v>414</v>
      </c>
      <c r="E7" s="635" t="s">
        <v>5</v>
      </c>
      <c r="F7" s="106" t="s">
        <v>6</v>
      </c>
      <c r="G7" s="106" t="s">
        <v>7</v>
      </c>
      <c r="H7" s="106" t="s">
        <v>8</v>
      </c>
      <c r="I7" s="244" t="s">
        <v>9</v>
      </c>
      <c r="J7" s="106"/>
      <c r="K7" s="634" t="s">
        <v>10</v>
      </c>
      <c r="L7" s="634" t="s">
        <v>22</v>
      </c>
      <c r="M7" s="634" t="s">
        <v>23</v>
      </c>
      <c r="N7" s="648" t="s">
        <v>24</v>
      </c>
      <c r="O7" s="639" t="s">
        <v>25</v>
      </c>
      <c r="P7" s="639" t="s">
        <v>26</v>
      </c>
      <c r="Q7" s="639" t="s">
        <v>27</v>
      </c>
      <c r="R7" s="640" t="s">
        <v>11</v>
      </c>
      <c r="S7" s="643" t="s">
        <v>457</v>
      </c>
      <c r="T7" s="645" t="s">
        <v>458</v>
      </c>
      <c r="U7" s="110"/>
      <c r="V7" s="641" t="s">
        <v>361</v>
      </c>
      <c r="W7" s="641" t="s">
        <v>362</v>
      </c>
      <c r="X7" s="641" t="s">
        <v>363</v>
      </c>
      <c r="Y7" s="21"/>
      <c r="AB7" s="636" t="s">
        <v>442</v>
      </c>
      <c r="AC7" s="638" t="s">
        <v>443</v>
      </c>
      <c r="AD7" s="351" t="s">
        <v>22</v>
      </c>
      <c r="AE7" s="352" t="s">
        <v>20</v>
      </c>
      <c r="AF7" s="352" t="s">
        <v>15</v>
      </c>
      <c r="AG7" s="353" t="s">
        <v>11</v>
      </c>
      <c r="AH7" s="360" t="s">
        <v>22</v>
      </c>
      <c r="AI7" s="361" t="s">
        <v>20</v>
      </c>
      <c r="AJ7" s="361" t="s">
        <v>15</v>
      </c>
      <c r="AK7" s="362" t="s">
        <v>11</v>
      </c>
      <c r="AL7" s="347" t="s">
        <v>444</v>
      </c>
      <c r="AM7" s="348" t="s">
        <v>445</v>
      </c>
    </row>
    <row r="8" spans="1:39" ht="19.5" customHeight="1" x14ac:dyDescent="0.35">
      <c r="A8" s="111"/>
      <c r="B8" s="633"/>
      <c r="C8" s="633"/>
      <c r="D8" s="633"/>
      <c r="E8" s="633"/>
      <c r="F8" s="107" t="s">
        <v>12</v>
      </c>
      <c r="G8" s="107" t="s">
        <v>13</v>
      </c>
      <c r="H8" s="107" t="s">
        <v>14</v>
      </c>
      <c r="I8" s="245" t="s">
        <v>15</v>
      </c>
      <c r="J8" s="113"/>
      <c r="K8" s="633"/>
      <c r="L8" s="633"/>
      <c r="M8" s="633"/>
      <c r="N8" s="633"/>
      <c r="O8" s="633"/>
      <c r="P8" s="633"/>
      <c r="Q8" s="633"/>
      <c r="R8" s="633"/>
      <c r="S8" s="644"/>
      <c r="T8" s="646"/>
      <c r="U8" s="114"/>
      <c r="V8" s="642"/>
      <c r="W8" s="642"/>
      <c r="X8" s="642"/>
      <c r="Y8" s="24"/>
      <c r="AB8" s="637"/>
      <c r="AC8" s="637"/>
      <c r="AD8" s="333">
        <f t="shared" ref="AD8:AM8" ca="1" si="0">SUM(AD9:AD43)</f>
        <v>1471703000</v>
      </c>
      <c r="AE8" s="333">
        <f t="shared" ca="1" si="0"/>
        <v>398511.50825886818</v>
      </c>
      <c r="AF8" s="333">
        <f t="shared" ca="1" si="0"/>
        <v>13974</v>
      </c>
      <c r="AG8" s="333">
        <f t="shared" ca="1" si="0"/>
        <v>378.39155158407794</v>
      </c>
      <c r="AH8" s="359">
        <f t="shared" ca="1" si="0"/>
        <v>1403621000</v>
      </c>
      <c r="AI8" s="359">
        <f t="shared" ca="1" si="0"/>
        <v>398642.7151377449</v>
      </c>
      <c r="AJ8" s="359">
        <f t="shared" ca="1" si="0"/>
        <v>13393</v>
      </c>
      <c r="AK8" s="359">
        <f t="shared" ca="1" si="0"/>
        <v>380.3748934961659</v>
      </c>
      <c r="AL8" s="350">
        <f t="shared" ca="1" si="0"/>
        <v>-131.20687887683954</v>
      </c>
      <c r="AM8" s="349">
        <f t="shared" ca="1" si="0"/>
        <v>-1.9833419120878952</v>
      </c>
    </row>
    <row r="9" spans="1:39" ht="19.5" customHeight="1" x14ac:dyDescent="0.35">
      <c r="A9" s="100"/>
      <c r="B9" s="106"/>
      <c r="C9" s="116"/>
      <c r="D9" s="106"/>
      <c r="E9" s="106"/>
      <c r="F9" s="106"/>
      <c r="G9" s="106"/>
      <c r="H9" s="106"/>
      <c r="I9" s="246"/>
      <c r="J9" s="118"/>
      <c r="K9" s="118"/>
      <c r="L9" s="118"/>
      <c r="M9" s="118"/>
      <c r="N9" s="109"/>
      <c r="O9" s="119"/>
      <c r="P9" s="119"/>
      <c r="Q9" s="119"/>
      <c r="R9" s="120"/>
      <c r="S9" s="539"/>
      <c r="T9" s="540"/>
      <c r="U9" s="121"/>
      <c r="V9" s="29"/>
      <c r="W9" s="29"/>
      <c r="X9" s="29"/>
      <c r="Y9" s="29"/>
      <c r="AB9" s="330" t="s">
        <v>446</v>
      </c>
      <c r="AC9" s="335" t="s">
        <v>447</v>
      </c>
      <c r="AD9" s="355">
        <f ca="1">VLOOKUP(AB9,$B:$R,11,0)</f>
        <v>0</v>
      </c>
      <c r="AE9" s="355">
        <f ca="1">AD9/AE$5</f>
        <v>0</v>
      </c>
      <c r="AF9" s="355">
        <f t="shared" ref="AF9:AF20" ca="1" si="1">VLOOKUP(AB9,$B:$R,8,0)</f>
        <v>1</v>
      </c>
      <c r="AG9" s="356">
        <f ca="1">AF9/$AE$5*100</f>
        <v>2.7078256160303276E-2</v>
      </c>
      <c r="AH9" s="357">
        <f ca="1">(SUMIF('SG01'!$AA:$AA,$AB9,'SG01'!AG:AG)*SG01_+SUMIF('SG02'!$AA:$AA,$AB9,'SG02'!AG:AG)*SG02_+SUMIF('SG03'!$AA:$AA,$AB9,'SG03'!AG:AG)*SG03_+SUMIF('SG04'!$AA:$AA,$AB9,'SG04'!AG:AG)*SG04_+SUMIF('SG05'!$AA:$AA,$AB9,'SG05'!AG:AG)*SG05_+SUMIF('SG06'!$AA:$AA,$AB9,'SG06'!AG:AG)*SG06_+SUMIF('SG07'!$AA:$AA,$AB9,'SG07'!AG:AG)*SG07_+SUMIF('SG08'!$AA:$AA,$AB9,'SG08'!AG:AG)*SG08_+SUMIF('SG09'!$AA:$AA,$AB9,'SG09'!AG:AG)*SG09_+SUMIF('SG10'!$AA:$AA,$AB9,'SG10'!AG:AG)*SG10_+SUMIF('SG11'!$AA:$AA,$AB9,'SG11'!AG:AG)*SG11_+SUMIF('SG12'!$AA:$AA,$AB9,'SG12'!AG:AG)*SG12_+SUMIF('SG13'!$AA:$AA,$AB9,'SG13'!AG:AG)*SG13_+SUMIF('SG14'!$AA:$AA,$AB9,'SG14'!AG:AG)*SG14_+SUMIF('SG15'!$AA:$AA,$AB9,'SG15'!AG:AG)*SG15_)</f>
        <v>0</v>
      </c>
      <c r="AI9" s="357">
        <f ca="1">AH9/AI$5</f>
        <v>0</v>
      </c>
      <c r="AJ9" s="357">
        <f ca="1">(SUMIF('SG01'!$AA:$AA,$AB9,'SG01'!AI:AI)*SG01_+SUMIF('SG02'!$AA:$AA,$AB9,'SG02'!AI:AI)*SG02_+SUMIF('SG03'!$AA:$AA,$AB9,'SG03'!AI:AI)*SG03_+SUMIF('SG04'!$AA:$AA,$AB9,'SG04'!AI:AI)*SG04_+SUMIF('SG05'!$AA:$AA,$AB9,'SG05'!AI:AI)*SG05_+SUMIF('SG06'!$AA:$AA,$AB9,'SG06'!AI:AI)*SG06_+SUMIF('SG07'!$AA:$AA,$AB9,'SG07'!AI:AI)*SG07_+SUMIF('SG08'!$AA:$AA,$AB9,'SG08'!AI:AI)*SG08_+SUMIF('SG09'!$AA:$AA,$AB9,'SG09'!AI:AI)*SG09_+SUMIF('SG10'!$AA:$AA,$AB9,'SG10'!AI:AI)*SG10_+SUMIF('SG11'!$AA:$AA,$AB9,'SG11'!AI:AI)*SG11_+SUMIF('SG12'!$AA:$AA,$AB9,'SG12'!AI:AI)*SG12_+SUMIF('SG13'!$AA:$AA,$AB9,'SG13'!AI:AI)*SG13_+SUMIF('SG14'!$AA:$AA,$AB9,'SG14'!AI:AI)*SG14_+SUMIF('SG15'!$AA:$AA,$AB9,'SG15'!AI:AI)*SG15_)</f>
        <v>1</v>
      </c>
      <c r="AK9" s="358">
        <f ca="1">AJ9/$AI$5*100</f>
        <v>2.8401022436807723E-2</v>
      </c>
      <c r="AL9" s="354">
        <f ca="1">AE9-AI9</f>
        <v>0</v>
      </c>
      <c r="AM9" s="354">
        <f ca="1">AG9-AK9</f>
        <v>-1.3227662765044473E-3</v>
      </c>
    </row>
    <row r="10" spans="1:39" ht="19.5" customHeight="1" x14ac:dyDescent="0.35">
      <c r="A10" s="100"/>
      <c r="B10" s="267" t="s">
        <v>16</v>
      </c>
      <c r="C10" s="267"/>
      <c r="D10" s="267"/>
      <c r="E10" s="268"/>
      <c r="F10" s="270"/>
      <c r="G10" s="269"/>
      <c r="H10" s="269"/>
      <c r="I10" s="267">
        <f ca="1">SUBTOTAL(9,I12:I155)</f>
        <v>16052</v>
      </c>
      <c r="J10" s="267"/>
      <c r="K10" s="267">
        <f ca="1">SUBTOTAL(9,K12:K156)</f>
        <v>521716841.6260938</v>
      </c>
      <c r="L10" s="267">
        <f ca="1">SUBTOTAL(9,L12:L156)</f>
        <v>1550563000</v>
      </c>
      <c r="M10" s="267">
        <f ca="1">SUBTOTAL(9,M12:M156)</f>
        <v>1028846158.3739067</v>
      </c>
      <c r="N10" s="235">
        <f ca="1">K10/L10</f>
        <v>0.33646929639498285</v>
      </c>
      <c r="O10" s="236">
        <f ca="1">L10/L$10</f>
        <v>1</v>
      </c>
      <c r="P10" s="236">
        <f ca="1">M10/M$10</f>
        <v>1</v>
      </c>
      <c r="Q10" s="236">
        <f ca="1">I10/I$10</f>
        <v>1</v>
      </c>
      <c r="R10" s="237">
        <f ca="1">I10/$K$5*100</f>
        <v>434.66016788518817</v>
      </c>
      <c r="S10" s="541">
        <f ca="1">R10*T$5</f>
        <v>1277.008750994431</v>
      </c>
      <c r="T10" s="542">
        <f ca="1">SUBTOTAL(9,T12:T342)</f>
        <v>124329594.27207634</v>
      </c>
      <c r="U10" s="121"/>
      <c r="V10" s="649" t="s">
        <v>364</v>
      </c>
      <c r="W10" s="649"/>
      <c r="X10" s="238">
        <v>100</v>
      </c>
      <c r="Y10" s="31"/>
      <c r="AB10" s="330" t="s">
        <v>474</v>
      </c>
      <c r="AC10" s="336" t="s">
        <v>466</v>
      </c>
      <c r="AD10" s="355">
        <f t="shared" ref="AD10:AD20" ca="1" si="2">VLOOKUP(AB10,$B:$M,11,0)</f>
        <v>51978000</v>
      </c>
      <c r="AE10" s="355">
        <f ca="1">AD10/AE$5</f>
        <v>14074.735987002437</v>
      </c>
      <c r="AF10" s="355">
        <f t="shared" ca="1" si="1"/>
        <v>633</v>
      </c>
      <c r="AG10" s="356">
        <f t="shared" ref="AG10:AG15" ca="1" si="3">AF10/$AE$5*100</f>
        <v>17.140536149471973</v>
      </c>
      <c r="AH10" s="357">
        <f ca="1">(SUMIF('SG01'!$AA:$AA,$AB10,'SG01'!AG:AG)*SG01_+SUMIF('SG02'!$AA:$AA,$AB10,'SG02'!AG:AG)*SG02_+SUMIF('SG03'!$AA:$AA,$AB10,'SG03'!AG:AG)*SG03_+SUMIF('SG04'!$AA:$AA,$AB10,'SG04'!AG:AG)*SG04_+SUMIF('SG05'!$AA:$AA,$AB10,'SG05'!AG:AG)*SG05_+SUMIF('SG06'!$AA:$AA,$AB10,'SG06'!AG:AG)*SG06_+SUMIF('SG07'!$AA:$AA,$AB10,'SG07'!AG:AG)*SG07_+SUMIF('SG08'!$AA:$AA,$AB10,'SG08'!AG:AG)*SG08_+SUMIF('SG09'!$AA:$AA,$AB10,'SG09'!AG:AG)*SG09_+SUMIF('SG10'!$AA:$AA,$AB10,'SG10'!AG:AG)*SG10_+SUMIF('SG11'!$AA:$AA,$AB10,'SG11'!AG:AG)*SG11_+SUMIF('SG12'!$AA:$AA,$AB10,'SG12'!AG:AG)*SG12_+SUMIF('SG13'!$AA:$AA,$AB10,'SG13'!AG:AG)*SG13_+SUMIF('SG14'!$AA:$AA,$AB10,'SG14'!AG:AG)*SG14_+SUMIF('SG15'!$AA:$AA,$AB10,'SG15'!AG:AG)*SG15_)</f>
        <v>50538000</v>
      </c>
      <c r="AI10" s="357">
        <f ca="1">AH10/AI$5</f>
        <v>14353.308719113887</v>
      </c>
      <c r="AJ10" s="357">
        <f ca="1">(SUMIF('SG01'!$AA:$AA,$AB10,'SG01'!AI:AI)*SG01_+SUMIF('SG02'!$AA:$AA,$AB10,'SG02'!AI:AI)*SG02_+SUMIF('SG03'!$AA:$AA,$AB10,'SG03'!AI:AI)*SG03_+SUMIF('SG04'!$AA:$AA,$AB10,'SG04'!AI:AI)*SG04_+SUMIF('SG05'!$AA:$AA,$AB10,'SG05'!AI:AI)*SG05_+SUMIF('SG06'!$AA:$AA,$AB10,'SG06'!AI:AI)*SG06_+SUMIF('SG07'!$AA:$AA,$AB10,'SG07'!AI:AI)*SG07_+SUMIF('SG08'!$AA:$AA,$AB10,'SG08'!AI:AI)*SG08_+SUMIF('SG09'!$AA:$AA,$AB10,'SG09'!AI:AI)*SG09_+SUMIF('SG10'!$AA:$AA,$AB10,'SG10'!AI:AI)*SG10_+SUMIF('SG11'!$AA:$AA,$AB10,'SG11'!AI:AI)*SG11_+SUMIF('SG12'!$AA:$AA,$AB10,'SG12'!AI:AI)*SG12_+SUMIF('SG13'!$AA:$AA,$AB10,'SG13'!AI:AI)*SG13_+SUMIF('SG14'!$AA:$AA,$AB10,'SG14'!AI:AI)*SG14_+SUMIF('SG15'!$AA:$AA,$AB10,'SG15'!AI:AI)*SG15_)</f>
        <v>613</v>
      </c>
      <c r="AK10" s="358">
        <f t="shared" ref="AK10:AK15" ca="1" si="4">AJ10/$AI$5*100</f>
        <v>17.409826753763134</v>
      </c>
      <c r="AL10" s="354">
        <f ca="1">AE10-AI10</f>
        <v>-278.57273211145002</v>
      </c>
      <c r="AM10" s="354">
        <f t="shared" ref="AM10:AM15" ca="1" si="5">AG10-AK10</f>
        <v>-0.26929060429116092</v>
      </c>
    </row>
    <row r="11" spans="1:39" ht="19.5" customHeight="1" x14ac:dyDescent="0.35">
      <c r="A11" s="100"/>
      <c r="B11" s="220"/>
      <c r="C11" s="221"/>
      <c r="D11" s="220"/>
      <c r="E11" s="222"/>
      <c r="F11" s="223"/>
      <c r="G11" s="224"/>
      <c r="H11" s="224"/>
      <c r="I11" s="247"/>
      <c r="J11" s="220"/>
      <c r="K11" s="220"/>
      <c r="L11" s="220"/>
      <c r="M11" s="220"/>
      <c r="N11" s="225"/>
      <c r="O11" s="226"/>
      <c r="P11" s="226"/>
      <c r="Q11" s="226"/>
      <c r="R11" s="227"/>
      <c r="S11" s="422">
        <f t="shared" ref="S11" ca="1" si="6">R11*T$5</f>
        <v>0</v>
      </c>
      <c r="T11" s="422">
        <f t="shared" ref="T11" ca="1" si="7">IFERROR(S11*G11,0)</f>
        <v>0</v>
      </c>
      <c r="U11" s="121"/>
      <c r="V11" s="31"/>
      <c r="W11" s="31"/>
      <c r="X11" s="44"/>
      <c r="Y11" s="31"/>
      <c r="AB11" s="330" t="s">
        <v>475</v>
      </c>
      <c r="AC11" s="336" t="s">
        <v>476</v>
      </c>
      <c r="AD11" s="355">
        <f t="shared" ca="1" si="2"/>
        <v>13427000</v>
      </c>
      <c r="AE11" s="355">
        <f t="shared" ref="AE11:AE15" ca="1" si="8">AD11/AE$5</f>
        <v>3635.7974546439209</v>
      </c>
      <c r="AF11" s="355">
        <f t="shared" ca="1" si="1"/>
        <v>755</v>
      </c>
      <c r="AG11" s="356">
        <f t="shared" ca="1" si="3"/>
        <v>20.444083401028973</v>
      </c>
      <c r="AH11" s="357">
        <f ca="1">(SUMIF('SG01'!$AA:$AA,$AB11,'SG01'!AG:AG)*SG01_+SUMIF('SG02'!$AA:$AA,$AB11,'SG02'!AG:AG)*SG02_+SUMIF('SG03'!$AA:$AA,$AB11,'SG03'!AG:AG)*SG03_+SUMIF('SG04'!$AA:$AA,$AB11,'SG04'!AG:AG)*SG04_+SUMIF('SG05'!$AA:$AA,$AB11,'SG05'!AG:AG)*SG05_+SUMIF('SG06'!$AA:$AA,$AB11,'SG06'!AG:AG)*SG06_+SUMIF('SG07'!$AA:$AA,$AB11,'SG07'!AG:AG)*SG07_+SUMIF('SG08'!$AA:$AA,$AB11,'SG08'!AG:AG)*SG08_+SUMIF('SG09'!$AA:$AA,$AB11,'SG09'!AG:AG)*SG09_+SUMIF('SG10'!$AA:$AA,$AB11,'SG10'!AG:AG)*SG10_+SUMIF('SG11'!$AA:$AA,$AB11,'SG11'!AG:AG)*SG11_+SUMIF('SG12'!$AA:$AA,$AB11,'SG12'!AG:AG)*SG12_+SUMIF('SG13'!$AA:$AA,$AB11,'SG13'!AG:AG)*SG13_+SUMIF('SG14'!$AA:$AA,$AB11,'SG14'!AG:AG)*SG14_+SUMIF('SG15'!$AA:$AA,$AB11,'SG15'!AG:AG)*SG15_)</f>
        <v>13055000</v>
      </c>
      <c r="AI11" s="357">
        <f t="shared" ref="AI11:AI15" ca="1" si="9">AH11/AI$5</f>
        <v>3707.7534791252483</v>
      </c>
      <c r="AJ11" s="357">
        <f ca="1">(SUMIF('SG01'!$AA:$AA,$AB11,'SG01'!AI:AI)*SG01_+SUMIF('SG02'!$AA:$AA,$AB11,'SG02'!AI:AI)*SG02_+SUMIF('SG03'!$AA:$AA,$AB11,'SG03'!AI:AI)*SG03_+SUMIF('SG04'!$AA:$AA,$AB11,'SG04'!AI:AI)*SG04_+SUMIF('SG05'!$AA:$AA,$AB11,'SG05'!AI:AI)*SG05_+SUMIF('SG06'!$AA:$AA,$AB11,'SG06'!AI:AI)*SG06_+SUMIF('SG07'!$AA:$AA,$AB11,'SG07'!AI:AI)*SG07_+SUMIF('SG08'!$AA:$AA,$AB11,'SG08'!AI:AI)*SG08_+SUMIF('SG09'!$AA:$AA,$AB11,'SG09'!AI:AI)*SG09_+SUMIF('SG10'!$AA:$AA,$AB11,'SG10'!AI:AI)*SG10_+SUMIF('SG11'!$AA:$AA,$AB11,'SG11'!AI:AI)*SG11_+SUMIF('SG12'!$AA:$AA,$AB11,'SG12'!AI:AI)*SG12_+SUMIF('SG13'!$AA:$AA,$AB11,'SG13'!AI:AI)*SG13_+SUMIF('SG14'!$AA:$AA,$AB11,'SG14'!AI:AI)*SG14_+SUMIF('SG15'!$AA:$AA,$AB11,'SG15'!AI:AI)*SG15_)</f>
        <v>733</v>
      </c>
      <c r="AK11" s="358">
        <f t="shared" ca="1" si="4"/>
        <v>20.817949446180062</v>
      </c>
      <c r="AL11" s="354">
        <f t="shared" ref="AL11:AL15" ca="1" si="10">AE11-AI11</f>
        <v>-71.956024481327404</v>
      </c>
      <c r="AM11" s="354">
        <f t="shared" ca="1" si="5"/>
        <v>-0.37386604515108957</v>
      </c>
    </row>
    <row r="12" spans="1:39" ht="19.5" customHeight="1" x14ac:dyDescent="0.35">
      <c r="A12" s="100"/>
      <c r="B12" s="228" t="s">
        <v>28</v>
      </c>
      <c r="C12" s="229"/>
      <c r="D12" s="229"/>
      <c r="E12" s="230"/>
      <c r="F12" s="231"/>
      <c r="G12" s="232"/>
      <c r="H12" s="230"/>
      <c r="I12" s="233">
        <f ca="1">SUBTOTAL(9,I14:I112)</f>
        <v>8244</v>
      </c>
      <c r="J12" s="234"/>
      <c r="K12" s="233">
        <f ca="1">SUBTOTAL(9,K14:K112)</f>
        <v>463077384.85277188</v>
      </c>
      <c r="L12" s="233">
        <f ca="1">SUBTOTAL(9,L14:L112)</f>
        <v>1403263000</v>
      </c>
      <c r="M12" s="233">
        <f ca="1">SUBTOTAL(9,M14:M112)</f>
        <v>940185615.14722824</v>
      </c>
      <c r="N12" s="235">
        <f ca="1">K12/L12</f>
        <v>0.33000042390683137</v>
      </c>
      <c r="O12" s="236">
        <f ca="1">L12/L$10</f>
        <v>0.90500224757072112</v>
      </c>
      <c r="P12" s="236">
        <f ca="1">M12/M$10</f>
        <v>0.91382526677573772</v>
      </c>
      <c r="Q12" s="236">
        <f ca="1">I12/I$10</f>
        <v>0.51358086219785692</v>
      </c>
      <c r="R12" s="237">
        <f ca="1">I12/$K$5*100</f>
        <v>223.23314378554019</v>
      </c>
      <c r="S12" s="452">
        <f ca="1">R12*T$5</f>
        <v>655.84725536992835</v>
      </c>
      <c r="T12" s="452">
        <f ca="1">IFERROR(S12*G12,0)</f>
        <v>0</v>
      </c>
      <c r="U12" s="121"/>
      <c r="V12" s="649" t="s">
        <v>365</v>
      </c>
      <c r="W12" s="649"/>
      <c r="X12" s="239">
        <f ca="1">3000000*SUM(Control!$B$2:$B$11)</f>
        <v>3000000</v>
      </c>
      <c r="Y12" s="31"/>
      <c r="AB12" s="330" t="s">
        <v>477</v>
      </c>
      <c r="AC12" s="336" t="s">
        <v>478</v>
      </c>
      <c r="AD12" s="355">
        <f t="shared" ca="1" si="2"/>
        <v>66828000</v>
      </c>
      <c r="AE12" s="355">
        <f t="shared" ca="1" si="8"/>
        <v>18095.857026807473</v>
      </c>
      <c r="AF12" s="355">
        <f t="shared" ca="1" si="1"/>
        <v>1651</v>
      </c>
      <c r="AG12" s="356">
        <f t="shared" ca="1" si="3"/>
        <v>44.706200920660713</v>
      </c>
      <c r="AH12" s="357">
        <f ca="1">(SUMIF('SG01'!$AA:$AA,$AB12,'SG01'!AG:AG)*SG01_+SUMIF('SG02'!$AA:$AA,$AB12,'SG02'!AG:AG)*SG02_+SUMIF('SG03'!$AA:$AA,$AB12,'SG03'!AG:AG)*SG03_+SUMIF('SG04'!$AA:$AA,$AB12,'SG04'!AG:AG)*SG04_+SUMIF('SG05'!$AA:$AA,$AB12,'SG05'!AG:AG)*SG05_+SUMIF('SG06'!$AA:$AA,$AB12,'SG06'!AG:AG)*SG06_+SUMIF('SG07'!$AA:$AA,$AB12,'SG07'!AG:AG)*SG07_+SUMIF('SG08'!$AA:$AA,$AB12,'SG08'!AG:AG)*SG08_+SUMIF('SG09'!$AA:$AA,$AB12,'SG09'!AG:AG)*SG09_+SUMIF('SG10'!$AA:$AA,$AB12,'SG10'!AG:AG)*SG10_+SUMIF('SG11'!$AA:$AA,$AB12,'SG11'!AG:AG)*SG11_+SUMIF('SG12'!$AA:$AA,$AB12,'SG12'!AG:AG)*SG12_+SUMIF('SG13'!$AA:$AA,$AB12,'SG13'!AG:AG)*SG13_+SUMIF('SG14'!$AA:$AA,$AB12,'SG14'!AG:AG)*SG14_+SUMIF('SG15'!$AA:$AA,$AB12,'SG15'!AG:AG)*SG15_)</f>
        <v>64692000</v>
      </c>
      <c r="AI12" s="357">
        <f t="shared" ca="1" si="9"/>
        <v>18373.189434819655</v>
      </c>
      <c r="AJ12" s="357">
        <f ca="1">(SUMIF('SG01'!$AA:$AA,$AB12,'SG01'!AI:AI)*SG01_+SUMIF('SG02'!$AA:$AA,$AB12,'SG02'!AI:AI)*SG02_+SUMIF('SG03'!$AA:$AA,$AB12,'SG03'!AI:AI)*SG03_+SUMIF('SG04'!$AA:$AA,$AB12,'SG04'!AI:AI)*SG04_+SUMIF('SG05'!$AA:$AA,$AB12,'SG05'!AI:AI)*SG05_+SUMIF('SG06'!$AA:$AA,$AB12,'SG06'!AI:AI)*SG06_+SUMIF('SG07'!$AA:$AA,$AB12,'SG07'!AI:AI)*SG07_+SUMIF('SG08'!$AA:$AA,$AB12,'SG08'!AI:AI)*SG08_+SUMIF('SG09'!$AA:$AA,$AB12,'SG09'!AI:AI)*SG09_+SUMIF('SG10'!$AA:$AA,$AB12,'SG10'!AI:AI)*SG10_+SUMIF('SG11'!$AA:$AA,$AB12,'SG11'!AI:AI)*SG11_+SUMIF('SG12'!$AA:$AA,$AB12,'SG12'!AI:AI)*SG12_+SUMIF('SG13'!$AA:$AA,$AB12,'SG13'!AI:AI)*SG13_+SUMIF('SG14'!$AA:$AA,$AB12,'SG14'!AI:AI)*SG14_+SUMIF('SG15'!$AA:$AA,$AB12,'SG15'!AI:AI)*SG15_)</f>
        <v>1594</v>
      </c>
      <c r="AK12" s="358">
        <f t="shared" ca="1" si="4"/>
        <v>45.271229764271517</v>
      </c>
      <c r="AL12" s="354">
        <f t="shared" ca="1" si="10"/>
        <v>-277.33240801218199</v>
      </c>
      <c r="AM12" s="354">
        <f t="shared" ca="1" si="5"/>
        <v>-0.56502884361080419</v>
      </c>
    </row>
    <row r="13" spans="1:39" ht="19.5" customHeight="1" x14ac:dyDescent="0.35">
      <c r="A13" s="100"/>
      <c r="B13" s="282"/>
      <c r="C13" s="283"/>
      <c r="D13" s="282"/>
      <c r="E13" s="284"/>
      <c r="F13" s="285"/>
      <c r="G13" s="286"/>
      <c r="H13" s="286"/>
      <c r="I13" s="287"/>
      <c r="J13" s="282"/>
      <c r="K13" s="282"/>
      <c r="L13" s="282"/>
      <c r="M13" s="282"/>
      <c r="N13" s="288"/>
      <c r="O13" s="289"/>
      <c r="P13" s="289"/>
      <c r="Q13" s="289"/>
      <c r="R13" s="290"/>
      <c r="S13" s="422"/>
      <c r="T13" s="422"/>
      <c r="U13" s="121"/>
      <c r="V13" s="31"/>
      <c r="W13" s="31"/>
      <c r="X13" s="31"/>
      <c r="Y13" s="31"/>
      <c r="AB13" s="330" t="s">
        <v>479</v>
      </c>
      <c r="AC13" s="336" t="s">
        <v>480</v>
      </c>
      <c r="AD13" s="355">
        <f t="shared" ca="1" si="2"/>
        <v>346497000</v>
      </c>
      <c r="AE13" s="355">
        <f t="shared" ca="1" si="8"/>
        <v>93825.345247766047</v>
      </c>
      <c r="AF13" s="355">
        <f t="shared" ca="1" si="1"/>
        <v>1717</v>
      </c>
      <c r="AG13" s="356">
        <f t="shared" ca="1" si="3"/>
        <v>46.493365827240723</v>
      </c>
      <c r="AH13" s="357">
        <f ca="1">(SUMIF('SG01'!$AA:$AA,$AB13,'SG01'!AG:AG)*SG01_+SUMIF('SG02'!$AA:$AA,$AB13,'SG02'!AG:AG)*SG02_+SUMIF('SG03'!$AA:$AA,$AB13,'SG03'!AG:AG)*SG03_+SUMIF('SG04'!$AA:$AA,$AB13,'SG04'!AG:AG)*SG04_+SUMIF('SG05'!$AA:$AA,$AB13,'SG05'!AG:AG)*SG05_+SUMIF('SG06'!$AA:$AA,$AB13,'SG06'!AG:AG)*SG06_+SUMIF('SG07'!$AA:$AA,$AB13,'SG07'!AG:AG)*SG07_+SUMIF('SG08'!$AA:$AA,$AB13,'SG08'!AG:AG)*SG08_+SUMIF('SG09'!$AA:$AA,$AB13,'SG09'!AG:AG)*SG09_+SUMIF('SG10'!$AA:$AA,$AB13,'SG10'!AG:AG)*SG10_+SUMIF('SG11'!$AA:$AA,$AB13,'SG11'!AG:AG)*SG11_+SUMIF('SG12'!$AA:$AA,$AB13,'SG12'!AG:AG)*SG12_+SUMIF('SG13'!$AA:$AA,$AB13,'SG13'!AG:AG)*SG13_+SUMIF('SG14'!$AA:$AA,$AB13,'SG14'!AG:AG)*SG14_+SUMIF('SG15'!$AA:$AA,$AB13,'SG15'!AG:AG)*SG15_)</f>
        <v>334514000</v>
      </c>
      <c r="AI13" s="357">
        <f t="shared" ca="1" si="9"/>
        <v>95005.396194262998</v>
      </c>
      <c r="AJ13" s="357">
        <f ca="1">(SUMIF('SG01'!$AA:$AA,$AB13,'SG01'!AI:AI)*SG01_+SUMIF('SG02'!$AA:$AA,$AB13,'SG02'!AI:AI)*SG02_+SUMIF('SG03'!$AA:$AA,$AB13,'SG03'!AI:AI)*SG03_+SUMIF('SG04'!$AA:$AA,$AB13,'SG04'!AI:AI)*SG04_+SUMIF('SG05'!$AA:$AA,$AB13,'SG05'!AI:AI)*SG05_+SUMIF('SG06'!$AA:$AA,$AB13,'SG06'!AI:AI)*SG06_+SUMIF('SG07'!$AA:$AA,$AB13,'SG07'!AI:AI)*SG07_+SUMIF('SG08'!$AA:$AA,$AB13,'SG08'!AI:AI)*SG08_+SUMIF('SG09'!$AA:$AA,$AB13,'SG09'!AI:AI)*SG09_+SUMIF('SG10'!$AA:$AA,$AB13,'SG10'!AI:AI)*SG10_+SUMIF('SG11'!$AA:$AA,$AB13,'SG11'!AI:AI)*SG11_+SUMIF('SG12'!$AA:$AA,$AB13,'SG12'!AI:AI)*SG12_+SUMIF('SG13'!$AA:$AA,$AB13,'SG13'!AI:AI)*SG13_+SUMIF('SG14'!$AA:$AA,$AB13,'SG14'!AI:AI)*SG14_+SUMIF('SG15'!$AA:$AA,$AB13,'SG15'!AI:AI)*SG15_)</f>
        <v>1655</v>
      </c>
      <c r="AK13" s="358">
        <f t="shared" ca="1" si="4"/>
        <v>47.003692132916782</v>
      </c>
      <c r="AL13" s="354">
        <f t="shared" ca="1" si="10"/>
        <v>-1180.0509464969509</v>
      </c>
      <c r="AM13" s="354">
        <f t="shared" ca="1" si="5"/>
        <v>-0.51032630567605963</v>
      </c>
    </row>
    <row r="14" spans="1:39" s="280" customFormat="1" ht="19.5" customHeight="1" x14ac:dyDescent="0.35">
      <c r="A14" s="100"/>
      <c r="B14" s="291" t="s">
        <v>446</v>
      </c>
      <c r="C14" s="292" t="s">
        <v>455</v>
      </c>
      <c r="D14" s="292"/>
      <c r="E14" s="293"/>
      <c r="F14" s="294"/>
      <c r="G14" s="293"/>
      <c r="H14" s="293"/>
      <c r="I14" s="295">
        <f ca="1">SUBTOTAL(9,I15:I16)</f>
        <v>1</v>
      </c>
      <c r="J14" s="296"/>
      <c r="K14" s="295">
        <f ca="1">SUBTOTAL(9,K15:K16)</f>
        <v>34599678.103313603</v>
      </c>
      <c r="L14" s="295">
        <f ca="1">SUBTOTAL(9,L15:L16)</f>
        <v>0</v>
      </c>
      <c r="M14" s="295">
        <f ca="1">SUBTOTAL(9,M15:M16)</f>
        <v>-34599678.103313603</v>
      </c>
      <c r="N14" s="297" t="e">
        <f ca="1">K14/L14</f>
        <v>#DIV/0!</v>
      </c>
      <c r="O14" s="298">
        <f ca="1">L14/L$10</f>
        <v>0</v>
      </c>
      <c r="P14" s="298">
        <f ca="1">M14/M$10</f>
        <v>-3.3629593522513081E-2</v>
      </c>
      <c r="Q14" s="298">
        <f ca="1">I14/I$10</f>
        <v>6.22975330176925E-5</v>
      </c>
      <c r="R14" s="299">
        <f ca="1">I14/$K$5*100</f>
        <v>2.7078256160303276E-2</v>
      </c>
      <c r="S14" s="543">
        <f t="shared" ref="S14:S15" ca="1" si="11">R14*T$5</f>
        <v>7.9554494828957836E-2</v>
      </c>
      <c r="T14" s="544">
        <f t="shared" ref="T14:T15" ca="1" si="12">IFERROR(S14*G14,0)</f>
        <v>0</v>
      </c>
      <c r="U14" s="121"/>
      <c r="V14" s="326"/>
      <c r="W14" s="326"/>
      <c r="X14" s="326"/>
      <c r="Y14" s="218"/>
      <c r="AB14" s="330" t="s">
        <v>481</v>
      </c>
      <c r="AC14" s="336" t="s">
        <v>482</v>
      </c>
      <c r="AD14" s="355">
        <f t="shared" ca="1" si="2"/>
        <v>75740000</v>
      </c>
      <c r="AE14" s="355">
        <f t="shared" ca="1" si="8"/>
        <v>20509.071215813703</v>
      </c>
      <c r="AF14" s="355">
        <f t="shared" ca="1" si="1"/>
        <v>750</v>
      </c>
      <c r="AG14" s="356">
        <f t="shared" ca="1" si="3"/>
        <v>20.308692120227455</v>
      </c>
      <c r="AH14" s="357">
        <f ca="1">(SUMIF('SG01'!$AA:$AA,$AB14,'SG01'!AG:AG)*SG01_+SUMIF('SG02'!$AA:$AA,$AB14,'SG02'!AG:AG)*SG02_+SUMIF('SG03'!$AA:$AA,$AB14,'SG03'!AG:AG)*SG03_+SUMIF('SG04'!$AA:$AA,$AB14,'SG04'!AG:AG)*SG04_+SUMIF('SG05'!$AA:$AA,$AB14,'SG05'!AG:AG)*SG05_+SUMIF('SG06'!$AA:$AA,$AB14,'SG06'!AG:AG)*SG06_+SUMIF('SG07'!$AA:$AA,$AB14,'SG07'!AG:AG)*SG07_+SUMIF('SG08'!$AA:$AA,$AB14,'SG08'!AG:AG)*SG08_+SUMIF('SG09'!$AA:$AA,$AB14,'SG09'!AG:AG)*SG09_+SUMIF('SG10'!$AA:$AA,$AB14,'SG10'!AG:AG)*SG10_+SUMIF('SG11'!$AA:$AA,$AB14,'SG11'!AG:AG)*SG11_+SUMIF('SG12'!$AA:$AA,$AB14,'SG12'!AG:AG)*SG12_+SUMIF('SG13'!$AA:$AA,$AB14,'SG13'!AG:AG)*SG13_+SUMIF('SG14'!$AA:$AA,$AB14,'SG14'!AG:AG)*SG14_+SUMIF('SG15'!$AA:$AA,$AB14,'SG15'!AG:AG)*SG15_)</f>
        <v>72275000</v>
      </c>
      <c r="AI14" s="357">
        <f t="shared" ca="1" si="9"/>
        <v>20526.838966202784</v>
      </c>
      <c r="AJ14" s="357">
        <f ca="1">(SUMIF('SG01'!$AA:$AA,$AB14,'SG01'!AI:AI)*SG01_+SUMIF('SG02'!$AA:$AA,$AB14,'SG02'!AI:AI)*SG02_+SUMIF('SG03'!$AA:$AA,$AB14,'SG03'!AI:AI)*SG03_+SUMIF('SG04'!$AA:$AA,$AB14,'SG04'!AI:AI)*SG04_+SUMIF('SG05'!$AA:$AA,$AB14,'SG05'!AI:AI)*SG05_+SUMIF('SG06'!$AA:$AA,$AB14,'SG06'!AI:AI)*SG06_+SUMIF('SG07'!$AA:$AA,$AB14,'SG07'!AI:AI)*SG07_+SUMIF('SG08'!$AA:$AA,$AB14,'SG08'!AI:AI)*SG08_+SUMIF('SG09'!$AA:$AA,$AB14,'SG09'!AI:AI)*SG09_+SUMIF('SG10'!$AA:$AA,$AB14,'SG10'!AI:AI)*SG10_+SUMIF('SG11'!$AA:$AA,$AB14,'SG11'!AI:AI)*SG11_+SUMIF('SG12'!$AA:$AA,$AB14,'SG12'!AI:AI)*SG12_+SUMIF('SG13'!$AA:$AA,$AB14,'SG13'!AI:AI)*SG13_+SUMIF('SG14'!$AA:$AA,$AB14,'SG14'!AI:AI)*SG14_+SUMIF('SG15'!$AA:$AA,$AB14,'SG15'!AI:AI)*SG15_)</f>
        <v>715</v>
      </c>
      <c r="AK14" s="358">
        <f t="shared" ca="1" si="4"/>
        <v>20.306731042317523</v>
      </c>
      <c r="AL14" s="354">
        <f t="shared" ca="1" si="10"/>
        <v>-17.767750389080902</v>
      </c>
      <c r="AM14" s="354">
        <f t="shared" ca="1" si="5"/>
        <v>1.961077909932385E-3</v>
      </c>
    </row>
    <row r="15" spans="1:39" ht="19.5" customHeight="1" x14ac:dyDescent="0.35">
      <c r="A15" s="76">
        <v>1</v>
      </c>
      <c r="B15" s="276" t="s">
        <v>452</v>
      </c>
      <c r="C15" s="365" t="str">
        <f>VLOOKUP(B15,'SG01'!$B:$E,2,0)</f>
        <v>Chi phí quầy line nước chấm</v>
      </c>
      <c r="D15" s="277"/>
      <c r="E15" s="468"/>
      <c r="F15" s="363">
        <v>9368.9894674556199</v>
      </c>
      <c r="G15" s="61">
        <f ca="1">L15/I15</f>
        <v>0</v>
      </c>
      <c r="H15" s="273">
        <f ca="1">G15-F15</f>
        <v>-9368.9894674556199</v>
      </c>
      <c r="I15" s="255">
        <f ca="1">(SUMIF('SG01'!$B:$B,$B15,'SG01'!I:I)*SG01_+SUMIF('SG02'!$B:$B,$B15,'SG02'!I:I)*SG02_+SUMIF('SG03'!$B:$B,$B15,'SG03'!I:I)*SG03_+SUMIF('SG04'!$B:$B,$B15,'SG04'!I:I)*SG04_+SUMIF('SG05'!$B:$B,$B15,'SG05'!I:I)*SG05_+SUMIF('SG06'!$B:$B,$B15,'SG06'!I:I)*SG06_+SUMIF('SG07'!$B:$B,$B15,'SG07'!I:I)*SG07_+SUMIF('SG08'!$B:$B,$B15,'SG08'!I:I)*SG08_+SUMIF('SG09'!$B:$B,$B15,'SG09'!I:I)*SG09_+SUMIF('SG10'!$B:$B,$B15,'SG10'!I:I)*SG10_+SUMIF('SG11'!$B:$B,$B15,'SG11'!I:I)*SG11_+SUMIF('SG12'!$B:$B,$B15,'SG12'!I:I)*SG12_+SUMIF('SG13'!$B:$B,$B15,'SG13'!I:I)*SG13_+SUMIF('SG14'!$B:$B,$B15,'SG14'!I:I)*SG14_+SUMIF('SG15'!$B:$B,$B15,'SG15'!I:I)*SG15_)</f>
        <v>1</v>
      </c>
      <c r="J15" s="256"/>
      <c r="K15" s="61">
        <f ca="1">(SUMIF('SG01'!$B:$B,$B15,'SG01'!K:K)*SG01_+SUMIF('SG02'!$B:$B,$B15,'SG02'!K:K)*SG02_+SUMIF('SG03'!$B:$B,$B15,'SG03'!K:K)*SG03_+SUMIF('SG04'!$B:$B,$B15,'SG04'!K:K)*SG04_+SUMIF('SG05'!$B:$B,$B15,'SG05'!K:K)*SG05_+SUMIF('SG06'!$B:$B,$B15,'SG06'!K:K)*SG06_+SUMIF('SG07'!$B:$B,$B15,'SG07'!K:K)*SG07_+SUMIF('SG08'!$B:$B,$B15,'SG08'!K:K)*SG08_+SUMIF('SG09'!$B:$B,$B15,'SG09'!K:K)*SG09_+SUMIF('SG10'!$B:$B,$B15,'SG10'!K:K)*SG10_+SUMIF('SG11'!$B:$B,$B15,'SG11'!K:K)*SG11_+SUMIF('SG12'!$B:$B,$B15,'SG12'!K:K)*SG12_+SUMIF('SG13'!$B:$B,$B15,'SG13'!K:K)*SG13_+SUMIF('SG14'!$B:$B,$B15,'SG14'!K:K)*SG14_+SUMIF('SG15'!$B:$B,$B15,'SG15'!K:K)*SG15_)</f>
        <v>34599678.103313603</v>
      </c>
      <c r="L15" s="61">
        <f ca="1">(SUMIF('SG01'!$B:$B,$B15,'SG01'!L:L)*SG01_+SUMIF('SG02'!$B:$B,$B15,'SG02'!L:L)*SG02_+SUMIF('SG03'!$B:$B,$B15,'SG03'!L:L)*SG03_+SUMIF('SG04'!$B:$B,$B15,'SG04'!L:L)*SG04_+SUMIF('SG05'!$B:$B,$B15,'SG05'!L:L)*SG05_+SUMIF('SG06'!$B:$B,$B15,'SG06'!L:L)*SG06_+SUMIF('SG07'!$B:$B,$B15,'SG07'!L:L)*SG07_+SUMIF('SG08'!$B:$B,$B15,'SG08'!L:L)*SG08_+SUMIF('SG09'!$B:$B,$B15,'SG09'!L:L)*SG09_+SUMIF('SG10'!$B:$B,$B15,'SG10'!L:L)*SG10_+SUMIF('SG11'!$B:$B,$B15,'SG11'!L:L)*SG11_+SUMIF('SG12'!$B:$B,$B15,'SG12'!L:L)*SG12_+SUMIF('SG13'!$B:$B,$B15,'SG13'!L:L)*SG13_+SUMIF('SG14'!$B:$B,$B15,'SG14'!L:L)*SG14_+SUMIF('SG15'!$B:$B,$B15,'SG15'!L:L)*SG15_)</f>
        <v>0</v>
      </c>
      <c r="M15" s="256">
        <f ca="1">L15-K15</f>
        <v>-34599678.103313603</v>
      </c>
      <c r="N15" s="300" t="e">
        <f ca="1">K15/L15</f>
        <v>#DIV/0!</v>
      </c>
      <c r="O15" s="301">
        <f ca="1">L15/L$10</f>
        <v>0</v>
      </c>
      <c r="P15" s="301">
        <f ca="1">M15/M$10</f>
        <v>-3.3629593522513081E-2</v>
      </c>
      <c r="Q15" s="301">
        <f t="shared" ref="Q15:Q91" ca="1" si="13">I15/I$10</f>
        <v>6.22975330176925E-5</v>
      </c>
      <c r="R15" s="302">
        <f ca="1">I15/$K$5*100</f>
        <v>2.7078256160303276E-2</v>
      </c>
      <c r="S15" s="545">
        <f t="shared" ca="1" si="11"/>
        <v>7.9554494828957836E-2</v>
      </c>
      <c r="T15" s="546">
        <f t="shared" ca="1" si="12"/>
        <v>0</v>
      </c>
      <c r="U15" s="121"/>
      <c r="V15" s="327" t="str">
        <f ca="1">IF(B15&lt;&gt;"",IFERROR(IF($I15&gt;=$X$10,"High","Low"),""),"")</f>
        <v>Low</v>
      </c>
      <c r="W15" s="327" t="str">
        <f ca="1">IF(B15&lt;&gt;"",IFERROR(IF($L15&gt;=$X$12,"High","Low"),""),"")</f>
        <v>Low</v>
      </c>
      <c r="X15" s="328" t="str">
        <f ca="1">IF(B15&lt;&gt;"",IFERROR(IF(AND(V15="high",W15="high"),"Star",IF(AND(V15="low",W15="high"),"Puzzle",(IF(AND(V15="high",W15="low"),"Horse","Dog")))),""),"")</f>
        <v>Dog</v>
      </c>
      <c r="AB15" s="330" t="s">
        <v>483</v>
      </c>
      <c r="AC15" s="336" t="s">
        <v>465</v>
      </c>
      <c r="AD15" s="355">
        <f t="shared" ca="1" si="2"/>
        <v>66870000</v>
      </c>
      <c r="AE15" s="355">
        <f t="shared" ca="1" si="8"/>
        <v>18107.229894394801</v>
      </c>
      <c r="AF15" s="355">
        <f t="shared" ca="1" si="1"/>
        <v>521</v>
      </c>
      <c r="AG15" s="356">
        <f t="shared" ca="1" si="3"/>
        <v>14.107771459518007</v>
      </c>
      <c r="AH15" s="357">
        <f ca="1">(SUMIF('SG01'!$AA:$AA,$AB15,'SG01'!AG:AG)*SG01_+SUMIF('SG02'!$AA:$AA,$AB15,'SG02'!AG:AG)*SG02_+SUMIF('SG03'!$AA:$AA,$AB15,'SG03'!AG:AG)*SG03_+SUMIF('SG04'!$AA:$AA,$AB15,'SG04'!AG:AG)*SG04_+SUMIF('SG05'!$AA:$AA,$AB15,'SG05'!AG:AG)*SG05_+SUMIF('SG06'!$AA:$AA,$AB15,'SG06'!AG:AG)*SG06_+SUMIF('SG07'!$AA:$AA,$AB15,'SG07'!AG:AG)*SG07_+SUMIF('SG08'!$AA:$AA,$AB15,'SG08'!AG:AG)*SG08_+SUMIF('SG09'!$AA:$AA,$AB15,'SG09'!AG:AG)*SG09_+SUMIF('SG10'!$AA:$AA,$AB15,'SG10'!AG:AG)*SG10_+SUMIF('SG11'!$AA:$AA,$AB15,'SG11'!AG:AG)*SG11_+SUMIF('SG12'!$AA:$AA,$AB15,'SG12'!AG:AG)*SG12_+SUMIF('SG13'!$AA:$AA,$AB15,'SG13'!AG:AG)*SG13_+SUMIF('SG14'!$AA:$AA,$AB15,'SG14'!AG:AG)*SG14_+SUMIF('SG15'!$AA:$AA,$AB15,'SG15'!AG:AG)*SG15_)</f>
        <v>65500000</v>
      </c>
      <c r="AI15" s="357">
        <f t="shared" ca="1" si="9"/>
        <v>18602.66969610906</v>
      </c>
      <c r="AJ15" s="357">
        <f ca="1">(SUMIF('SG01'!$AA:$AA,$AB15,'SG01'!AI:AI)*SG01_+SUMIF('SG02'!$AA:$AA,$AB15,'SG02'!AI:AI)*SG02_+SUMIF('SG03'!$AA:$AA,$AB15,'SG03'!AI:AI)*SG03_+SUMIF('SG04'!$AA:$AA,$AB15,'SG04'!AI:AI)*SG04_+SUMIF('SG05'!$AA:$AA,$AB15,'SG05'!AI:AI)*SG05_+SUMIF('SG06'!$AA:$AA,$AB15,'SG06'!AI:AI)*SG06_+SUMIF('SG07'!$AA:$AA,$AB15,'SG07'!AI:AI)*SG07_+SUMIF('SG08'!$AA:$AA,$AB15,'SG08'!AI:AI)*SG08_+SUMIF('SG09'!$AA:$AA,$AB15,'SG09'!AI:AI)*SG09_+SUMIF('SG10'!$AA:$AA,$AB15,'SG10'!AI:AI)*SG10_+SUMIF('SG11'!$AA:$AA,$AB15,'SG11'!AI:AI)*SG11_+SUMIF('SG12'!$AA:$AA,$AB15,'SG12'!AI:AI)*SG12_+SUMIF('SG13'!$AA:$AA,$AB15,'SG13'!AI:AI)*SG13_+SUMIF('SG14'!$AA:$AA,$AB15,'SG14'!AI:AI)*SG14_+SUMIF('SG15'!$AA:$AA,$AB15,'SG15'!AI:AI)*SG15_)</f>
        <v>508</v>
      </c>
      <c r="AK15" s="358">
        <f t="shared" ca="1" si="4"/>
        <v>14.427719397898326</v>
      </c>
      <c r="AL15" s="354">
        <f t="shared" ca="1" si="10"/>
        <v>-495.43980171425937</v>
      </c>
      <c r="AM15" s="354">
        <f t="shared" ca="1" si="5"/>
        <v>-0.31994793838031832</v>
      </c>
    </row>
    <row r="16" spans="1:39" ht="19.5" customHeight="1" x14ac:dyDescent="0.35">
      <c r="A16" s="76"/>
      <c r="B16" s="276"/>
      <c r="C16" s="277"/>
      <c r="D16" s="277"/>
      <c r="E16" s="277"/>
      <c r="F16" s="61"/>
      <c r="G16" s="61"/>
      <c r="H16" s="273"/>
      <c r="I16" s="255"/>
      <c r="J16" s="256"/>
      <c r="K16" s="61"/>
      <c r="L16" s="61"/>
      <c r="M16" s="256"/>
      <c r="N16" s="300"/>
      <c r="O16" s="301"/>
      <c r="P16" s="301"/>
      <c r="Q16" s="301"/>
      <c r="R16" s="302"/>
      <c r="S16" s="372"/>
      <c r="T16" s="414"/>
      <c r="U16" s="121"/>
      <c r="V16" s="326"/>
      <c r="W16" s="326"/>
      <c r="X16" s="326"/>
      <c r="AB16" s="330" t="s">
        <v>484</v>
      </c>
      <c r="AC16" s="336" t="s">
        <v>485</v>
      </c>
      <c r="AD16" s="355">
        <f t="shared" ca="1" si="2"/>
        <v>104162000</v>
      </c>
      <c r="AE16" s="355">
        <f t="shared" ref="AE16:AE17" ca="1" si="14">AD16/AE$5</f>
        <v>28205.253181695098</v>
      </c>
      <c r="AF16" s="355">
        <f t="shared" ca="1" si="1"/>
        <v>1369</v>
      </c>
      <c r="AG16" s="356">
        <f t="shared" ref="AG16:AG17" ca="1" si="15">AF16/$AE$5*100</f>
        <v>37.070132683455185</v>
      </c>
      <c r="AH16" s="357">
        <f ca="1">(SUMIF('SG01'!$AA:$AA,$AB16,'SG01'!AG:AG)*SG01_+SUMIF('SG02'!$AA:$AA,$AB16,'SG02'!AG:AG)*SG02_+SUMIF('SG03'!$AA:$AA,$AB16,'SG03'!AG:AG)*SG03_+SUMIF('SG04'!$AA:$AA,$AB16,'SG04'!AG:AG)*SG04_+SUMIF('SG05'!$AA:$AA,$AB16,'SG05'!AG:AG)*SG05_+SUMIF('SG06'!$AA:$AA,$AB16,'SG06'!AG:AG)*SG06_+SUMIF('SG07'!$AA:$AA,$AB16,'SG07'!AG:AG)*SG07_+SUMIF('SG08'!$AA:$AA,$AB16,'SG08'!AG:AG)*SG08_+SUMIF('SG09'!$AA:$AA,$AB16,'SG09'!AG:AG)*SG09_+SUMIF('SG10'!$AA:$AA,$AB16,'SG10'!AG:AG)*SG10_+SUMIF('SG11'!$AA:$AA,$AB16,'SG11'!AG:AG)*SG11_+SUMIF('SG12'!$AA:$AA,$AB16,'SG12'!AG:AG)*SG12_+SUMIF('SG13'!$AA:$AA,$AB16,'SG13'!AG:AG)*SG13_+SUMIF('SG14'!$AA:$AA,$AB16,'SG14'!AG:AG)*SG14_+SUMIF('SG15'!$AA:$AA,$AB16,'SG15'!AG:AG)*SG15_)</f>
        <v>100737000</v>
      </c>
      <c r="AI16" s="357">
        <f t="shared" ref="AI16:AI17" ca="1" si="16">AH16/AI$5</f>
        <v>28610.337972166999</v>
      </c>
      <c r="AJ16" s="357">
        <f ca="1">(SUMIF('SG01'!$AA:$AA,$AB16,'SG01'!AI:AI)*SG01_+SUMIF('SG02'!$AA:$AA,$AB16,'SG02'!AI:AI)*SG02_+SUMIF('SG03'!$AA:$AA,$AB16,'SG03'!AI:AI)*SG03_+SUMIF('SG04'!$AA:$AA,$AB16,'SG04'!AI:AI)*SG04_+SUMIF('SG05'!$AA:$AA,$AB16,'SG05'!AI:AI)*SG05_+SUMIF('SG06'!$AA:$AA,$AB16,'SG06'!AI:AI)*SG06_+SUMIF('SG07'!$AA:$AA,$AB16,'SG07'!AI:AI)*SG07_+SUMIF('SG08'!$AA:$AA,$AB16,'SG08'!AI:AI)*SG08_+SUMIF('SG09'!$AA:$AA,$AB16,'SG09'!AI:AI)*SG09_+SUMIF('SG10'!$AA:$AA,$AB16,'SG10'!AI:AI)*SG10_+SUMIF('SG11'!$AA:$AA,$AB16,'SG11'!AI:AI)*SG11_+SUMIF('SG12'!$AA:$AA,$AB16,'SG12'!AI:AI)*SG12_+SUMIF('SG13'!$AA:$AA,$AB16,'SG13'!AI:AI)*SG13_+SUMIF('SG14'!$AA:$AA,$AB16,'SG14'!AI:AI)*SG14_+SUMIF('SG15'!$AA:$AA,$AB16,'SG15'!AI:AI)*SG15_)</f>
        <v>1318</v>
      </c>
      <c r="AK16" s="358">
        <f t="shared" ref="AK16:AK17" ca="1" si="17">AJ16/$AI$5*100</f>
        <v>37.432547571712583</v>
      </c>
      <c r="AL16" s="354">
        <f t="shared" ref="AL16:AL17" ca="1" si="18">AE16-AI16</f>
        <v>-405.08479047190121</v>
      </c>
      <c r="AM16" s="354">
        <f t="shared" ref="AM16:AM17" ca="1" si="19">AG16-AK16</f>
        <v>-0.36241488825739765</v>
      </c>
    </row>
    <row r="17" spans="1:39" s="280" customFormat="1" ht="19.5" customHeight="1" x14ac:dyDescent="0.35">
      <c r="A17" s="453"/>
      <c r="B17" s="479" t="s">
        <v>474</v>
      </c>
      <c r="C17" s="480" t="s">
        <v>466</v>
      </c>
      <c r="D17" s="480"/>
      <c r="E17" s="481"/>
      <c r="F17" s="294"/>
      <c r="G17" s="293"/>
      <c r="H17" s="293"/>
      <c r="I17" s="295">
        <f ca="1">SUBTOTAL(9,I18:I31)</f>
        <v>633</v>
      </c>
      <c r="J17" s="296"/>
      <c r="K17" s="295">
        <f ca="1">SUBTOTAL(9,K18:K31)</f>
        <v>14750648.463623101</v>
      </c>
      <c r="L17" s="295">
        <f ca="1">SUBTOTAL(9,L18:L31)</f>
        <v>51978000</v>
      </c>
      <c r="M17" s="295">
        <f ca="1">SUBTOTAL(9,M18:M31)</f>
        <v>37227351.536376894</v>
      </c>
      <c r="N17" s="297">
        <f t="shared" ref="N17:N18" ca="1" si="20">K17/L17</f>
        <v>0.28378638007663054</v>
      </c>
      <c r="O17" s="298">
        <f t="shared" ref="O17:P18" ca="1" si="21">L17/L$10</f>
        <v>3.3522017486551661E-2</v>
      </c>
      <c r="P17" s="298">
        <f t="shared" ca="1" si="21"/>
        <v>3.6183593857428392E-2</v>
      </c>
      <c r="Q17" s="298">
        <f ca="1">I17/I$10</f>
        <v>3.9434338400199352E-2</v>
      </c>
      <c r="R17" s="299">
        <f t="shared" ref="R17:R18" ca="1" si="22">I17/$K$5*100</f>
        <v>17.140536149471973</v>
      </c>
      <c r="S17" s="543">
        <f t="shared" ref="S17" ca="1" si="23">R17*T$5</f>
        <v>50.357995226730303</v>
      </c>
      <c r="T17" s="544">
        <f t="shared" ref="T17" ca="1" si="24">IFERROR(S17*G17,0)</f>
        <v>0</v>
      </c>
      <c r="U17" s="121"/>
      <c r="V17" s="326"/>
      <c r="W17" s="326"/>
      <c r="X17" s="326"/>
      <c r="Y17" s="218"/>
      <c r="AB17" s="330" t="s">
        <v>559</v>
      </c>
      <c r="AC17" s="336" t="s">
        <v>560</v>
      </c>
      <c r="AD17" s="355">
        <f t="shared" ca="1" si="2"/>
        <v>677761000</v>
      </c>
      <c r="AE17" s="355">
        <f t="shared" ca="1" si="14"/>
        <v>183525.85973463309</v>
      </c>
      <c r="AF17" s="355">
        <f t="shared" ca="1" si="1"/>
        <v>847</v>
      </c>
      <c r="AG17" s="356">
        <f t="shared" ca="1" si="15"/>
        <v>22.935282967776875</v>
      </c>
      <c r="AH17" s="357">
        <f ca="1">(SUMIF('SG01'!$AA:$AA,$AB17,'SG01'!AG:AG)*SG01_+SUMIF('SG02'!$AA:$AA,$AB17,'SG02'!AG:AG)*SG02_+SUMIF('SG03'!$AA:$AA,$AB17,'SG03'!AG:AG)*SG03_+SUMIF('SG04'!$AA:$AA,$AB17,'SG04'!AG:AG)*SG04_+SUMIF('SG05'!$AA:$AA,$AB17,'SG05'!AG:AG)*SG05_+SUMIF('SG06'!$AA:$AA,$AB17,'SG06'!AG:AG)*SG06_+SUMIF('SG07'!$AA:$AA,$AB17,'SG07'!AG:AG)*SG07_+SUMIF('SG08'!$AA:$AA,$AB17,'SG08'!AG:AG)*SG08_+SUMIF('SG09'!$AA:$AA,$AB17,'SG09'!AG:AG)*SG09_+SUMIF('SG10'!$AA:$AA,$AB17,'SG10'!AG:AG)*SG10_+SUMIF('SG11'!$AA:$AA,$AB17,'SG11'!AG:AG)*SG11_+SUMIF('SG12'!$AA:$AA,$AB17,'SG12'!AG:AG)*SG12_+SUMIF('SG13'!$AA:$AA,$AB17,'SG13'!AG:AG)*SG13_+SUMIF('SG14'!$AA:$AA,$AB17,'SG14'!AG:AG)*SG14_+SUMIF('SG15'!$AA:$AA,$AB17,'SG15'!AG:AG)*SG15_)</f>
        <v>637403000</v>
      </c>
      <c r="AI17" s="357">
        <f t="shared" ca="1" si="16"/>
        <v>181028.96904288555</v>
      </c>
      <c r="AJ17" s="357">
        <f ca="1">(SUMIF('SG01'!$AA:$AA,$AB17,'SG01'!AI:AI)*SG01_+SUMIF('SG02'!$AA:$AA,$AB17,'SG02'!AI:AI)*SG02_+SUMIF('SG03'!$AA:$AA,$AB17,'SG03'!AI:AI)*SG03_+SUMIF('SG04'!$AA:$AA,$AB17,'SG04'!AI:AI)*SG04_+SUMIF('SG05'!$AA:$AA,$AB17,'SG05'!AI:AI)*SG05_+SUMIF('SG06'!$AA:$AA,$AB17,'SG06'!AI:AI)*SG06_+SUMIF('SG07'!$AA:$AA,$AB17,'SG07'!AI:AI)*SG07_+SUMIF('SG08'!$AA:$AA,$AB17,'SG08'!AI:AI)*SG08_+SUMIF('SG09'!$AA:$AA,$AB17,'SG09'!AI:AI)*SG09_+SUMIF('SG10'!$AA:$AA,$AB17,'SG10'!AI:AI)*SG10_+SUMIF('SG11'!$AA:$AA,$AB17,'SG11'!AI:AI)*SG11_+SUMIF('SG12'!$AA:$AA,$AB17,'SG12'!AI:AI)*SG12_+SUMIF('SG13'!$AA:$AA,$AB17,'SG13'!AI:AI)*SG13_+SUMIF('SG14'!$AA:$AA,$AB17,'SG14'!AI:AI)*SG14_+SUMIF('SG15'!$AA:$AA,$AB17,'SG15'!AI:AI)*SG15_)</f>
        <v>796</v>
      </c>
      <c r="AK17" s="358">
        <f t="shared" ca="1" si="17"/>
        <v>22.607213859698948</v>
      </c>
      <c r="AL17" s="354">
        <f t="shared" ca="1" si="18"/>
        <v>2496.8906917475397</v>
      </c>
      <c r="AM17" s="354">
        <f t="shared" ca="1" si="19"/>
        <v>0.32806910807792633</v>
      </c>
    </row>
    <row r="18" spans="1:39" ht="19.5" customHeight="1" x14ac:dyDescent="0.35">
      <c r="A18" s="366">
        <v>1</v>
      </c>
      <c r="B18" s="467" t="s">
        <v>490</v>
      </c>
      <c r="C18" s="365" t="str">
        <f>VLOOKUP(B18,'SG01'!$B:$E,2,0)</f>
        <v>Khoai Tây Lắc Phô Mai</v>
      </c>
      <c r="D18" s="365"/>
      <c r="E18" s="468" t="str">
        <f>VLOOKUP(B18,'SG01'!$B:$E,4,0)</f>
        <v>Phần</v>
      </c>
      <c r="F18" s="61">
        <f t="shared" ref="F18" ca="1" si="25">K18/I18</f>
        <v>15238.609090909089</v>
      </c>
      <c r="G18" s="61">
        <f t="shared" ref="G18" ca="1" si="26">L18/I18</f>
        <v>61084.337349397589</v>
      </c>
      <c r="H18" s="273">
        <f t="shared" ref="H18" ca="1" si="27">G18-F18</f>
        <v>45845.728258488496</v>
      </c>
      <c r="I18" s="255">
        <f ca="1">(SUMIF('SG01'!$B:$B,$B18,'SG01'!I:I)*SG01_+SUMIF('SG02'!$B:$B,$B18,'SG02'!I:I)*SG02_+SUMIF('SG03'!$B:$B,$B18,'SG03'!I:I)*SG03_+SUMIF('SG04'!$B:$B,$B18,'SG04'!I:I)*SG04_+SUMIF('SG05'!$B:$B,$B18,'SG05'!I:I)*SG05_+SUMIF('SG06'!$B:$B,$B18,'SG06'!I:I)*SG06_+SUMIF('SG07'!$B:$B,$B18,'SG07'!I:I)*SG07_+SUMIF('SG08'!$B:$B,$B18,'SG08'!I:I)*SG08_+SUMIF('SG09'!$B:$B,$B18,'SG09'!I:I)*SG09_+SUMIF('SG10'!$B:$B,$B18,'SG10'!I:I)*SG10_+SUMIF('SG11'!$B:$B,$B18,'SG11'!I:I)*SG11_+SUMIF('SG12'!$B:$B,$B18,'SG12'!I:I)*SG12_+SUMIF('SG13'!$B:$B,$B18,'SG13'!I:I)*SG13_+SUMIF('SG14'!$B:$B,$B18,'SG14'!I:I)*SG14_+SUMIF('SG15'!$B:$B,$B18,'SG15'!I:I)*SG15_)</f>
        <v>83</v>
      </c>
      <c r="J18" s="256"/>
      <c r="K18" s="61">
        <f ca="1">(SUMIF('SG01'!$B:$B,$B18,'SG01'!K:K)*SG01_+SUMIF('SG02'!$B:$B,$B18,'SG02'!K:K)*SG02_+SUMIF('SG03'!$B:$B,$B18,'SG03'!K:K)*SG03_+SUMIF('SG04'!$B:$B,$B18,'SG04'!K:K)*SG04_+SUMIF('SG05'!$B:$B,$B18,'SG05'!K:K)*SG05_+SUMIF('SG06'!$B:$B,$B18,'SG06'!K:K)*SG06_+SUMIF('SG07'!$B:$B,$B18,'SG07'!K:K)*SG07_+SUMIF('SG08'!$B:$B,$B18,'SG08'!K:K)*SG08_+SUMIF('SG09'!$B:$B,$B18,'SG09'!K:K)*SG09_+SUMIF('SG10'!$B:$B,$B18,'SG10'!K:K)*SG10_+SUMIF('SG11'!$B:$B,$B18,'SG11'!K:K)*SG11_+SUMIF('SG12'!$B:$B,$B18,'SG12'!K:K)*SG12_+SUMIF('SG13'!$B:$B,$B18,'SG13'!K:K)*SG13_+SUMIF('SG14'!$B:$B,$B18,'SG14'!K:K)*SG14_+SUMIF('SG15'!$B:$B,$B18,'SG15'!K:K)*SG15_)</f>
        <v>1264804.5545454544</v>
      </c>
      <c r="L18" s="61">
        <f ca="1">(SUMIF('SG01'!$B:$B,$B18,'SG01'!L:L)*SG01_+SUMIF('SG02'!$B:$B,$B18,'SG02'!L:L)*SG02_+SUMIF('SG03'!$B:$B,$B18,'SG03'!L:L)*SG03_+SUMIF('SG04'!$B:$B,$B18,'SG04'!L:L)*SG04_+SUMIF('SG05'!$B:$B,$B18,'SG05'!L:L)*SG05_+SUMIF('SG06'!$B:$B,$B18,'SG06'!L:L)*SG06_+SUMIF('SG07'!$B:$B,$B18,'SG07'!L:L)*SG07_+SUMIF('SG08'!$B:$B,$B18,'SG08'!L:L)*SG08_+SUMIF('SG09'!$B:$B,$B18,'SG09'!L:L)*SG09_+SUMIF('SG10'!$B:$B,$B18,'SG10'!L:L)*SG10_+SUMIF('SG11'!$B:$B,$B18,'SG11'!L:L)*SG11_+SUMIF('SG12'!$B:$B,$B18,'SG12'!L:L)*SG12_+SUMIF('SG13'!$B:$B,$B18,'SG13'!L:L)*SG13_+SUMIF('SG14'!$B:$B,$B18,'SG14'!L:L)*SG14_+SUMIF('SG15'!$B:$B,$B18,'SG15'!L:L)*SG15_)</f>
        <v>5070000</v>
      </c>
      <c r="M18" s="256">
        <f t="shared" ref="M18" ca="1" si="28">L18-K18</f>
        <v>3805195.4454545453</v>
      </c>
      <c r="N18" s="300">
        <f t="shared" ca="1" si="20"/>
        <v>0.24946835395373854</v>
      </c>
      <c r="O18" s="301">
        <f t="shared" ca="1" si="21"/>
        <v>3.2697800734313924E-3</v>
      </c>
      <c r="P18" s="301">
        <f t="shared" ca="1" si="21"/>
        <v>3.6985077064083747E-3</v>
      </c>
      <c r="Q18" s="301">
        <f t="shared" ref="Q18" ca="1" si="29">I18/I$10</f>
        <v>5.1706952404684771E-3</v>
      </c>
      <c r="R18" s="302">
        <f t="shared" ca="1" si="22"/>
        <v>2.247495261305172</v>
      </c>
      <c r="S18" s="545">
        <f t="shared" ref="S18:S97" ca="1" si="30">R18*T$5</f>
        <v>6.6030230708035003</v>
      </c>
      <c r="T18" s="546">
        <f t="shared" ref="T18:T97" ca="1" si="31">IFERROR(S18*G18,0)</f>
        <v>403341.28878281621</v>
      </c>
      <c r="U18" s="121"/>
      <c r="V18" s="327" t="str">
        <f t="shared" ref="V18" ca="1" si="32">IF(B18&lt;&gt;"",IFERROR(IF($I18&gt;=$X$10,"High","Low"),""),"")</f>
        <v>Low</v>
      </c>
      <c r="W18" s="327" t="str">
        <f t="shared" ref="W18" ca="1" si="33">IF(B18&lt;&gt;"",IFERROR(IF($L18&gt;=$X$12,"High","Low"),""),"")</f>
        <v>High</v>
      </c>
      <c r="X18" s="328" t="str">
        <f t="shared" ref="X18" ca="1" si="34">IF(B18&lt;&gt;"",IFERROR(IF(AND(V18="high",W18="high"),"Star",IF(AND(V18="low",W18="high"),"Puzzle",(IF(AND(V18="high",W18="low"),"Horse","Dog")))),""),"")</f>
        <v>Puzzle</v>
      </c>
      <c r="AB18" s="330" t="s">
        <v>486</v>
      </c>
      <c r="AC18" s="336" t="s">
        <v>487</v>
      </c>
      <c r="AD18" s="355">
        <f t="shared" ca="1" si="2"/>
        <v>57601000</v>
      </c>
      <c r="AE18" s="355">
        <f t="shared" ref="AE18" ca="1" si="35">AD18/AE$5</f>
        <v>15597.346330896291</v>
      </c>
      <c r="AF18" s="355">
        <f t="shared" ca="1" si="1"/>
        <v>1205</v>
      </c>
      <c r="AG18" s="356">
        <f t="shared" ref="AG18" ca="1" si="36">AF18/$AE$5*100</f>
        <v>32.629298673165444</v>
      </c>
      <c r="AH18" s="357">
        <f ca="1">(SUMIF('SG01'!$AA:$AA,$AB18,'SG01'!AG:AG)*SG01_+SUMIF('SG02'!$AA:$AA,$AB18,'SG02'!AG:AG)*SG02_+SUMIF('SG03'!$AA:$AA,$AB18,'SG03'!AG:AG)*SG03_+SUMIF('SG04'!$AA:$AA,$AB18,'SG04'!AG:AG)*SG04_+SUMIF('SG05'!$AA:$AA,$AB18,'SG05'!AG:AG)*SG05_+SUMIF('SG06'!$AA:$AA,$AB18,'SG06'!AG:AG)*SG06_+SUMIF('SG07'!$AA:$AA,$AB18,'SG07'!AG:AG)*SG07_+SUMIF('SG08'!$AA:$AA,$AB18,'SG08'!AG:AG)*SG08_+SUMIF('SG09'!$AA:$AA,$AB18,'SG09'!AG:AG)*SG09_+SUMIF('SG10'!$AA:$AA,$AB18,'SG10'!AG:AG)*SG10_+SUMIF('SG11'!$AA:$AA,$AB18,'SG11'!AG:AG)*SG11_+SUMIF('SG12'!$AA:$AA,$AB18,'SG12'!AG:AG)*SG12_+SUMIF('SG13'!$AA:$AA,$AB18,'SG13'!AG:AG)*SG13_+SUMIF('SG14'!$AA:$AA,$AB18,'SG14'!AG:AG)*SG14_+SUMIF('SG15'!$AA:$AA,$AB18,'SG15'!AG:AG)*SG15_)</f>
        <v>54516000</v>
      </c>
      <c r="AI18" s="357">
        <f t="shared" ref="AI18" ca="1" si="37">AH18/AI$5</f>
        <v>15483.1013916501</v>
      </c>
      <c r="AJ18" s="357">
        <f ca="1">(SUMIF('SG01'!$AA:$AA,$AB18,'SG01'!AI:AI)*SG01_+SUMIF('SG02'!$AA:$AA,$AB18,'SG02'!AI:AI)*SG02_+SUMIF('SG03'!$AA:$AA,$AB18,'SG03'!AI:AI)*SG03_+SUMIF('SG04'!$AA:$AA,$AB18,'SG04'!AI:AI)*SG04_+SUMIF('SG05'!$AA:$AA,$AB18,'SG05'!AI:AI)*SG05_+SUMIF('SG06'!$AA:$AA,$AB18,'SG06'!AI:AI)*SG06_+SUMIF('SG07'!$AA:$AA,$AB18,'SG07'!AI:AI)*SG07_+SUMIF('SG08'!$AA:$AA,$AB18,'SG08'!AI:AI)*SG08_+SUMIF('SG09'!$AA:$AA,$AB18,'SG09'!AI:AI)*SG09_+SUMIF('SG10'!$AA:$AA,$AB18,'SG10'!AI:AI)*SG10_+SUMIF('SG11'!$AA:$AA,$AB18,'SG11'!AI:AI)*SG11_+SUMIF('SG12'!$AA:$AA,$AB18,'SG12'!AI:AI)*SG12_+SUMIF('SG13'!$AA:$AA,$AB18,'SG13'!AI:AI)*SG13_+SUMIF('SG14'!$AA:$AA,$AB18,'SG14'!AI:AI)*SG14_+SUMIF('SG15'!$AA:$AA,$AB18,'SG15'!AI:AI)*SG15_)</f>
        <v>1140</v>
      </c>
      <c r="AK18" s="358">
        <f t="shared" ref="AK18" ca="1" si="38">AJ18/$AI$5*100</f>
        <v>32.37716557796081</v>
      </c>
      <c r="AL18" s="354">
        <f t="shared" ref="AL18" ca="1" si="39">AE18-AI18</f>
        <v>114.24493924619128</v>
      </c>
      <c r="AM18" s="354">
        <f t="shared" ref="AM18" ca="1" si="40">AG18-AK18</f>
        <v>0.25213309520463412</v>
      </c>
    </row>
    <row r="19" spans="1:39" ht="19.5" customHeight="1" x14ac:dyDescent="0.35">
      <c r="A19" s="366">
        <v>2</v>
      </c>
      <c r="B19" s="467" t="s">
        <v>587</v>
      </c>
      <c r="C19" s="365" t="str">
        <f>VLOOKUP(B19,'SG02'!$B:$E,2,0)</f>
        <v>Rau Salad Hải Sản</v>
      </c>
      <c r="D19" s="365"/>
      <c r="E19" s="468" t="str">
        <f>VLOOKUP(B19,'SG01'!$B:$E,4,0)</f>
        <v>Phần</v>
      </c>
      <c r="F19" s="61">
        <f t="shared" ref="F19:F30" ca="1" si="41">K19/I19</f>
        <v>34202.472972972973</v>
      </c>
      <c r="G19" s="61">
        <f t="shared" ref="G19:G30" ca="1" si="42">L19/I19</f>
        <v>123125</v>
      </c>
      <c r="H19" s="273">
        <f t="shared" ref="H19:H30" ca="1" si="43">G19-F19</f>
        <v>88922.527027027027</v>
      </c>
      <c r="I19" s="255">
        <f ca="1">(SUMIF('SG01'!$B:$B,$B19,'SG01'!I:I)*SG01_+SUMIF('SG02'!$B:$B,$B19,'SG02'!I:I)*SG02_+SUMIF('SG03'!$B:$B,$B19,'SG03'!I:I)*SG03_+SUMIF('SG04'!$B:$B,$B19,'SG04'!I:I)*SG04_+SUMIF('SG05'!$B:$B,$B19,'SG05'!I:I)*SG05_+SUMIF('SG06'!$B:$B,$B19,'SG06'!I:I)*SG06_+SUMIF('SG07'!$B:$B,$B19,'SG07'!I:I)*SG07_+SUMIF('SG08'!$B:$B,$B19,'SG08'!I:I)*SG08_+SUMIF('SG09'!$B:$B,$B19,'SG09'!I:I)*SG09_+SUMIF('SG10'!$B:$B,$B19,'SG10'!I:I)*SG10_+SUMIF('SG11'!$B:$B,$B19,'SG11'!I:I)*SG11_+SUMIF('SG12'!$B:$B,$B19,'SG12'!I:I)*SG12_+SUMIF('SG13'!$B:$B,$B19,'SG13'!I:I)*SG13_+SUMIF('SG14'!$B:$B,$B19,'SG14'!I:I)*SG14_+SUMIF('SG15'!$B:$B,$B19,'SG15'!I:I)*SG15_)</f>
        <v>48</v>
      </c>
      <c r="J19" s="256"/>
      <c r="K19" s="61">
        <f ca="1">(SUMIF('SG01'!$B:$B,$B19,'SG01'!K:K)*SG01_+SUMIF('SG02'!$B:$B,$B19,'SG02'!K:K)*SG02_+SUMIF('SG03'!$B:$B,$B19,'SG03'!K:K)*SG03_+SUMIF('SG04'!$B:$B,$B19,'SG04'!K:K)*SG04_+SUMIF('SG05'!$B:$B,$B19,'SG05'!K:K)*SG05_+SUMIF('SG06'!$B:$B,$B19,'SG06'!K:K)*SG06_+SUMIF('SG07'!$B:$B,$B19,'SG07'!K:K)*SG07_+SUMIF('SG08'!$B:$B,$B19,'SG08'!K:K)*SG08_+SUMIF('SG09'!$B:$B,$B19,'SG09'!K:K)*SG09_+SUMIF('SG10'!$B:$B,$B19,'SG10'!K:K)*SG10_+SUMIF('SG11'!$B:$B,$B19,'SG11'!K:K)*SG11_+SUMIF('SG12'!$B:$B,$B19,'SG12'!K:K)*SG12_+SUMIF('SG13'!$B:$B,$B19,'SG13'!K:K)*SG13_+SUMIF('SG14'!$B:$B,$B19,'SG14'!K:K)*SG14_+SUMIF('SG15'!$B:$B,$B19,'SG15'!K:K)*SG15_)</f>
        <v>1641718.7027027027</v>
      </c>
      <c r="L19" s="61">
        <f ca="1">(SUMIF('SG01'!$B:$B,$B19,'SG01'!L:L)*SG01_+SUMIF('SG02'!$B:$B,$B19,'SG02'!L:L)*SG02_+SUMIF('SG03'!$B:$B,$B19,'SG03'!L:L)*SG03_+SUMIF('SG04'!$B:$B,$B19,'SG04'!L:L)*SG04_+SUMIF('SG05'!$B:$B,$B19,'SG05'!L:L)*SG05_+SUMIF('SG06'!$B:$B,$B19,'SG06'!L:L)*SG06_+SUMIF('SG07'!$B:$B,$B19,'SG07'!L:L)*SG07_+SUMIF('SG08'!$B:$B,$B19,'SG08'!L:L)*SG08_+SUMIF('SG09'!$B:$B,$B19,'SG09'!L:L)*SG09_+SUMIF('SG10'!$B:$B,$B19,'SG10'!L:L)*SG10_+SUMIF('SG11'!$B:$B,$B19,'SG11'!L:L)*SG11_+SUMIF('SG12'!$B:$B,$B19,'SG12'!L:L)*SG12_+SUMIF('SG13'!$B:$B,$B19,'SG13'!L:L)*SG13_+SUMIF('SG14'!$B:$B,$B19,'SG14'!L:L)*SG14_+SUMIF('SG15'!$B:$B,$B19,'SG15'!L:L)*SG15_)</f>
        <v>5910000</v>
      </c>
      <c r="M19" s="256">
        <f t="shared" ref="M19:M30" ca="1" si="44">L19-K19</f>
        <v>4268281.297297297</v>
      </c>
      <c r="N19" s="300">
        <f t="shared" ref="N19:N30" ca="1" si="45">K19/L19</f>
        <v>0.27778658252160793</v>
      </c>
      <c r="O19" s="301">
        <f t="shared" ref="O19:O30" ca="1" si="46">L19/L$10</f>
        <v>3.8115187838223923E-3</v>
      </c>
      <c r="P19" s="301">
        <f t="shared" ref="P19:P30" ca="1" si="47">M19/M$10</f>
        <v>4.1486098407980876E-3</v>
      </c>
      <c r="Q19" s="301">
        <f t="shared" ref="Q19:Q30" ca="1" si="48">I19/I$10</f>
        <v>2.9902815848492398E-3</v>
      </c>
      <c r="R19" s="302">
        <f t="shared" ref="R19:R30" ca="1" si="49">I19/$K$5*100</f>
        <v>1.2997562956945572</v>
      </c>
      <c r="S19" s="545">
        <f t="shared" ref="S19:S30" ca="1" si="50">R19*T$5</f>
        <v>3.8186157517899755</v>
      </c>
      <c r="T19" s="546">
        <f t="shared" ref="T19:T30" ca="1" si="51">IFERROR(S19*G19,0)</f>
        <v>470167.06443914073</v>
      </c>
      <c r="U19" s="121"/>
      <c r="V19" s="327" t="str">
        <f t="shared" ref="V19:V30" ca="1" si="52">IF(B19&lt;&gt;"",IFERROR(IF($I19&gt;=$X$10,"High","Low"),""),"")</f>
        <v>Low</v>
      </c>
      <c r="W19" s="327" t="str">
        <f t="shared" ref="W19:W30" ca="1" si="53">IF(B19&lt;&gt;"",IFERROR(IF($L19&gt;=$X$12,"High","Low"),""),"")</f>
        <v>High</v>
      </c>
      <c r="X19" s="328" t="str">
        <f t="shared" ref="X19:X30" ca="1" si="54">IF(B19&lt;&gt;"",IFERROR(IF(AND(V19="high",W19="high"),"Star",IF(AND(V19="low",W19="high"),"Puzzle",(IF(AND(V19="high",W19="low"),"Horse","Dog")))),""),"")</f>
        <v>Puzzle</v>
      </c>
      <c r="AB19" s="330" t="s">
        <v>449</v>
      </c>
      <c r="AC19" s="336" t="s">
        <v>450</v>
      </c>
      <c r="AD19" s="355">
        <f t="shared" ca="1" si="2"/>
        <v>1350000</v>
      </c>
      <c r="AE19" s="355">
        <f t="shared" ref="AE19:AE20" ca="1" si="55">AD19/AE$5</f>
        <v>365.55645816409424</v>
      </c>
      <c r="AF19" s="355">
        <f t="shared" ca="1" si="1"/>
        <v>1362</v>
      </c>
      <c r="AG19" s="356">
        <f t="shared" ref="AG19:AG20" ca="1" si="56">AF19/$AE$5*100</f>
        <v>36.880584890333061</v>
      </c>
      <c r="AH19" s="357">
        <f ca="1">(SUMIF('SG01'!$AA:$AA,$AB19,'SG01'!AG:AG)*SG01_+SUMIF('SG02'!$AA:$AA,$AB19,'SG02'!AG:AG)*SG02_+SUMIF('SG03'!$AA:$AA,$AB19,'SG03'!AG:AG)*SG03_+SUMIF('SG04'!$AA:$AA,$AB19,'SG04'!AG:AG)*SG04_+SUMIF('SG05'!$AA:$AA,$AB19,'SG05'!AG:AG)*SG05_+SUMIF('SG06'!$AA:$AA,$AB19,'SG06'!AG:AG)*SG06_+SUMIF('SG07'!$AA:$AA,$AB19,'SG07'!AG:AG)*SG07_+SUMIF('SG08'!$AA:$AA,$AB19,'SG08'!AG:AG)*SG08_+SUMIF('SG09'!$AA:$AA,$AB19,'SG09'!AG:AG)*SG09_+SUMIF('SG10'!$AA:$AA,$AB19,'SG10'!AG:AG)*SG10_+SUMIF('SG11'!$AA:$AA,$AB19,'SG11'!AG:AG)*SG11_+SUMIF('SG12'!$AA:$AA,$AB19,'SG12'!AG:AG)*SG12_+SUMIF('SG13'!$AA:$AA,$AB19,'SG13'!AG:AG)*SG13_+SUMIF('SG14'!$AA:$AA,$AB19,'SG14'!AG:AG)*SG14_+SUMIF('SG15'!$AA:$AA,$AB19,'SG15'!AG:AG)*SG15_)</f>
        <v>1310000</v>
      </c>
      <c r="AI19" s="357">
        <f t="shared" ref="AI19:AI20" ca="1" si="57">AH19/AI$5</f>
        <v>372.05339392218121</v>
      </c>
      <c r="AJ19" s="357">
        <f ca="1">(SUMIF('SG01'!$AA:$AA,$AB19,'SG01'!AI:AI)*SG01_+SUMIF('SG02'!$AA:$AA,$AB19,'SG02'!AI:AI)*SG02_+SUMIF('SG03'!$AA:$AA,$AB19,'SG03'!AI:AI)*SG03_+SUMIF('SG04'!$AA:$AA,$AB19,'SG04'!AI:AI)*SG04_+SUMIF('SG05'!$AA:$AA,$AB19,'SG05'!AI:AI)*SG05_+SUMIF('SG06'!$AA:$AA,$AB19,'SG06'!AI:AI)*SG06_+SUMIF('SG07'!$AA:$AA,$AB19,'SG07'!AI:AI)*SG07_+SUMIF('SG08'!$AA:$AA,$AB19,'SG08'!AI:AI)*SG08_+SUMIF('SG09'!$AA:$AA,$AB19,'SG09'!AI:AI)*SG09_+SUMIF('SG10'!$AA:$AA,$AB19,'SG10'!AI:AI)*SG10_+SUMIF('SG11'!$AA:$AA,$AB19,'SG11'!AI:AI)*SG11_+SUMIF('SG12'!$AA:$AA,$AB19,'SG12'!AI:AI)*SG12_+SUMIF('SG13'!$AA:$AA,$AB19,'SG13'!AI:AI)*SG13_+SUMIF('SG14'!$AA:$AA,$AB19,'SG14'!AI:AI)*SG14_+SUMIF('SG15'!$AA:$AA,$AB19,'SG15'!AI:AI)*SG15_)</f>
        <v>1293</v>
      </c>
      <c r="AK19" s="358">
        <f t="shared" ref="AK19:AK20" ca="1" si="58">AJ19/$AI$5*100</f>
        <v>36.722522010792389</v>
      </c>
      <c r="AL19" s="354">
        <f t="shared" ref="AL19:AL20" ca="1" si="59">AE19-AI19</f>
        <v>-6.4969357580869769</v>
      </c>
      <c r="AM19" s="354">
        <f t="shared" ref="AM19:AM20" ca="1" si="60">AG19-AK19</f>
        <v>0.15806287954067244</v>
      </c>
    </row>
    <row r="20" spans="1:39" ht="19.5" customHeight="1" x14ac:dyDescent="0.35">
      <c r="A20" s="366">
        <v>3</v>
      </c>
      <c r="B20" s="467" t="s">
        <v>588</v>
      </c>
      <c r="C20" s="365" t="str">
        <f>VLOOKUP(B20,'SG02'!$B:$E,2,0)</f>
        <v>Rau Salad Rong Biển</v>
      </c>
      <c r="D20" s="365"/>
      <c r="E20" s="468" t="str">
        <f>VLOOKUP(B20,'SG01'!$B:$E,4,0)</f>
        <v>Phần</v>
      </c>
      <c r="F20" s="61">
        <f t="shared" ca="1" si="41"/>
        <v>27302.911764705881</v>
      </c>
      <c r="G20" s="61">
        <f t="shared" ca="1" si="42"/>
        <v>81421.052631578947</v>
      </c>
      <c r="H20" s="273">
        <f t="shared" ca="1" si="43"/>
        <v>54118.140866873066</v>
      </c>
      <c r="I20" s="255">
        <f ca="1">(SUMIF('SG01'!$B:$B,$B20,'SG01'!I:I)*SG01_+SUMIF('SG02'!$B:$B,$B20,'SG02'!I:I)*SG02_+SUMIF('SG03'!$B:$B,$B20,'SG03'!I:I)*SG03_+SUMIF('SG04'!$B:$B,$B20,'SG04'!I:I)*SG04_+SUMIF('SG05'!$B:$B,$B20,'SG05'!I:I)*SG05_+SUMIF('SG06'!$B:$B,$B20,'SG06'!I:I)*SG06_+SUMIF('SG07'!$B:$B,$B20,'SG07'!I:I)*SG07_+SUMIF('SG08'!$B:$B,$B20,'SG08'!I:I)*SG08_+SUMIF('SG09'!$B:$B,$B20,'SG09'!I:I)*SG09_+SUMIF('SG10'!$B:$B,$B20,'SG10'!I:I)*SG10_+SUMIF('SG11'!$B:$B,$B20,'SG11'!I:I)*SG11_+SUMIF('SG12'!$B:$B,$B20,'SG12'!I:I)*SG12_+SUMIF('SG13'!$B:$B,$B20,'SG13'!I:I)*SG13_+SUMIF('SG14'!$B:$B,$B20,'SG14'!I:I)*SG14_+SUMIF('SG15'!$B:$B,$B20,'SG15'!I:I)*SG15_)</f>
        <v>38</v>
      </c>
      <c r="J20" s="256"/>
      <c r="K20" s="61">
        <f ca="1">(SUMIF('SG01'!$B:$B,$B20,'SG01'!K:K)*SG01_+SUMIF('SG02'!$B:$B,$B20,'SG02'!K:K)*SG02_+SUMIF('SG03'!$B:$B,$B20,'SG03'!K:K)*SG03_+SUMIF('SG04'!$B:$B,$B20,'SG04'!K:K)*SG04_+SUMIF('SG05'!$B:$B,$B20,'SG05'!K:K)*SG05_+SUMIF('SG06'!$B:$B,$B20,'SG06'!K:K)*SG06_+SUMIF('SG07'!$B:$B,$B20,'SG07'!K:K)*SG07_+SUMIF('SG08'!$B:$B,$B20,'SG08'!K:K)*SG08_+SUMIF('SG09'!$B:$B,$B20,'SG09'!K:K)*SG09_+SUMIF('SG10'!$B:$B,$B20,'SG10'!K:K)*SG10_+SUMIF('SG11'!$B:$B,$B20,'SG11'!K:K)*SG11_+SUMIF('SG12'!$B:$B,$B20,'SG12'!K:K)*SG12_+SUMIF('SG13'!$B:$B,$B20,'SG13'!K:K)*SG13_+SUMIF('SG14'!$B:$B,$B20,'SG14'!K:K)*SG14_+SUMIF('SG15'!$B:$B,$B20,'SG15'!K:K)*SG15_)</f>
        <v>1037510.6470588235</v>
      </c>
      <c r="L20" s="61">
        <f ca="1">(SUMIF('SG01'!$B:$B,$B20,'SG01'!L:L)*SG01_+SUMIF('SG02'!$B:$B,$B20,'SG02'!L:L)*SG02_+SUMIF('SG03'!$B:$B,$B20,'SG03'!L:L)*SG03_+SUMIF('SG04'!$B:$B,$B20,'SG04'!L:L)*SG04_+SUMIF('SG05'!$B:$B,$B20,'SG05'!L:L)*SG05_+SUMIF('SG06'!$B:$B,$B20,'SG06'!L:L)*SG06_+SUMIF('SG07'!$B:$B,$B20,'SG07'!L:L)*SG07_+SUMIF('SG08'!$B:$B,$B20,'SG08'!L:L)*SG08_+SUMIF('SG09'!$B:$B,$B20,'SG09'!L:L)*SG09_+SUMIF('SG10'!$B:$B,$B20,'SG10'!L:L)*SG10_+SUMIF('SG11'!$B:$B,$B20,'SG11'!L:L)*SG11_+SUMIF('SG12'!$B:$B,$B20,'SG12'!L:L)*SG12_+SUMIF('SG13'!$B:$B,$B20,'SG13'!L:L)*SG13_+SUMIF('SG14'!$B:$B,$B20,'SG14'!L:L)*SG14_+SUMIF('SG15'!$B:$B,$B20,'SG15'!L:L)*SG15_)</f>
        <v>3094000</v>
      </c>
      <c r="M20" s="256">
        <f t="shared" ca="1" si="44"/>
        <v>2056489.3529411764</v>
      </c>
      <c r="N20" s="300">
        <f t="shared" ca="1" si="45"/>
        <v>0.33532987946309745</v>
      </c>
      <c r="O20" s="301">
        <f t="shared" ca="1" si="46"/>
        <v>1.9954042499401828E-3</v>
      </c>
      <c r="P20" s="301">
        <f t="shared" ca="1" si="47"/>
        <v>1.998830764155704E-3</v>
      </c>
      <c r="Q20" s="301">
        <f t="shared" ca="1" si="48"/>
        <v>2.3673062546723149E-3</v>
      </c>
      <c r="R20" s="302">
        <f t="shared" ca="1" si="49"/>
        <v>1.0289737340915246</v>
      </c>
      <c r="S20" s="545">
        <f t="shared" ca="1" si="50"/>
        <v>3.0230708035003979</v>
      </c>
      <c r="T20" s="546">
        <f t="shared" ca="1" si="51"/>
        <v>246141.60700079554</v>
      </c>
      <c r="U20" s="121"/>
      <c r="V20" s="327" t="str">
        <f t="shared" ca="1" si="52"/>
        <v>Low</v>
      </c>
      <c r="W20" s="327" t="str">
        <f t="shared" ca="1" si="53"/>
        <v>High</v>
      </c>
      <c r="X20" s="328" t="str">
        <f t="shared" ca="1" si="54"/>
        <v>Puzzle</v>
      </c>
      <c r="AB20" s="591" t="s">
        <v>493</v>
      </c>
      <c r="AC20" s="592" t="s">
        <v>440</v>
      </c>
      <c r="AD20" s="593">
        <f t="shared" ca="1" si="2"/>
        <v>9489000</v>
      </c>
      <c r="AE20" s="593">
        <f t="shared" ca="1" si="55"/>
        <v>2569.4557270511777</v>
      </c>
      <c r="AF20" s="593">
        <f t="shared" ca="1" si="1"/>
        <v>3163</v>
      </c>
      <c r="AG20" s="594">
        <f t="shared" ca="1" si="56"/>
        <v>85.648524235039261</v>
      </c>
      <c r="AH20" s="595">
        <f ca="1">(SUMIF('SG01'!$AA:$AA,$AB20,'SG01'!AG:AG)*SG01_+SUMIF('SG02'!$AA:$AA,$AB20,'SG02'!AG:AG)*SG02_+SUMIF('SG03'!$AA:$AA,$AB20,'SG03'!AG:AG)*SG03_+SUMIF('SG04'!$AA:$AA,$AB20,'SG04'!AG:AG)*SG04_+SUMIF('SG05'!$AA:$AA,$AB20,'SG05'!AG:AG)*SG05_+SUMIF('SG06'!$AA:$AA,$AB20,'SG06'!AG:AG)*SG06_+SUMIF('SG07'!$AA:$AA,$AB20,'SG07'!AG:AG)*SG07_+SUMIF('SG08'!$AA:$AA,$AB20,'SG08'!AG:AG)*SG08_+SUMIF('SG09'!$AA:$AA,$AB20,'SG09'!AG:AG)*SG09_+SUMIF('SG10'!$AA:$AA,$AB20,'SG10'!AG:AG)*SG10_+SUMIF('SG11'!$AA:$AA,$AB20,'SG11'!AG:AG)*SG11_+SUMIF('SG12'!$AA:$AA,$AB20,'SG12'!AG:AG)*SG12_+SUMIF('SG13'!$AA:$AA,$AB20,'SG13'!AG:AG)*SG13_+SUMIF('SG14'!$AA:$AA,$AB20,'SG14'!AG:AG)*SG14_+SUMIF('SG15'!$AA:$AA,$AB20,'SG15'!AG:AG)*SG15_)</f>
        <v>9081000</v>
      </c>
      <c r="AI20" s="595">
        <f t="shared" ca="1" si="57"/>
        <v>2579.0968474865094</v>
      </c>
      <c r="AJ20" s="595">
        <f ca="1">(SUMIF('SG01'!$AA:$AA,$AB20,'SG01'!AI:AI)*SG01_+SUMIF('SG02'!$AA:$AA,$AB20,'SG02'!AI:AI)*SG02_+SUMIF('SG03'!$AA:$AA,$AB20,'SG03'!AI:AI)*SG03_+SUMIF('SG04'!$AA:$AA,$AB20,'SG04'!AI:AI)*SG04_+SUMIF('SG05'!$AA:$AA,$AB20,'SG05'!AI:AI)*SG05_+SUMIF('SG06'!$AA:$AA,$AB20,'SG06'!AI:AI)*SG06_+SUMIF('SG07'!$AA:$AA,$AB20,'SG07'!AI:AI)*SG07_+SUMIF('SG08'!$AA:$AA,$AB20,'SG08'!AI:AI)*SG08_+SUMIF('SG09'!$AA:$AA,$AB20,'SG09'!AI:AI)*SG09_+SUMIF('SG10'!$AA:$AA,$AB20,'SG10'!AI:AI)*SG10_+SUMIF('SG11'!$AA:$AA,$AB20,'SG11'!AI:AI)*SG11_+SUMIF('SG12'!$AA:$AA,$AB20,'SG12'!AI:AI)*SG12_+SUMIF('SG13'!$AA:$AA,$AB20,'SG13'!AI:AI)*SG13_+SUMIF('SG14'!$AA:$AA,$AB20,'SG14'!AI:AI)*SG14_+SUMIF('SG15'!$AA:$AA,$AB20,'SG15'!AI:AI)*SG15_)</f>
        <v>3027</v>
      </c>
      <c r="AK20" s="596">
        <f t="shared" ca="1" si="58"/>
        <v>85.969894916216987</v>
      </c>
      <c r="AL20" s="597">
        <f t="shared" ca="1" si="59"/>
        <v>-9.6411204353316862</v>
      </c>
      <c r="AM20" s="597">
        <f t="shared" ca="1" si="60"/>
        <v>-0.32137068117772571</v>
      </c>
    </row>
    <row r="21" spans="1:39" ht="19.5" customHeight="1" x14ac:dyDescent="0.35">
      <c r="A21" s="366">
        <f t="shared" ref="A21:A30" si="61">+A20+1</f>
        <v>4</v>
      </c>
      <c r="B21" s="467" t="s">
        <v>589</v>
      </c>
      <c r="C21" s="365" t="str">
        <f>VLOOKUP(B21,'SG02'!$B:$E,2,0)</f>
        <v>Rau Salad Bơ Xốt Mè Rang</v>
      </c>
      <c r="D21" s="365"/>
      <c r="E21" s="468" t="str">
        <f>VLOOKUP(B21,'SG01'!$B:$E,4,0)</f>
        <v>Phần</v>
      </c>
      <c r="F21" s="61">
        <f t="shared" ca="1" si="41"/>
        <v>20205.796296296296</v>
      </c>
      <c r="G21" s="61">
        <f t="shared" ca="1" si="42"/>
        <v>81594.936708860754</v>
      </c>
      <c r="H21" s="273">
        <f t="shared" ca="1" si="43"/>
        <v>61389.140412564462</v>
      </c>
      <c r="I21" s="255">
        <f ca="1">(SUMIF('SG01'!$B:$B,$B21,'SG01'!I:I)*SG01_+SUMIF('SG02'!$B:$B,$B21,'SG02'!I:I)*SG02_+SUMIF('SG03'!$B:$B,$B21,'SG03'!I:I)*SG03_+SUMIF('SG04'!$B:$B,$B21,'SG04'!I:I)*SG04_+SUMIF('SG05'!$B:$B,$B21,'SG05'!I:I)*SG05_+SUMIF('SG06'!$B:$B,$B21,'SG06'!I:I)*SG06_+SUMIF('SG07'!$B:$B,$B21,'SG07'!I:I)*SG07_+SUMIF('SG08'!$B:$B,$B21,'SG08'!I:I)*SG08_+SUMIF('SG09'!$B:$B,$B21,'SG09'!I:I)*SG09_+SUMIF('SG10'!$B:$B,$B21,'SG10'!I:I)*SG10_+SUMIF('SG11'!$B:$B,$B21,'SG11'!I:I)*SG11_+SUMIF('SG12'!$B:$B,$B21,'SG12'!I:I)*SG12_+SUMIF('SG13'!$B:$B,$B21,'SG13'!I:I)*SG13_+SUMIF('SG14'!$B:$B,$B21,'SG14'!I:I)*SG14_+SUMIF('SG15'!$B:$B,$B21,'SG15'!I:I)*SG15_)</f>
        <v>79</v>
      </c>
      <c r="J21" s="256"/>
      <c r="K21" s="61">
        <f ca="1">(SUMIF('SG01'!$B:$B,$B21,'SG01'!K:K)*SG01_+SUMIF('SG02'!$B:$B,$B21,'SG02'!K:K)*SG02_+SUMIF('SG03'!$B:$B,$B21,'SG03'!K:K)*SG03_+SUMIF('SG04'!$B:$B,$B21,'SG04'!K:K)*SG04_+SUMIF('SG05'!$B:$B,$B21,'SG05'!K:K)*SG05_+SUMIF('SG06'!$B:$B,$B21,'SG06'!K:K)*SG06_+SUMIF('SG07'!$B:$B,$B21,'SG07'!K:K)*SG07_+SUMIF('SG08'!$B:$B,$B21,'SG08'!K:K)*SG08_+SUMIF('SG09'!$B:$B,$B21,'SG09'!K:K)*SG09_+SUMIF('SG10'!$B:$B,$B21,'SG10'!K:K)*SG10_+SUMIF('SG11'!$B:$B,$B21,'SG11'!K:K)*SG11_+SUMIF('SG12'!$B:$B,$B21,'SG12'!K:K)*SG12_+SUMIF('SG13'!$B:$B,$B21,'SG13'!K:K)*SG13_+SUMIF('SG14'!$B:$B,$B21,'SG14'!K:K)*SG14_+SUMIF('SG15'!$B:$B,$B21,'SG15'!K:K)*SG15_)</f>
        <v>1596257.9074074074</v>
      </c>
      <c r="L21" s="61">
        <f ca="1">(SUMIF('SG01'!$B:$B,$B21,'SG01'!L:L)*SG01_+SUMIF('SG02'!$B:$B,$B21,'SG02'!L:L)*SG02_+SUMIF('SG03'!$B:$B,$B21,'SG03'!L:L)*SG03_+SUMIF('SG04'!$B:$B,$B21,'SG04'!L:L)*SG04_+SUMIF('SG05'!$B:$B,$B21,'SG05'!L:L)*SG05_+SUMIF('SG06'!$B:$B,$B21,'SG06'!L:L)*SG06_+SUMIF('SG07'!$B:$B,$B21,'SG07'!L:L)*SG07_+SUMIF('SG08'!$B:$B,$B21,'SG08'!L:L)*SG08_+SUMIF('SG09'!$B:$B,$B21,'SG09'!L:L)*SG09_+SUMIF('SG10'!$B:$B,$B21,'SG10'!L:L)*SG10_+SUMIF('SG11'!$B:$B,$B21,'SG11'!L:L)*SG11_+SUMIF('SG12'!$B:$B,$B21,'SG12'!L:L)*SG12_+SUMIF('SG13'!$B:$B,$B21,'SG13'!L:L)*SG13_+SUMIF('SG14'!$B:$B,$B21,'SG14'!L:L)*SG14_+SUMIF('SG15'!$B:$B,$B21,'SG15'!L:L)*SG15_)</f>
        <v>6446000</v>
      </c>
      <c r="M21" s="256">
        <f t="shared" ca="1" si="44"/>
        <v>4849742.0925925924</v>
      </c>
      <c r="N21" s="300">
        <f t="shared" ca="1" si="45"/>
        <v>0.24763541846221027</v>
      </c>
      <c r="O21" s="301">
        <f t="shared" ca="1" si="46"/>
        <v>4.1571996752147447E-3</v>
      </c>
      <c r="P21" s="301">
        <f t="shared" ca="1" si="47"/>
        <v>4.7137679944858025E-3</v>
      </c>
      <c r="Q21" s="301">
        <f t="shared" ca="1" si="48"/>
        <v>4.9215051083977071E-3</v>
      </c>
      <c r="R21" s="302">
        <f t="shared" ca="1" si="49"/>
        <v>2.139182236663959</v>
      </c>
      <c r="S21" s="545">
        <f t="shared" ca="1" si="50"/>
        <v>6.2848050914876694</v>
      </c>
      <c r="T21" s="546">
        <f t="shared" ca="1" si="51"/>
        <v>512808.27366746223</v>
      </c>
      <c r="U21" s="121"/>
      <c r="V21" s="327" t="str">
        <f t="shared" ca="1" si="52"/>
        <v>Low</v>
      </c>
      <c r="W21" s="327" t="str">
        <f t="shared" ca="1" si="53"/>
        <v>High</v>
      </c>
      <c r="X21" s="328" t="str">
        <f t="shared" ca="1" si="54"/>
        <v>Puzzle</v>
      </c>
      <c r="AB21" s="329"/>
      <c r="AC21" s="531"/>
      <c r="AD21" s="329"/>
      <c r="AE21" s="329"/>
      <c r="AF21" s="329"/>
      <c r="AG21" s="532"/>
      <c r="AH21" s="329"/>
      <c r="AI21" s="329"/>
      <c r="AJ21" s="329"/>
      <c r="AK21" s="532"/>
      <c r="AL21" s="533"/>
      <c r="AM21" s="533"/>
    </row>
    <row r="22" spans="1:39" ht="19.5" customHeight="1" x14ac:dyDescent="0.35">
      <c r="A22" s="366">
        <f t="shared" si="61"/>
        <v>5</v>
      </c>
      <c r="B22" s="467" t="s">
        <v>590</v>
      </c>
      <c r="C22" s="365" t="str">
        <f>VLOOKUP(B22,'SG02'!$B:$E,2,0)</f>
        <v>Rau Củ Muối Chua Ngọt</v>
      </c>
      <c r="D22" s="365"/>
      <c r="E22" s="468" t="str">
        <f>VLOOKUP(B22,'SG01'!$B:$E,4,0)</f>
        <v>Phần</v>
      </c>
      <c r="F22" s="61">
        <f t="shared" ca="1" si="41"/>
        <v>7147.2</v>
      </c>
      <c r="G22" s="61">
        <f t="shared" ca="1" si="42"/>
        <v>51666.666666666664</v>
      </c>
      <c r="H22" s="273">
        <f t="shared" ca="1" si="43"/>
        <v>44519.466666666667</v>
      </c>
      <c r="I22" s="255">
        <f ca="1">(SUMIF('SG01'!$B:$B,$B22,'SG01'!I:I)*SG01_+SUMIF('SG02'!$B:$B,$B22,'SG02'!I:I)*SG02_+SUMIF('SG03'!$B:$B,$B22,'SG03'!I:I)*SG03_+SUMIF('SG04'!$B:$B,$B22,'SG04'!I:I)*SG04_+SUMIF('SG05'!$B:$B,$B22,'SG05'!I:I)*SG05_+SUMIF('SG06'!$B:$B,$B22,'SG06'!I:I)*SG06_+SUMIF('SG07'!$B:$B,$B22,'SG07'!I:I)*SG07_+SUMIF('SG08'!$B:$B,$B22,'SG08'!I:I)*SG08_+SUMIF('SG09'!$B:$B,$B22,'SG09'!I:I)*SG09_+SUMIF('SG10'!$B:$B,$B22,'SG10'!I:I)*SG10_+SUMIF('SG11'!$B:$B,$B22,'SG11'!I:I)*SG11_+SUMIF('SG12'!$B:$B,$B22,'SG12'!I:I)*SG12_+SUMIF('SG13'!$B:$B,$B22,'SG13'!I:I)*SG13_+SUMIF('SG14'!$B:$B,$B22,'SG14'!I:I)*SG14_+SUMIF('SG15'!$B:$B,$B22,'SG15'!I:I)*SG15_)</f>
        <v>12</v>
      </c>
      <c r="J22" s="256"/>
      <c r="K22" s="61">
        <f ca="1">(SUMIF('SG01'!$B:$B,$B22,'SG01'!K:K)*SG01_+SUMIF('SG02'!$B:$B,$B22,'SG02'!K:K)*SG02_+SUMIF('SG03'!$B:$B,$B22,'SG03'!K:K)*SG03_+SUMIF('SG04'!$B:$B,$B22,'SG04'!K:K)*SG04_+SUMIF('SG05'!$B:$B,$B22,'SG05'!K:K)*SG05_+SUMIF('SG06'!$B:$B,$B22,'SG06'!K:K)*SG06_+SUMIF('SG07'!$B:$B,$B22,'SG07'!K:K)*SG07_+SUMIF('SG08'!$B:$B,$B22,'SG08'!K:K)*SG08_+SUMIF('SG09'!$B:$B,$B22,'SG09'!K:K)*SG09_+SUMIF('SG10'!$B:$B,$B22,'SG10'!K:K)*SG10_+SUMIF('SG11'!$B:$B,$B22,'SG11'!K:K)*SG11_+SUMIF('SG12'!$B:$B,$B22,'SG12'!K:K)*SG12_+SUMIF('SG13'!$B:$B,$B22,'SG13'!K:K)*SG13_+SUMIF('SG14'!$B:$B,$B22,'SG14'!K:K)*SG14_+SUMIF('SG15'!$B:$B,$B22,'SG15'!K:K)*SG15_)</f>
        <v>85766.399999999994</v>
      </c>
      <c r="L22" s="61">
        <f ca="1">(SUMIF('SG01'!$B:$B,$B22,'SG01'!L:L)*SG01_+SUMIF('SG02'!$B:$B,$B22,'SG02'!L:L)*SG02_+SUMIF('SG03'!$B:$B,$B22,'SG03'!L:L)*SG03_+SUMIF('SG04'!$B:$B,$B22,'SG04'!L:L)*SG04_+SUMIF('SG05'!$B:$B,$B22,'SG05'!L:L)*SG05_+SUMIF('SG06'!$B:$B,$B22,'SG06'!L:L)*SG06_+SUMIF('SG07'!$B:$B,$B22,'SG07'!L:L)*SG07_+SUMIF('SG08'!$B:$B,$B22,'SG08'!L:L)*SG08_+SUMIF('SG09'!$B:$B,$B22,'SG09'!L:L)*SG09_+SUMIF('SG10'!$B:$B,$B22,'SG10'!L:L)*SG10_+SUMIF('SG11'!$B:$B,$B22,'SG11'!L:L)*SG11_+SUMIF('SG12'!$B:$B,$B22,'SG12'!L:L)*SG12_+SUMIF('SG13'!$B:$B,$B22,'SG13'!L:L)*SG13_+SUMIF('SG14'!$B:$B,$B22,'SG14'!L:L)*SG14_+SUMIF('SG15'!$B:$B,$B22,'SG15'!L:L)*SG15_)</f>
        <v>620000</v>
      </c>
      <c r="M22" s="256">
        <f t="shared" ca="1" si="44"/>
        <v>534233.59999999998</v>
      </c>
      <c r="N22" s="300">
        <f t="shared" ca="1" si="45"/>
        <v>0.13833290322580644</v>
      </c>
      <c r="O22" s="301">
        <f t="shared" ca="1" si="46"/>
        <v>3.9985476243145233E-4</v>
      </c>
      <c r="P22" s="301">
        <f t="shared" ca="1" si="47"/>
        <v>5.1925508556532613E-4</v>
      </c>
      <c r="Q22" s="301">
        <f t="shared" ca="1" si="48"/>
        <v>7.4757039621230995E-4</v>
      </c>
      <c r="R22" s="302">
        <f t="shared" ca="1" si="49"/>
        <v>0.3249390739236393</v>
      </c>
      <c r="S22" s="545">
        <f t="shared" ca="1" si="50"/>
        <v>0.95465393794749387</v>
      </c>
      <c r="T22" s="546">
        <f t="shared" ca="1" si="51"/>
        <v>49323.786793953848</v>
      </c>
      <c r="U22" s="121"/>
      <c r="V22" s="327" t="str">
        <f t="shared" ca="1" si="52"/>
        <v>Low</v>
      </c>
      <c r="W22" s="327" t="str">
        <f t="shared" ca="1" si="53"/>
        <v>Low</v>
      </c>
      <c r="X22" s="328" t="str">
        <f t="shared" ca="1" si="54"/>
        <v>Dog</v>
      </c>
      <c r="AB22" s="329"/>
      <c r="AC22" s="531"/>
      <c r="AD22" s="329"/>
      <c r="AE22" s="329"/>
      <c r="AF22" s="329"/>
      <c r="AG22" s="532"/>
      <c r="AH22" s="329"/>
      <c r="AI22" s="329"/>
      <c r="AJ22" s="329"/>
      <c r="AK22" s="532"/>
      <c r="AL22" s="533"/>
      <c r="AM22" s="533"/>
    </row>
    <row r="23" spans="1:39" ht="19.5" customHeight="1" x14ac:dyDescent="0.35">
      <c r="A23" s="366">
        <f t="shared" si="61"/>
        <v>6</v>
      </c>
      <c r="B23" s="467" t="s">
        <v>591</v>
      </c>
      <c r="C23" s="365" t="str">
        <f>VLOOKUP(B23,'SG02'!$B:$E,2,0)</f>
        <v>Bạch Quả</v>
      </c>
      <c r="D23" s="365"/>
      <c r="E23" s="468" t="str">
        <f>VLOOKUP(B23,'SG01'!$B:$E,4,0)</f>
        <v>Phần</v>
      </c>
      <c r="F23" s="61">
        <f t="shared" ca="1" si="41"/>
        <v>11788</v>
      </c>
      <c r="G23" s="61">
        <f t="shared" ca="1" si="42"/>
        <v>39000</v>
      </c>
      <c r="H23" s="273">
        <f t="shared" ca="1" si="43"/>
        <v>27212</v>
      </c>
      <c r="I23" s="255">
        <f ca="1">(SUMIF('SG01'!$B:$B,$B23,'SG01'!I:I)*SG01_+SUMIF('SG02'!$B:$B,$B23,'SG02'!I:I)*SG02_+SUMIF('SG03'!$B:$B,$B23,'SG03'!I:I)*SG03_+SUMIF('SG04'!$B:$B,$B23,'SG04'!I:I)*SG04_+SUMIF('SG05'!$B:$B,$B23,'SG05'!I:I)*SG05_+SUMIF('SG06'!$B:$B,$B23,'SG06'!I:I)*SG06_+SUMIF('SG07'!$B:$B,$B23,'SG07'!I:I)*SG07_+SUMIF('SG08'!$B:$B,$B23,'SG08'!I:I)*SG08_+SUMIF('SG09'!$B:$B,$B23,'SG09'!I:I)*SG09_+SUMIF('SG10'!$B:$B,$B23,'SG10'!I:I)*SG10_+SUMIF('SG11'!$B:$B,$B23,'SG11'!I:I)*SG11_+SUMIF('SG12'!$B:$B,$B23,'SG12'!I:I)*SG12_+SUMIF('SG13'!$B:$B,$B23,'SG13'!I:I)*SG13_+SUMIF('SG14'!$B:$B,$B23,'SG14'!I:I)*SG14_+SUMIF('SG15'!$B:$B,$B23,'SG15'!I:I)*SG15_)</f>
        <v>22</v>
      </c>
      <c r="J23" s="256"/>
      <c r="K23" s="61">
        <f ca="1">(SUMIF('SG01'!$B:$B,$B23,'SG01'!K:K)*SG01_+SUMIF('SG02'!$B:$B,$B23,'SG02'!K:K)*SG02_+SUMIF('SG03'!$B:$B,$B23,'SG03'!K:K)*SG03_+SUMIF('SG04'!$B:$B,$B23,'SG04'!K:K)*SG04_+SUMIF('SG05'!$B:$B,$B23,'SG05'!K:K)*SG05_+SUMIF('SG06'!$B:$B,$B23,'SG06'!K:K)*SG06_+SUMIF('SG07'!$B:$B,$B23,'SG07'!K:K)*SG07_+SUMIF('SG08'!$B:$B,$B23,'SG08'!K:K)*SG08_+SUMIF('SG09'!$B:$B,$B23,'SG09'!K:K)*SG09_+SUMIF('SG10'!$B:$B,$B23,'SG10'!K:K)*SG10_+SUMIF('SG11'!$B:$B,$B23,'SG11'!K:K)*SG11_+SUMIF('SG12'!$B:$B,$B23,'SG12'!K:K)*SG12_+SUMIF('SG13'!$B:$B,$B23,'SG13'!K:K)*SG13_+SUMIF('SG14'!$B:$B,$B23,'SG14'!K:K)*SG14_+SUMIF('SG15'!$B:$B,$B23,'SG15'!K:K)*SG15_)</f>
        <v>259336</v>
      </c>
      <c r="L23" s="61">
        <f ca="1">(SUMIF('SG01'!$B:$B,$B23,'SG01'!L:L)*SG01_+SUMIF('SG02'!$B:$B,$B23,'SG02'!L:L)*SG02_+SUMIF('SG03'!$B:$B,$B23,'SG03'!L:L)*SG03_+SUMIF('SG04'!$B:$B,$B23,'SG04'!L:L)*SG04_+SUMIF('SG05'!$B:$B,$B23,'SG05'!L:L)*SG05_+SUMIF('SG06'!$B:$B,$B23,'SG06'!L:L)*SG06_+SUMIF('SG07'!$B:$B,$B23,'SG07'!L:L)*SG07_+SUMIF('SG08'!$B:$B,$B23,'SG08'!L:L)*SG08_+SUMIF('SG09'!$B:$B,$B23,'SG09'!L:L)*SG09_+SUMIF('SG10'!$B:$B,$B23,'SG10'!L:L)*SG10_+SUMIF('SG11'!$B:$B,$B23,'SG11'!L:L)*SG11_+SUMIF('SG12'!$B:$B,$B23,'SG12'!L:L)*SG12_+SUMIF('SG13'!$B:$B,$B23,'SG13'!L:L)*SG13_+SUMIF('SG14'!$B:$B,$B23,'SG14'!L:L)*SG14_+SUMIF('SG15'!$B:$B,$B23,'SG15'!L:L)*SG15_)</f>
        <v>858000</v>
      </c>
      <c r="M23" s="256">
        <f t="shared" ca="1" si="44"/>
        <v>598664</v>
      </c>
      <c r="N23" s="300">
        <f t="shared" ca="1" si="45"/>
        <v>0.30225641025641026</v>
      </c>
      <c r="O23" s="301">
        <f t="shared" ca="1" si="46"/>
        <v>5.5334739704223561E-4</v>
      </c>
      <c r="P23" s="301">
        <f t="shared" ca="1" si="47"/>
        <v>5.8187902547664617E-4</v>
      </c>
      <c r="Q23" s="301">
        <f t="shared" ca="1" si="48"/>
        <v>1.3705457263892349E-3</v>
      </c>
      <c r="R23" s="302">
        <f t="shared" ca="1" si="49"/>
        <v>0.59572163552667212</v>
      </c>
      <c r="S23" s="545">
        <f t="shared" ca="1" si="50"/>
        <v>1.7501988862370723</v>
      </c>
      <c r="T23" s="546">
        <f t="shared" ca="1" si="51"/>
        <v>68257.756563245814</v>
      </c>
      <c r="U23" s="121"/>
      <c r="V23" s="327" t="str">
        <f t="shared" ca="1" si="52"/>
        <v>Low</v>
      </c>
      <c r="W23" s="327" t="str">
        <f t="shared" ca="1" si="53"/>
        <v>Low</v>
      </c>
      <c r="X23" s="328" t="str">
        <f t="shared" ca="1" si="54"/>
        <v>Dog</v>
      </c>
      <c r="AB23" s="329"/>
      <c r="AC23" s="531"/>
      <c r="AD23" s="329"/>
      <c r="AE23" s="329"/>
      <c r="AF23" s="329"/>
      <c r="AG23" s="532"/>
      <c r="AH23" s="329"/>
      <c r="AI23" s="329"/>
      <c r="AJ23" s="329"/>
      <c r="AK23" s="532"/>
      <c r="AL23" s="533"/>
      <c r="AM23" s="533"/>
    </row>
    <row r="24" spans="1:39" ht="19.5" customHeight="1" x14ac:dyDescent="0.35">
      <c r="A24" s="366">
        <f t="shared" si="61"/>
        <v>7</v>
      </c>
      <c r="B24" s="467" t="s">
        <v>592</v>
      </c>
      <c r="C24" s="365" t="str">
        <f>VLOOKUP(B24,'SG02'!$B:$E,2,0)</f>
        <v>Đậu Nành Nhật</v>
      </c>
      <c r="D24" s="365"/>
      <c r="E24" s="468" t="str">
        <f>VLOOKUP(B24,'SG01'!$B:$E,4,0)</f>
        <v>Phần</v>
      </c>
      <c r="F24" s="61">
        <f t="shared" ca="1" si="41"/>
        <v>13625.134146341463</v>
      </c>
      <c r="G24" s="61">
        <f t="shared" ca="1" si="42"/>
        <v>50694.444444444445</v>
      </c>
      <c r="H24" s="273">
        <f t="shared" ca="1" si="43"/>
        <v>37069.310298102981</v>
      </c>
      <c r="I24" s="255">
        <f ca="1">(SUMIF('SG01'!$B:$B,$B24,'SG01'!I:I)*SG01_+SUMIF('SG02'!$B:$B,$B24,'SG02'!I:I)*SG02_+SUMIF('SG03'!$B:$B,$B24,'SG03'!I:I)*SG03_+SUMIF('SG04'!$B:$B,$B24,'SG04'!I:I)*SG04_+SUMIF('SG05'!$B:$B,$B24,'SG05'!I:I)*SG05_+SUMIF('SG06'!$B:$B,$B24,'SG06'!I:I)*SG06_+SUMIF('SG07'!$B:$B,$B24,'SG07'!I:I)*SG07_+SUMIF('SG08'!$B:$B,$B24,'SG08'!I:I)*SG08_+SUMIF('SG09'!$B:$B,$B24,'SG09'!I:I)*SG09_+SUMIF('SG10'!$B:$B,$B24,'SG10'!I:I)*SG10_+SUMIF('SG11'!$B:$B,$B24,'SG11'!I:I)*SG11_+SUMIF('SG12'!$B:$B,$B24,'SG12'!I:I)*SG12_+SUMIF('SG13'!$B:$B,$B24,'SG13'!I:I)*SG13_+SUMIF('SG14'!$B:$B,$B24,'SG14'!I:I)*SG14_+SUMIF('SG15'!$B:$B,$B24,'SG15'!I:I)*SG15_)</f>
        <v>72</v>
      </c>
      <c r="J24" s="256"/>
      <c r="K24" s="61">
        <f ca="1">(SUMIF('SG01'!$B:$B,$B24,'SG01'!K:K)*SG01_+SUMIF('SG02'!$B:$B,$B24,'SG02'!K:K)*SG02_+SUMIF('SG03'!$B:$B,$B24,'SG03'!K:K)*SG03_+SUMIF('SG04'!$B:$B,$B24,'SG04'!K:K)*SG04_+SUMIF('SG05'!$B:$B,$B24,'SG05'!K:K)*SG05_+SUMIF('SG06'!$B:$B,$B24,'SG06'!K:K)*SG06_+SUMIF('SG07'!$B:$B,$B24,'SG07'!K:K)*SG07_+SUMIF('SG08'!$B:$B,$B24,'SG08'!K:K)*SG08_+SUMIF('SG09'!$B:$B,$B24,'SG09'!K:K)*SG09_+SUMIF('SG10'!$B:$B,$B24,'SG10'!K:K)*SG10_+SUMIF('SG11'!$B:$B,$B24,'SG11'!K:K)*SG11_+SUMIF('SG12'!$B:$B,$B24,'SG12'!K:K)*SG12_+SUMIF('SG13'!$B:$B,$B24,'SG13'!K:K)*SG13_+SUMIF('SG14'!$B:$B,$B24,'SG14'!K:K)*SG14_+SUMIF('SG15'!$B:$B,$B24,'SG15'!K:K)*SG15_)</f>
        <v>981009.65853658528</v>
      </c>
      <c r="L24" s="61">
        <f ca="1">(SUMIF('SG01'!$B:$B,$B24,'SG01'!L:L)*SG01_+SUMIF('SG02'!$B:$B,$B24,'SG02'!L:L)*SG02_+SUMIF('SG03'!$B:$B,$B24,'SG03'!L:L)*SG03_+SUMIF('SG04'!$B:$B,$B24,'SG04'!L:L)*SG04_+SUMIF('SG05'!$B:$B,$B24,'SG05'!L:L)*SG05_+SUMIF('SG06'!$B:$B,$B24,'SG06'!L:L)*SG06_+SUMIF('SG07'!$B:$B,$B24,'SG07'!L:L)*SG07_+SUMIF('SG08'!$B:$B,$B24,'SG08'!L:L)*SG08_+SUMIF('SG09'!$B:$B,$B24,'SG09'!L:L)*SG09_+SUMIF('SG10'!$B:$B,$B24,'SG10'!L:L)*SG10_+SUMIF('SG11'!$B:$B,$B24,'SG11'!L:L)*SG11_+SUMIF('SG12'!$B:$B,$B24,'SG12'!L:L)*SG12_+SUMIF('SG13'!$B:$B,$B24,'SG13'!L:L)*SG13_+SUMIF('SG14'!$B:$B,$B24,'SG14'!L:L)*SG14_+SUMIF('SG15'!$B:$B,$B24,'SG15'!L:L)*SG15_)</f>
        <v>3650000</v>
      </c>
      <c r="M24" s="256">
        <f t="shared" ca="1" si="44"/>
        <v>2668990.341463415</v>
      </c>
      <c r="N24" s="300">
        <f t="shared" ca="1" si="45"/>
        <v>0.26876976946207815</v>
      </c>
      <c r="O24" s="301">
        <f t="shared" ca="1" si="46"/>
        <v>2.3539836820561308E-3</v>
      </c>
      <c r="P24" s="301">
        <f t="shared" ca="1" si="47"/>
        <v>2.5941588251461806E-3</v>
      </c>
      <c r="Q24" s="301">
        <f t="shared" ca="1" si="48"/>
        <v>4.4854223772738599E-3</v>
      </c>
      <c r="R24" s="302">
        <f t="shared" ca="1" si="49"/>
        <v>1.949634443541836</v>
      </c>
      <c r="S24" s="545">
        <f t="shared" ca="1" si="50"/>
        <v>5.7279236276849641</v>
      </c>
      <c r="T24" s="546">
        <f t="shared" ca="1" si="51"/>
        <v>290373.90612569608</v>
      </c>
      <c r="U24" s="121"/>
      <c r="V24" s="327" t="str">
        <f t="shared" ca="1" si="52"/>
        <v>Low</v>
      </c>
      <c r="W24" s="327" t="str">
        <f t="shared" ca="1" si="53"/>
        <v>High</v>
      </c>
      <c r="X24" s="328" t="str">
        <f t="shared" ca="1" si="54"/>
        <v>Puzzle</v>
      </c>
      <c r="AB24" s="329"/>
      <c r="AC24" s="531"/>
      <c r="AD24" s="329"/>
      <c r="AE24" s="329"/>
      <c r="AF24" s="329"/>
      <c r="AG24" s="532"/>
      <c r="AH24" s="329"/>
      <c r="AI24" s="329"/>
      <c r="AJ24" s="329"/>
      <c r="AK24" s="532"/>
      <c r="AL24" s="533"/>
      <c r="AM24" s="533"/>
    </row>
    <row r="25" spans="1:39" ht="19.5" customHeight="1" x14ac:dyDescent="0.35">
      <c r="A25" s="366">
        <f t="shared" si="61"/>
        <v>8</v>
      </c>
      <c r="B25" s="467" t="s">
        <v>593</v>
      </c>
      <c r="C25" s="365" t="str">
        <f>VLOOKUP(B25,'SG02'!$B:$E,2,0)</f>
        <v>Bò Tái Xốt Ponzu</v>
      </c>
      <c r="D25" s="365"/>
      <c r="E25" s="468" t="str">
        <f>VLOOKUP(B25,'SG01'!$B:$E,4,0)</f>
        <v>Phần</v>
      </c>
      <c r="F25" s="61" t="e">
        <f t="shared" ca="1" si="41"/>
        <v>#DIV/0!</v>
      </c>
      <c r="G25" s="61" t="e">
        <f t="shared" ca="1" si="42"/>
        <v>#DIV/0!</v>
      </c>
      <c r="H25" s="273" t="e">
        <f t="shared" ca="1" si="43"/>
        <v>#DIV/0!</v>
      </c>
      <c r="I25" s="255">
        <f ca="1">(SUMIF('SG01'!$B:$B,$B25,'SG01'!I:I)*SG01_+SUMIF('SG02'!$B:$B,$B25,'SG02'!I:I)*SG02_+SUMIF('SG03'!$B:$B,$B25,'SG03'!I:I)*SG03_+SUMIF('SG04'!$B:$B,$B25,'SG04'!I:I)*SG04_+SUMIF('SG05'!$B:$B,$B25,'SG05'!I:I)*SG05_+SUMIF('SG06'!$B:$B,$B25,'SG06'!I:I)*SG06_+SUMIF('SG07'!$B:$B,$B25,'SG07'!I:I)*SG07_+SUMIF('SG08'!$B:$B,$B25,'SG08'!I:I)*SG08_+SUMIF('SG09'!$B:$B,$B25,'SG09'!I:I)*SG09_+SUMIF('SG10'!$B:$B,$B25,'SG10'!I:I)*SG10_+SUMIF('SG11'!$B:$B,$B25,'SG11'!I:I)*SG11_+SUMIF('SG12'!$B:$B,$B25,'SG12'!I:I)*SG12_+SUMIF('SG13'!$B:$B,$B25,'SG13'!I:I)*SG13_+SUMIF('SG14'!$B:$B,$B25,'SG14'!I:I)*SG14_+SUMIF('SG15'!$B:$B,$B25,'SG15'!I:I)*SG15_)</f>
        <v>0</v>
      </c>
      <c r="J25" s="256"/>
      <c r="K25" s="61">
        <f ca="1">(SUMIF('SG01'!$B:$B,$B25,'SG01'!K:K)*SG01_+SUMIF('SG02'!$B:$B,$B25,'SG02'!K:K)*SG02_+SUMIF('SG03'!$B:$B,$B25,'SG03'!K:K)*SG03_+SUMIF('SG04'!$B:$B,$B25,'SG04'!K:K)*SG04_+SUMIF('SG05'!$B:$B,$B25,'SG05'!K:K)*SG05_+SUMIF('SG06'!$B:$B,$B25,'SG06'!K:K)*SG06_+SUMIF('SG07'!$B:$B,$B25,'SG07'!K:K)*SG07_+SUMIF('SG08'!$B:$B,$B25,'SG08'!K:K)*SG08_+SUMIF('SG09'!$B:$B,$B25,'SG09'!K:K)*SG09_+SUMIF('SG10'!$B:$B,$B25,'SG10'!K:K)*SG10_+SUMIF('SG11'!$B:$B,$B25,'SG11'!K:K)*SG11_+SUMIF('SG12'!$B:$B,$B25,'SG12'!K:K)*SG12_+SUMIF('SG13'!$B:$B,$B25,'SG13'!K:K)*SG13_+SUMIF('SG14'!$B:$B,$B25,'SG14'!K:K)*SG14_+SUMIF('SG15'!$B:$B,$B25,'SG15'!K:K)*SG15_)</f>
        <v>0</v>
      </c>
      <c r="L25" s="61">
        <f ca="1">(SUMIF('SG01'!$B:$B,$B25,'SG01'!L:L)*SG01_+SUMIF('SG02'!$B:$B,$B25,'SG02'!L:L)*SG02_+SUMIF('SG03'!$B:$B,$B25,'SG03'!L:L)*SG03_+SUMIF('SG04'!$B:$B,$B25,'SG04'!L:L)*SG04_+SUMIF('SG05'!$B:$B,$B25,'SG05'!L:L)*SG05_+SUMIF('SG06'!$B:$B,$B25,'SG06'!L:L)*SG06_+SUMIF('SG07'!$B:$B,$B25,'SG07'!L:L)*SG07_+SUMIF('SG08'!$B:$B,$B25,'SG08'!L:L)*SG08_+SUMIF('SG09'!$B:$B,$B25,'SG09'!L:L)*SG09_+SUMIF('SG10'!$B:$B,$B25,'SG10'!L:L)*SG10_+SUMIF('SG11'!$B:$B,$B25,'SG11'!L:L)*SG11_+SUMIF('SG12'!$B:$B,$B25,'SG12'!L:L)*SG12_+SUMIF('SG13'!$B:$B,$B25,'SG13'!L:L)*SG13_+SUMIF('SG14'!$B:$B,$B25,'SG14'!L:L)*SG14_+SUMIF('SG15'!$B:$B,$B25,'SG15'!L:L)*SG15_)</f>
        <v>0</v>
      </c>
      <c r="M25" s="256">
        <f t="shared" ca="1" si="44"/>
        <v>0</v>
      </c>
      <c r="N25" s="300" t="e">
        <f t="shared" ca="1" si="45"/>
        <v>#DIV/0!</v>
      </c>
      <c r="O25" s="301">
        <f t="shared" ca="1" si="46"/>
        <v>0</v>
      </c>
      <c r="P25" s="301">
        <f t="shared" ca="1" si="47"/>
        <v>0</v>
      </c>
      <c r="Q25" s="301">
        <f t="shared" ca="1" si="48"/>
        <v>0</v>
      </c>
      <c r="R25" s="302">
        <f t="shared" ca="1" si="49"/>
        <v>0</v>
      </c>
      <c r="S25" s="545">
        <f t="shared" ca="1" si="50"/>
        <v>0</v>
      </c>
      <c r="T25" s="546">
        <f t="shared" ca="1" si="51"/>
        <v>0</v>
      </c>
      <c r="U25" s="121"/>
      <c r="V25" s="327" t="str">
        <f t="shared" ca="1" si="52"/>
        <v>Low</v>
      </c>
      <c r="W25" s="327" t="str">
        <f t="shared" ca="1" si="53"/>
        <v>Low</v>
      </c>
      <c r="X25" s="328" t="str">
        <f t="shared" ca="1" si="54"/>
        <v>Dog</v>
      </c>
      <c r="AB25" s="329"/>
      <c r="AC25" s="531"/>
      <c r="AD25" s="329"/>
      <c r="AE25" s="329"/>
      <c r="AF25" s="329"/>
      <c r="AG25" s="532"/>
      <c r="AH25" s="329"/>
      <c r="AI25" s="329"/>
      <c r="AJ25" s="329"/>
      <c r="AK25" s="532"/>
      <c r="AL25" s="533"/>
      <c r="AM25" s="533"/>
    </row>
    <row r="26" spans="1:39" ht="19.5" customHeight="1" x14ac:dyDescent="0.35">
      <c r="A26" s="366">
        <f t="shared" si="61"/>
        <v>9</v>
      </c>
      <c r="B26" s="467" t="s">
        <v>594</v>
      </c>
      <c r="C26" s="365" t="str">
        <f>VLOOKUP(B26,'SG02'!$B:$E,2,0)</f>
        <v>Khoai Lang Chiên Rong Biển</v>
      </c>
      <c r="D26" s="365"/>
      <c r="E26" s="468" t="str">
        <f>VLOOKUP(B26,'SG01'!$B:$E,4,0)</f>
        <v>Phần</v>
      </c>
      <c r="F26" s="61">
        <f t="shared" ca="1" si="41"/>
        <v>17475.01923076923</v>
      </c>
      <c r="G26" s="61">
        <f t="shared" ca="1" si="42"/>
        <v>70833.333333333328</v>
      </c>
      <c r="H26" s="273">
        <f t="shared" ca="1" si="43"/>
        <v>53358.314102564094</v>
      </c>
      <c r="I26" s="255">
        <f ca="1">(SUMIF('SG01'!$B:$B,$B26,'SG01'!I:I)*SG01_+SUMIF('SG02'!$B:$B,$B26,'SG02'!I:I)*SG02_+SUMIF('SG03'!$B:$B,$B26,'SG03'!I:I)*SG03_+SUMIF('SG04'!$B:$B,$B26,'SG04'!I:I)*SG04_+SUMIF('SG05'!$B:$B,$B26,'SG05'!I:I)*SG05_+SUMIF('SG06'!$B:$B,$B26,'SG06'!I:I)*SG06_+SUMIF('SG07'!$B:$B,$B26,'SG07'!I:I)*SG07_+SUMIF('SG08'!$B:$B,$B26,'SG08'!I:I)*SG08_+SUMIF('SG09'!$B:$B,$B26,'SG09'!I:I)*SG09_+SUMIF('SG10'!$B:$B,$B26,'SG10'!I:I)*SG10_+SUMIF('SG11'!$B:$B,$B26,'SG11'!I:I)*SG11_+SUMIF('SG12'!$B:$B,$B26,'SG12'!I:I)*SG12_+SUMIF('SG13'!$B:$B,$B26,'SG13'!I:I)*SG13_+SUMIF('SG14'!$B:$B,$B26,'SG14'!I:I)*SG14_+SUMIF('SG15'!$B:$B,$B26,'SG15'!I:I)*SG15_)</f>
        <v>36</v>
      </c>
      <c r="J26" s="256"/>
      <c r="K26" s="61">
        <f ca="1">(SUMIF('SG01'!$B:$B,$B26,'SG01'!K:K)*SG01_+SUMIF('SG02'!$B:$B,$B26,'SG02'!K:K)*SG02_+SUMIF('SG03'!$B:$B,$B26,'SG03'!K:K)*SG03_+SUMIF('SG04'!$B:$B,$B26,'SG04'!K:K)*SG04_+SUMIF('SG05'!$B:$B,$B26,'SG05'!K:K)*SG05_+SUMIF('SG06'!$B:$B,$B26,'SG06'!K:K)*SG06_+SUMIF('SG07'!$B:$B,$B26,'SG07'!K:K)*SG07_+SUMIF('SG08'!$B:$B,$B26,'SG08'!K:K)*SG08_+SUMIF('SG09'!$B:$B,$B26,'SG09'!K:K)*SG09_+SUMIF('SG10'!$B:$B,$B26,'SG10'!K:K)*SG10_+SUMIF('SG11'!$B:$B,$B26,'SG11'!K:K)*SG11_+SUMIF('SG12'!$B:$B,$B26,'SG12'!K:K)*SG12_+SUMIF('SG13'!$B:$B,$B26,'SG13'!K:K)*SG13_+SUMIF('SG14'!$B:$B,$B26,'SG14'!K:K)*SG14_+SUMIF('SG15'!$B:$B,$B26,'SG15'!K:K)*SG15_)</f>
        <v>629100.69230769225</v>
      </c>
      <c r="L26" s="61">
        <f ca="1">(SUMIF('SG01'!$B:$B,$B26,'SG01'!L:L)*SG01_+SUMIF('SG02'!$B:$B,$B26,'SG02'!L:L)*SG02_+SUMIF('SG03'!$B:$B,$B26,'SG03'!L:L)*SG03_+SUMIF('SG04'!$B:$B,$B26,'SG04'!L:L)*SG04_+SUMIF('SG05'!$B:$B,$B26,'SG05'!L:L)*SG05_+SUMIF('SG06'!$B:$B,$B26,'SG06'!L:L)*SG06_+SUMIF('SG07'!$B:$B,$B26,'SG07'!L:L)*SG07_+SUMIF('SG08'!$B:$B,$B26,'SG08'!L:L)*SG08_+SUMIF('SG09'!$B:$B,$B26,'SG09'!L:L)*SG09_+SUMIF('SG10'!$B:$B,$B26,'SG10'!L:L)*SG10_+SUMIF('SG11'!$B:$B,$B26,'SG11'!L:L)*SG11_+SUMIF('SG12'!$B:$B,$B26,'SG12'!L:L)*SG12_+SUMIF('SG13'!$B:$B,$B26,'SG13'!L:L)*SG13_+SUMIF('SG14'!$B:$B,$B26,'SG14'!L:L)*SG14_+SUMIF('SG15'!$B:$B,$B26,'SG15'!L:L)*SG15_)</f>
        <v>2550000</v>
      </c>
      <c r="M26" s="256">
        <f t="shared" ca="1" si="44"/>
        <v>1920899.3076923077</v>
      </c>
      <c r="N26" s="300">
        <f t="shared" ca="1" si="45"/>
        <v>0.24670615384615383</v>
      </c>
      <c r="O26" s="301">
        <f t="shared" ca="1" si="46"/>
        <v>1.6445639422583925E-3</v>
      </c>
      <c r="P26" s="301">
        <f t="shared" ca="1" si="47"/>
        <v>1.8670423095405173E-3</v>
      </c>
      <c r="Q26" s="301">
        <f t="shared" ca="1" si="48"/>
        <v>2.24271118863693E-3</v>
      </c>
      <c r="R26" s="302">
        <f t="shared" ca="1" si="49"/>
        <v>0.97481722177091801</v>
      </c>
      <c r="S26" s="545">
        <f t="shared" ca="1" si="50"/>
        <v>2.8639618138424821</v>
      </c>
      <c r="T26" s="546">
        <f t="shared" ca="1" si="51"/>
        <v>202863.96181384247</v>
      </c>
      <c r="U26" s="121"/>
      <c r="V26" s="327" t="str">
        <f t="shared" ca="1" si="52"/>
        <v>Low</v>
      </c>
      <c r="W26" s="327" t="str">
        <f t="shared" ca="1" si="53"/>
        <v>Low</v>
      </c>
      <c r="X26" s="328" t="str">
        <f t="shared" ca="1" si="54"/>
        <v>Dog</v>
      </c>
      <c r="AB26" s="329"/>
      <c r="AC26" s="531"/>
      <c r="AD26" s="329"/>
      <c r="AE26" s="329"/>
      <c r="AF26" s="329"/>
      <c r="AG26" s="532"/>
      <c r="AH26" s="329"/>
      <c r="AI26" s="329"/>
      <c r="AJ26" s="329"/>
      <c r="AK26" s="532"/>
      <c r="AL26" s="533"/>
      <c r="AM26" s="533"/>
    </row>
    <row r="27" spans="1:39" ht="19.5" customHeight="1" x14ac:dyDescent="0.35">
      <c r="A27" s="366">
        <f t="shared" si="61"/>
        <v>10</v>
      </c>
      <c r="B27" s="467" t="s">
        <v>595</v>
      </c>
      <c r="C27" s="365" t="str">
        <f>VLOOKUP(B27,'SG02'!$B:$E,2,0)</f>
        <v>Sụn Gà Chiên</v>
      </c>
      <c r="D27" s="365"/>
      <c r="E27" s="468" t="str">
        <f>VLOOKUP(B27,'SG01'!$B:$E,4,0)</f>
        <v>Phần</v>
      </c>
      <c r="F27" s="61">
        <f t="shared" ca="1" si="41"/>
        <v>40652.858823529408</v>
      </c>
      <c r="G27" s="61">
        <f t="shared" ca="1" si="42"/>
        <v>121875</v>
      </c>
      <c r="H27" s="273">
        <f t="shared" ca="1" si="43"/>
        <v>81222.141176470584</v>
      </c>
      <c r="I27" s="255">
        <f ca="1">(SUMIF('SG01'!$B:$B,$B27,'SG01'!I:I)*SG01_+SUMIF('SG02'!$B:$B,$B27,'SG02'!I:I)*SG02_+SUMIF('SG03'!$B:$B,$B27,'SG03'!I:I)*SG03_+SUMIF('SG04'!$B:$B,$B27,'SG04'!I:I)*SG04_+SUMIF('SG05'!$B:$B,$B27,'SG05'!I:I)*SG05_+SUMIF('SG06'!$B:$B,$B27,'SG06'!I:I)*SG06_+SUMIF('SG07'!$B:$B,$B27,'SG07'!I:I)*SG07_+SUMIF('SG08'!$B:$B,$B27,'SG08'!I:I)*SG08_+SUMIF('SG09'!$B:$B,$B27,'SG09'!I:I)*SG09_+SUMIF('SG10'!$B:$B,$B27,'SG10'!I:I)*SG10_+SUMIF('SG11'!$B:$B,$B27,'SG11'!I:I)*SG11_+SUMIF('SG12'!$B:$B,$B27,'SG12'!I:I)*SG12_+SUMIF('SG13'!$B:$B,$B27,'SG13'!I:I)*SG13_+SUMIF('SG14'!$B:$B,$B27,'SG14'!I:I)*SG14_+SUMIF('SG15'!$B:$B,$B27,'SG15'!I:I)*SG15_)</f>
        <v>64</v>
      </c>
      <c r="J27" s="256"/>
      <c r="K27" s="61">
        <f ca="1">(SUMIF('SG01'!$B:$B,$B27,'SG01'!K:K)*SG01_+SUMIF('SG02'!$B:$B,$B27,'SG02'!K:K)*SG02_+SUMIF('SG03'!$B:$B,$B27,'SG03'!K:K)*SG03_+SUMIF('SG04'!$B:$B,$B27,'SG04'!K:K)*SG04_+SUMIF('SG05'!$B:$B,$B27,'SG05'!K:K)*SG05_+SUMIF('SG06'!$B:$B,$B27,'SG06'!K:K)*SG06_+SUMIF('SG07'!$B:$B,$B27,'SG07'!K:K)*SG07_+SUMIF('SG08'!$B:$B,$B27,'SG08'!K:K)*SG08_+SUMIF('SG09'!$B:$B,$B27,'SG09'!K:K)*SG09_+SUMIF('SG10'!$B:$B,$B27,'SG10'!K:K)*SG10_+SUMIF('SG11'!$B:$B,$B27,'SG11'!K:K)*SG11_+SUMIF('SG12'!$B:$B,$B27,'SG12'!K:K)*SG12_+SUMIF('SG13'!$B:$B,$B27,'SG13'!K:K)*SG13_+SUMIF('SG14'!$B:$B,$B27,'SG14'!K:K)*SG14_+SUMIF('SG15'!$B:$B,$B27,'SG15'!K:K)*SG15_)</f>
        <v>2601782.9647058821</v>
      </c>
      <c r="L27" s="61">
        <f ca="1">(SUMIF('SG01'!$B:$B,$B27,'SG01'!L:L)*SG01_+SUMIF('SG02'!$B:$B,$B27,'SG02'!L:L)*SG02_+SUMIF('SG03'!$B:$B,$B27,'SG03'!L:L)*SG03_+SUMIF('SG04'!$B:$B,$B27,'SG04'!L:L)*SG04_+SUMIF('SG05'!$B:$B,$B27,'SG05'!L:L)*SG05_+SUMIF('SG06'!$B:$B,$B27,'SG06'!L:L)*SG06_+SUMIF('SG07'!$B:$B,$B27,'SG07'!L:L)*SG07_+SUMIF('SG08'!$B:$B,$B27,'SG08'!L:L)*SG08_+SUMIF('SG09'!$B:$B,$B27,'SG09'!L:L)*SG09_+SUMIF('SG10'!$B:$B,$B27,'SG10'!L:L)*SG10_+SUMIF('SG11'!$B:$B,$B27,'SG11'!L:L)*SG11_+SUMIF('SG12'!$B:$B,$B27,'SG12'!L:L)*SG12_+SUMIF('SG13'!$B:$B,$B27,'SG13'!L:L)*SG13_+SUMIF('SG14'!$B:$B,$B27,'SG14'!L:L)*SG14_+SUMIF('SG15'!$B:$B,$B27,'SG15'!L:L)*SG15_)</f>
        <v>7800000</v>
      </c>
      <c r="M27" s="256">
        <f t="shared" ca="1" si="44"/>
        <v>5198217.0352941174</v>
      </c>
      <c r="N27" s="300">
        <f t="shared" ca="1" si="45"/>
        <v>0.33356191855203615</v>
      </c>
      <c r="O27" s="301">
        <f t="shared" ca="1" si="46"/>
        <v>5.0304308822021419E-3</v>
      </c>
      <c r="P27" s="301">
        <f t="shared" ca="1" si="47"/>
        <v>5.0524726102004489E-3</v>
      </c>
      <c r="Q27" s="301">
        <f t="shared" ca="1" si="48"/>
        <v>3.98704211313232E-3</v>
      </c>
      <c r="R27" s="302">
        <f t="shared" ca="1" si="49"/>
        <v>1.7330083942594097</v>
      </c>
      <c r="S27" s="545">
        <f t="shared" ca="1" si="50"/>
        <v>5.0914876690533015</v>
      </c>
      <c r="T27" s="546">
        <f t="shared" ca="1" si="51"/>
        <v>620525.05966587109</v>
      </c>
      <c r="U27" s="121"/>
      <c r="V27" s="327" t="str">
        <f t="shared" ca="1" si="52"/>
        <v>Low</v>
      </c>
      <c r="W27" s="327" t="str">
        <f t="shared" ca="1" si="53"/>
        <v>High</v>
      </c>
      <c r="X27" s="328" t="str">
        <f t="shared" ca="1" si="54"/>
        <v>Puzzle</v>
      </c>
      <c r="AB27" s="329"/>
      <c r="AC27" s="531"/>
      <c r="AD27" s="329"/>
      <c r="AE27" s="329"/>
      <c r="AF27" s="329"/>
      <c r="AG27" s="532"/>
      <c r="AH27" s="329"/>
      <c r="AI27" s="329"/>
      <c r="AJ27" s="329"/>
      <c r="AK27" s="532"/>
      <c r="AL27" s="533"/>
      <c r="AM27" s="533"/>
    </row>
    <row r="28" spans="1:39" ht="19.5" customHeight="1" x14ac:dyDescent="0.35">
      <c r="A28" s="366">
        <f t="shared" si="61"/>
        <v>11</v>
      </c>
      <c r="B28" s="467" t="s">
        <v>596</v>
      </c>
      <c r="C28" s="365" t="str">
        <f>VLOOKUP(B28,'SG02'!$B:$E,2,0)</f>
        <v>Gà Chiên Karaage</v>
      </c>
      <c r="D28" s="365"/>
      <c r="E28" s="468" t="str">
        <f>VLOOKUP(B28,'SG01'!$B:$E,4,0)</f>
        <v>Phần</v>
      </c>
      <c r="F28" s="61">
        <f t="shared" ca="1" si="41"/>
        <v>27727.08695652174</v>
      </c>
      <c r="G28" s="61">
        <f t="shared" ca="1" si="42"/>
        <v>106791.04477611941</v>
      </c>
      <c r="H28" s="273">
        <f t="shared" ca="1" si="43"/>
        <v>79063.957819597665</v>
      </c>
      <c r="I28" s="255">
        <f ca="1">(SUMIF('SG01'!$B:$B,$B28,'SG01'!I:I)*SG01_+SUMIF('SG02'!$B:$B,$B28,'SG02'!I:I)*SG02_+SUMIF('SG03'!$B:$B,$B28,'SG03'!I:I)*SG03_+SUMIF('SG04'!$B:$B,$B28,'SG04'!I:I)*SG04_+SUMIF('SG05'!$B:$B,$B28,'SG05'!I:I)*SG05_+SUMIF('SG06'!$B:$B,$B28,'SG06'!I:I)*SG06_+SUMIF('SG07'!$B:$B,$B28,'SG07'!I:I)*SG07_+SUMIF('SG08'!$B:$B,$B28,'SG08'!I:I)*SG08_+SUMIF('SG09'!$B:$B,$B28,'SG09'!I:I)*SG09_+SUMIF('SG10'!$B:$B,$B28,'SG10'!I:I)*SG10_+SUMIF('SG11'!$B:$B,$B28,'SG11'!I:I)*SG11_+SUMIF('SG12'!$B:$B,$B28,'SG12'!I:I)*SG12_+SUMIF('SG13'!$B:$B,$B28,'SG13'!I:I)*SG13_+SUMIF('SG14'!$B:$B,$B28,'SG14'!I:I)*SG14_+SUMIF('SG15'!$B:$B,$B28,'SG15'!I:I)*SG15_)</f>
        <v>67</v>
      </c>
      <c r="J28" s="256"/>
      <c r="K28" s="61">
        <f ca="1">(SUMIF('SG01'!$B:$B,$B28,'SG01'!K:K)*SG01_+SUMIF('SG02'!$B:$B,$B28,'SG02'!K:K)*SG02_+SUMIF('SG03'!$B:$B,$B28,'SG03'!K:K)*SG03_+SUMIF('SG04'!$B:$B,$B28,'SG04'!K:K)*SG04_+SUMIF('SG05'!$B:$B,$B28,'SG05'!K:K)*SG05_+SUMIF('SG06'!$B:$B,$B28,'SG06'!K:K)*SG06_+SUMIF('SG07'!$B:$B,$B28,'SG07'!K:K)*SG07_+SUMIF('SG08'!$B:$B,$B28,'SG08'!K:K)*SG08_+SUMIF('SG09'!$B:$B,$B28,'SG09'!K:K)*SG09_+SUMIF('SG10'!$B:$B,$B28,'SG10'!K:K)*SG10_+SUMIF('SG11'!$B:$B,$B28,'SG11'!K:K)*SG11_+SUMIF('SG12'!$B:$B,$B28,'SG12'!K:K)*SG12_+SUMIF('SG13'!$B:$B,$B28,'SG13'!K:K)*SG13_+SUMIF('SG14'!$B:$B,$B28,'SG14'!K:K)*SG14_+SUMIF('SG15'!$B:$B,$B28,'SG15'!K:K)*SG15_)</f>
        <v>1857714.8260869565</v>
      </c>
      <c r="L28" s="61">
        <f ca="1">(SUMIF('SG01'!$B:$B,$B28,'SG01'!L:L)*SG01_+SUMIF('SG02'!$B:$B,$B28,'SG02'!L:L)*SG02_+SUMIF('SG03'!$B:$B,$B28,'SG03'!L:L)*SG03_+SUMIF('SG04'!$B:$B,$B28,'SG04'!L:L)*SG04_+SUMIF('SG05'!$B:$B,$B28,'SG05'!L:L)*SG05_+SUMIF('SG06'!$B:$B,$B28,'SG06'!L:L)*SG06_+SUMIF('SG07'!$B:$B,$B28,'SG07'!L:L)*SG07_+SUMIF('SG08'!$B:$B,$B28,'SG08'!L:L)*SG08_+SUMIF('SG09'!$B:$B,$B28,'SG09'!L:L)*SG09_+SUMIF('SG10'!$B:$B,$B28,'SG10'!L:L)*SG10_+SUMIF('SG11'!$B:$B,$B28,'SG11'!L:L)*SG11_+SUMIF('SG12'!$B:$B,$B28,'SG12'!L:L)*SG12_+SUMIF('SG13'!$B:$B,$B28,'SG13'!L:L)*SG13_+SUMIF('SG14'!$B:$B,$B28,'SG14'!L:L)*SG14_+SUMIF('SG15'!$B:$B,$B28,'SG15'!L:L)*SG15_)</f>
        <v>7155000</v>
      </c>
      <c r="M28" s="256">
        <f t="shared" ca="1" si="44"/>
        <v>5297285.173913043</v>
      </c>
      <c r="N28" s="300">
        <f t="shared" ca="1" si="45"/>
        <v>0.25963868987937899</v>
      </c>
      <c r="O28" s="301">
        <f t="shared" ca="1" si="46"/>
        <v>4.6144529438661959E-3</v>
      </c>
      <c r="P28" s="301">
        <f t="shared" ca="1" si="47"/>
        <v>5.1487631370324711E-3</v>
      </c>
      <c r="Q28" s="301">
        <f t="shared" ca="1" si="48"/>
        <v>4.1739347121853973E-3</v>
      </c>
      <c r="R28" s="302">
        <f t="shared" ca="1" si="49"/>
        <v>1.8142431627403195</v>
      </c>
      <c r="S28" s="545">
        <f t="shared" ca="1" si="50"/>
        <v>5.3301511535401742</v>
      </c>
      <c r="T28" s="546">
        <f t="shared" ca="1" si="51"/>
        <v>569212.41050119326</v>
      </c>
      <c r="U28" s="121"/>
      <c r="V28" s="327" t="str">
        <f t="shared" ca="1" si="52"/>
        <v>Low</v>
      </c>
      <c r="W28" s="327" t="str">
        <f t="shared" ca="1" si="53"/>
        <v>High</v>
      </c>
      <c r="X28" s="328" t="str">
        <f t="shared" ca="1" si="54"/>
        <v>Puzzle</v>
      </c>
      <c r="AB28" s="329"/>
      <c r="AC28" s="531"/>
      <c r="AD28" s="329"/>
      <c r="AE28" s="329"/>
      <c r="AF28" s="329"/>
      <c r="AG28" s="532"/>
      <c r="AH28" s="329"/>
      <c r="AI28" s="329"/>
      <c r="AJ28" s="329"/>
      <c r="AK28" s="532"/>
      <c r="AL28" s="533"/>
      <c r="AM28" s="533"/>
    </row>
    <row r="29" spans="1:39" ht="19.5" customHeight="1" x14ac:dyDescent="0.35">
      <c r="A29" s="366">
        <f t="shared" si="61"/>
        <v>12</v>
      </c>
      <c r="B29" s="628" t="s">
        <v>597</v>
      </c>
      <c r="C29" s="365" t="str">
        <f>VLOOKUP(B29,'SG02'!$B:$E,2,0)</f>
        <v>Cánh Gà Chiên Tebasaki</v>
      </c>
      <c r="D29" s="365"/>
      <c r="E29" s="468" t="str">
        <f>VLOOKUP(B29,'SG01'!$B:$E,4,0)</f>
        <v>Phần</v>
      </c>
      <c r="F29" s="61">
        <f t="shared" ca="1" si="41"/>
        <v>34897.762711864409</v>
      </c>
      <c r="G29" s="61">
        <f t="shared" ca="1" si="42"/>
        <v>101666.66666666667</v>
      </c>
      <c r="H29" s="273">
        <f t="shared" ca="1" si="43"/>
        <v>66768.903954802256</v>
      </c>
      <c r="I29" s="255">
        <f ca="1">(SUMIF('SG01'!$B:$B,$B29,'SG01'!I:I)*SG01_+SUMIF('SG02'!$B:$B,$B29,'SG02'!I:I)*SG02_+SUMIF('SG03'!$B:$B,$B29,'SG03'!I:I)*SG03_+SUMIF('SG04'!$B:$B,$B29,'SG04'!I:I)*SG04_+SUMIF('SG05'!$B:$B,$B29,'SG05'!I:I)*SG05_+SUMIF('SG06'!$B:$B,$B29,'SG06'!I:I)*SG06_+SUMIF('SG07'!$B:$B,$B29,'SG07'!I:I)*SG07_+SUMIF('SG08'!$B:$B,$B29,'SG08'!I:I)*SG08_+SUMIF('SG09'!$B:$B,$B29,'SG09'!I:I)*SG09_+SUMIF('SG10'!$B:$B,$B29,'SG10'!I:I)*SG10_+SUMIF('SG11'!$B:$B,$B29,'SG11'!I:I)*SG11_+SUMIF('SG12'!$B:$B,$B29,'SG12'!I:I)*SG12_+SUMIF('SG13'!$B:$B,$B29,'SG13'!I:I)*SG13_+SUMIF('SG14'!$B:$B,$B29,'SG14'!I:I)*SG14_+SUMIF('SG15'!$B:$B,$B29,'SG15'!I:I)*SG15_)</f>
        <v>30</v>
      </c>
      <c r="J29" s="256"/>
      <c r="K29" s="61">
        <f ca="1">(SUMIF('SG01'!$B:$B,$B29,'SG01'!K:K)*SG01_+SUMIF('SG02'!$B:$B,$B29,'SG02'!K:K)*SG02_+SUMIF('SG03'!$B:$B,$B29,'SG03'!K:K)*SG03_+SUMIF('SG04'!$B:$B,$B29,'SG04'!K:K)*SG04_+SUMIF('SG05'!$B:$B,$B29,'SG05'!K:K)*SG05_+SUMIF('SG06'!$B:$B,$B29,'SG06'!K:K)*SG06_+SUMIF('SG07'!$B:$B,$B29,'SG07'!K:K)*SG07_+SUMIF('SG08'!$B:$B,$B29,'SG08'!K:K)*SG08_+SUMIF('SG09'!$B:$B,$B29,'SG09'!K:K)*SG09_+SUMIF('SG10'!$B:$B,$B29,'SG10'!K:K)*SG10_+SUMIF('SG11'!$B:$B,$B29,'SG11'!K:K)*SG11_+SUMIF('SG12'!$B:$B,$B29,'SG12'!K:K)*SG12_+SUMIF('SG13'!$B:$B,$B29,'SG13'!K:K)*SG13_+SUMIF('SG14'!$B:$B,$B29,'SG14'!K:K)*SG14_+SUMIF('SG15'!$B:$B,$B29,'SG15'!K:K)*SG15_)</f>
        <v>1046932.8813559322</v>
      </c>
      <c r="L29" s="61">
        <f ca="1">(SUMIF('SG01'!$B:$B,$B29,'SG01'!L:L)*SG01_+SUMIF('SG02'!$B:$B,$B29,'SG02'!L:L)*SG02_+SUMIF('SG03'!$B:$B,$B29,'SG03'!L:L)*SG03_+SUMIF('SG04'!$B:$B,$B29,'SG04'!L:L)*SG04_+SUMIF('SG05'!$B:$B,$B29,'SG05'!L:L)*SG05_+SUMIF('SG06'!$B:$B,$B29,'SG06'!L:L)*SG06_+SUMIF('SG07'!$B:$B,$B29,'SG07'!L:L)*SG07_+SUMIF('SG08'!$B:$B,$B29,'SG08'!L:L)*SG08_+SUMIF('SG09'!$B:$B,$B29,'SG09'!L:L)*SG09_+SUMIF('SG10'!$B:$B,$B29,'SG10'!L:L)*SG10_+SUMIF('SG11'!$B:$B,$B29,'SG11'!L:L)*SG11_+SUMIF('SG12'!$B:$B,$B29,'SG12'!L:L)*SG12_+SUMIF('SG13'!$B:$B,$B29,'SG13'!L:L)*SG13_+SUMIF('SG14'!$B:$B,$B29,'SG14'!L:L)*SG14_+SUMIF('SG15'!$B:$B,$B29,'SG15'!L:L)*SG15_)</f>
        <v>3050000</v>
      </c>
      <c r="M29" s="256">
        <f t="shared" ca="1" si="44"/>
        <v>2003067.1186440678</v>
      </c>
      <c r="N29" s="300">
        <f t="shared" ca="1" si="45"/>
        <v>0.34325668241178103</v>
      </c>
      <c r="O29" s="301">
        <f t="shared" ca="1" si="46"/>
        <v>1.9670274603482735E-3</v>
      </c>
      <c r="P29" s="301">
        <f t="shared" ca="1" si="47"/>
        <v>1.9469063497402947E-3</v>
      </c>
      <c r="Q29" s="301">
        <f t="shared" ca="1" si="48"/>
        <v>1.868925990530775E-3</v>
      </c>
      <c r="R29" s="302">
        <f t="shared" ca="1" si="49"/>
        <v>0.81234768480909825</v>
      </c>
      <c r="S29" s="545">
        <f t="shared" ca="1" si="50"/>
        <v>2.3866348448687349</v>
      </c>
      <c r="T29" s="546">
        <f t="shared" ca="1" si="51"/>
        <v>242641.20922832139</v>
      </c>
      <c r="U29" s="121"/>
      <c r="V29" s="327" t="str">
        <f t="shared" ca="1" si="52"/>
        <v>Low</v>
      </c>
      <c r="W29" s="327" t="str">
        <f t="shared" ca="1" si="53"/>
        <v>High</v>
      </c>
      <c r="X29" s="328" t="str">
        <f t="shared" ca="1" si="54"/>
        <v>Puzzle</v>
      </c>
      <c r="AB29" s="329"/>
      <c r="AC29" s="531"/>
      <c r="AD29" s="329"/>
      <c r="AE29" s="329"/>
      <c r="AF29" s="329"/>
      <c r="AG29" s="532"/>
      <c r="AH29" s="329"/>
      <c r="AI29" s="329"/>
      <c r="AJ29" s="329"/>
      <c r="AK29" s="532"/>
      <c r="AL29" s="533"/>
      <c r="AM29" s="533"/>
    </row>
    <row r="30" spans="1:39" ht="19.5" customHeight="1" x14ac:dyDescent="0.35">
      <c r="A30" s="366">
        <f t="shared" si="61"/>
        <v>13</v>
      </c>
      <c r="B30" s="628" t="s">
        <v>599</v>
      </c>
      <c r="C30" s="365" t="str">
        <f>VLOOKUP(B30,'SG02'!$B:$E,2,0)</f>
        <v>Khoai Lang Nướng Phô Mai</v>
      </c>
      <c r="D30" s="365"/>
      <c r="E30" s="468" t="str">
        <f>VLOOKUP(B30,'SG01'!$B:$E,4,0)</f>
        <v>Phần</v>
      </c>
      <c r="F30" s="61">
        <f t="shared" ca="1" si="41"/>
        <v>21325.77108433735</v>
      </c>
      <c r="G30" s="61">
        <f t="shared" ca="1" si="42"/>
        <v>70426.829268292684</v>
      </c>
      <c r="H30" s="273">
        <f t="shared" ca="1" si="43"/>
        <v>49101.058183955334</v>
      </c>
      <c r="I30" s="255">
        <f ca="1">(SUMIF('SG01'!$B:$B,$B30,'SG01'!I:I)*SG01_+SUMIF('SG02'!$B:$B,$B30,'SG02'!I:I)*SG02_+SUMIF('SG03'!$B:$B,$B30,'SG03'!I:I)*SG03_+SUMIF('SG04'!$B:$B,$B30,'SG04'!I:I)*SG04_+SUMIF('SG05'!$B:$B,$B30,'SG05'!I:I)*SG05_+SUMIF('SG06'!$B:$B,$B30,'SG06'!I:I)*SG06_+SUMIF('SG07'!$B:$B,$B30,'SG07'!I:I)*SG07_+SUMIF('SG08'!$B:$B,$B30,'SG08'!I:I)*SG08_+SUMIF('SG09'!$B:$B,$B30,'SG09'!I:I)*SG09_+SUMIF('SG10'!$B:$B,$B30,'SG10'!I:I)*SG10_+SUMIF('SG11'!$B:$B,$B30,'SG11'!I:I)*SG11_+SUMIF('SG12'!$B:$B,$B30,'SG12'!I:I)*SG12_+SUMIF('SG13'!$B:$B,$B30,'SG13'!I:I)*SG13_+SUMIF('SG14'!$B:$B,$B30,'SG14'!I:I)*SG14_+SUMIF('SG15'!$B:$B,$B30,'SG15'!I:I)*SG15_)</f>
        <v>82</v>
      </c>
      <c r="J30" s="256"/>
      <c r="K30" s="61">
        <f ca="1">(SUMIF('SG01'!$B:$B,$B30,'SG01'!K:K)*SG01_+SUMIF('SG02'!$B:$B,$B30,'SG02'!K:K)*SG02_+SUMIF('SG03'!$B:$B,$B30,'SG03'!K:K)*SG03_+SUMIF('SG04'!$B:$B,$B30,'SG04'!K:K)*SG04_+SUMIF('SG05'!$B:$B,$B30,'SG05'!K:K)*SG05_+SUMIF('SG06'!$B:$B,$B30,'SG06'!K:K)*SG06_+SUMIF('SG07'!$B:$B,$B30,'SG07'!K:K)*SG07_+SUMIF('SG08'!$B:$B,$B30,'SG08'!K:K)*SG08_+SUMIF('SG09'!$B:$B,$B30,'SG09'!K:K)*SG09_+SUMIF('SG10'!$B:$B,$B30,'SG10'!K:K)*SG10_+SUMIF('SG11'!$B:$B,$B30,'SG11'!K:K)*SG11_+SUMIF('SG12'!$B:$B,$B30,'SG12'!K:K)*SG12_+SUMIF('SG13'!$B:$B,$B30,'SG13'!K:K)*SG13_+SUMIF('SG14'!$B:$B,$B30,'SG14'!K:K)*SG14_+SUMIF('SG15'!$B:$B,$B30,'SG15'!K:K)*SG15_)</f>
        <v>1748713.2289156627</v>
      </c>
      <c r="L30" s="61">
        <f ca="1">(SUMIF('SG01'!$B:$B,$B30,'SG01'!L:L)*SG01_+SUMIF('SG02'!$B:$B,$B30,'SG02'!L:L)*SG02_+SUMIF('SG03'!$B:$B,$B30,'SG03'!L:L)*SG03_+SUMIF('SG04'!$B:$B,$B30,'SG04'!L:L)*SG04_+SUMIF('SG05'!$B:$B,$B30,'SG05'!L:L)*SG05_+SUMIF('SG06'!$B:$B,$B30,'SG06'!L:L)*SG06_+SUMIF('SG07'!$B:$B,$B30,'SG07'!L:L)*SG07_+SUMIF('SG08'!$B:$B,$B30,'SG08'!L:L)*SG08_+SUMIF('SG09'!$B:$B,$B30,'SG09'!L:L)*SG09_+SUMIF('SG10'!$B:$B,$B30,'SG10'!L:L)*SG10_+SUMIF('SG11'!$B:$B,$B30,'SG11'!L:L)*SG11_+SUMIF('SG12'!$B:$B,$B30,'SG12'!L:L)*SG12_+SUMIF('SG13'!$B:$B,$B30,'SG13'!L:L)*SG13_+SUMIF('SG14'!$B:$B,$B30,'SG14'!L:L)*SG14_+SUMIF('SG15'!$B:$B,$B30,'SG15'!L:L)*SG15_)</f>
        <v>5775000</v>
      </c>
      <c r="M30" s="256">
        <f t="shared" ca="1" si="44"/>
        <v>4026286.7710843375</v>
      </c>
      <c r="N30" s="300">
        <f t="shared" ca="1" si="45"/>
        <v>0.3028074855265217</v>
      </c>
      <c r="O30" s="301">
        <f t="shared" ca="1" si="46"/>
        <v>3.7244536339381246E-3</v>
      </c>
      <c r="P30" s="301">
        <f t="shared" ca="1" si="47"/>
        <v>3.9134002088785473E-3</v>
      </c>
      <c r="Q30" s="301">
        <f t="shared" ca="1" si="48"/>
        <v>5.1083977074507852E-3</v>
      </c>
      <c r="R30" s="302">
        <f t="shared" ca="1" si="49"/>
        <v>2.2204170051448688</v>
      </c>
      <c r="S30" s="545">
        <f t="shared" ca="1" si="50"/>
        <v>6.523468575974543</v>
      </c>
      <c r="T30" s="546">
        <f t="shared" ca="1" si="51"/>
        <v>459427.20763723156</v>
      </c>
      <c r="U30" s="121"/>
      <c r="V30" s="327" t="str">
        <f t="shared" ca="1" si="52"/>
        <v>Low</v>
      </c>
      <c r="W30" s="327" t="str">
        <f t="shared" ca="1" si="53"/>
        <v>High</v>
      </c>
      <c r="X30" s="328" t="str">
        <f t="shared" ca="1" si="54"/>
        <v>Puzzle</v>
      </c>
      <c r="AB30" s="329"/>
      <c r="AC30" s="531"/>
      <c r="AD30" s="329"/>
      <c r="AE30" s="329"/>
      <c r="AF30" s="329"/>
      <c r="AG30" s="532"/>
      <c r="AH30" s="329"/>
      <c r="AI30" s="329"/>
      <c r="AJ30" s="329"/>
      <c r="AK30" s="532"/>
      <c r="AL30" s="533"/>
      <c r="AM30" s="533"/>
    </row>
    <row r="31" spans="1:39" ht="19.5" customHeight="1" x14ac:dyDescent="0.35">
      <c r="A31" s="76"/>
      <c r="B31" s="276"/>
      <c r="C31" s="277"/>
      <c r="D31" s="277"/>
      <c r="E31" s="277"/>
      <c r="F31" s="61"/>
      <c r="G31" s="61"/>
      <c r="H31" s="273"/>
      <c r="I31" s="255"/>
      <c r="J31" s="256"/>
      <c r="K31" s="61"/>
      <c r="L31" s="61"/>
      <c r="M31" s="256"/>
      <c r="N31" s="300"/>
      <c r="O31" s="301"/>
      <c r="P31" s="301"/>
      <c r="Q31" s="301"/>
      <c r="R31" s="302"/>
      <c r="S31" s="545">
        <f t="shared" ca="1" si="30"/>
        <v>0</v>
      </c>
      <c r="T31" s="546">
        <f t="shared" ca="1" si="31"/>
        <v>0</v>
      </c>
      <c r="U31" s="121"/>
      <c r="V31" s="326"/>
      <c r="W31" s="326"/>
      <c r="X31" s="326"/>
      <c r="AB31" s="329"/>
      <c r="AC31" s="531"/>
      <c r="AD31" s="329"/>
      <c r="AE31" s="329"/>
      <c r="AF31" s="329"/>
      <c r="AG31" s="532"/>
      <c r="AH31" s="329"/>
      <c r="AI31" s="329"/>
      <c r="AJ31" s="329"/>
      <c r="AK31" s="532"/>
      <c r="AL31" s="533"/>
      <c r="AM31" s="533"/>
    </row>
    <row r="32" spans="1:39" ht="19.5" customHeight="1" x14ac:dyDescent="0.35">
      <c r="A32" s="453"/>
      <c r="B32" s="479" t="s">
        <v>475</v>
      </c>
      <c r="C32" s="480" t="s">
        <v>476</v>
      </c>
      <c r="D32" s="480"/>
      <c r="E32" s="480"/>
      <c r="F32" s="294"/>
      <c r="G32" s="293"/>
      <c r="H32" s="293"/>
      <c r="I32" s="295">
        <f ca="1">SUBTOTAL(9,I33:I42)</f>
        <v>755</v>
      </c>
      <c r="J32" s="296"/>
      <c r="K32" s="295">
        <f ca="1">SUBTOTAL(9,K33:K42)</f>
        <v>3572662.5386663387</v>
      </c>
      <c r="L32" s="295">
        <f ca="1">SUBTOTAL(9,L33:L42)</f>
        <v>13427000</v>
      </c>
      <c r="M32" s="295">
        <f ca="1">SUBTOTAL(9,M33:M42)</f>
        <v>9854337.4613336623</v>
      </c>
      <c r="N32" s="297">
        <f t="shared" ref="N32" ca="1" si="62">K32/L32</f>
        <v>0.26608047506266019</v>
      </c>
      <c r="O32" s="298">
        <f t="shared" ref="O32:P32" ca="1" si="63">L32/L$10</f>
        <v>8.6594353147856611E-3</v>
      </c>
      <c r="P32" s="298">
        <f t="shared" ca="1" si="63"/>
        <v>9.5780475838180331E-3</v>
      </c>
      <c r="Q32" s="298">
        <f ca="1">I32/I$10</f>
        <v>4.7034637428357839E-2</v>
      </c>
      <c r="R32" s="299">
        <f t="shared" ref="R32" ca="1" si="64">I32/$K$5*100</f>
        <v>20.444083401028973</v>
      </c>
      <c r="S32" s="299">
        <f t="shared" ca="1" si="30"/>
        <v>60.063643595863162</v>
      </c>
      <c r="T32" s="299">
        <f t="shared" ca="1" si="31"/>
        <v>0</v>
      </c>
      <c r="U32" s="121"/>
      <c r="V32" s="326"/>
      <c r="W32" s="326"/>
      <c r="X32" s="326"/>
    </row>
    <row r="33" spans="1:39" s="280" customFormat="1" ht="19.5" customHeight="1" x14ac:dyDescent="0.35">
      <c r="A33" s="366">
        <v>1</v>
      </c>
      <c r="B33" s="628" t="s">
        <v>600</v>
      </c>
      <c r="C33" s="365" t="str">
        <f>VLOOKUP(B33,'SG02'!$B:$E,2,0)</f>
        <v>Ngô Ngọt Nướng</v>
      </c>
      <c r="D33" s="365"/>
      <c r="E33" s="468" t="str">
        <f>VLOOKUP(B33,'SG01'!$B:$E,4,0)</f>
        <v>Phần</v>
      </c>
      <c r="F33" s="61">
        <f t="shared" ref="F33:F40" ca="1" si="65">K33/I33</f>
        <v>2000.0443349753696</v>
      </c>
      <c r="G33" s="61">
        <f t="shared" ref="G33:G40" ca="1" si="66">L33/I33</f>
        <v>15333.333333333334</v>
      </c>
      <c r="H33" s="273">
        <f t="shared" ref="H33:H40" ca="1" si="67">G33-F33</f>
        <v>13333.288998357964</v>
      </c>
      <c r="I33" s="255">
        <f ca="1">(SUMIF('SG01'!$B:$B,$B33,'SG01'!I:I)*SG01_+SUMIF('SG02'!$B:$B,$B33,'SG02'!I:I)*SG02_+SUMIF('SG03'!$B:$B,$B33,'SG03'!I:I)*SG03_+SUMIF('SG04'!$B:$B,$B33,'SG04'!I:I)*SG04_+SUMIF('SG05'!$B:$B,$B33,'SG05'!I:I)*SG05_+SUMIF('SG06'!$B:$B,$B33,'SG06'!I:I)*SG06_+SUMIF('SG07'!$B:$B,$B33,'SG07'!I:I)*SG07_+SUMIF('SG08'!$B:$B,$B33,'SG08'!I:I)*SG08_+SUMIF('SG09'!$B:$B,$B33,'SG09'!I:I)*SG09_+SUMIF('SG10'!$B:$B,$B33,'SG10'!I:I)*SG10_+SUMIF('SG11'!$B:$B,$B33,'SG11'!I:I)*SG11_+SUMIF('SG12'!$B:$B,$B33,'SG12'!I:I)*SG12_+SUMIF('SG13'!$B:$B,$B33,'SG13'!I:I)*SG13_+SUMIF('SG14'!$B:$B,$B33,'SG14'!I:I)*SG14_+SUMIF('SG15'!$B:$B,$B33,'SG15'!I:I)*SG15_)</f>
        <v>144</v>
      </c>
      <c r="J33" s="256"/>
      <c r="K33" s="61">
        <f ca="1">(SUMIF('SG01'!$B:$B,$B33,'SG01'!K:K)*SG01_+SUMIF('SG02'!$B:$B,$B33,'SG02'!K:K)*SG02_+SUMIF('SG03'!$B:$B,$B33,'SG03'!K:K)*SG03_+SUMIF('SG04'!$B:$B,$B33,'SG04'!K:K)*SG04_+SUMIF('SG05'!$B:$B,$B33,'SG05'!K:K)*SG05_+SUMIF('SG06'!$B:$B,$B33,'SG06'!K:K)*SG06_+SUMIF('SG07'!$B:$B,$B33,'SG07'!K:K)*SG07_+SUMIF('SG08'!$B:$B,$B33,'SG08'!K:K)*SG08_+SUMIF('SG09'!$B:$B,$B33,'SG09'!K:K)*SG09_+SUMIF('SG10'!$B:$B,$B33,'SG10'!K:K)*SG10_+SUMIF('SG11'!$B:$B,$B33,'SG11'!K:K)*SG11_+SUMIF('SG12'!$B:$B,$B33,'SG12'!K:K)*SG12_+SUMIF('SG13'!$B:$B,$B33,'SG13'!K:K)*SG13_+SUMIF('SG14'!$B:$B,$B33,'SG14'!K:K)*SG14_+SUMIF('SG15'!$B:$B,$B33,'SG15'!K:K)*SG15_)</f>
        <v>288006.38423645322</v>
      </c>
      <c r="L33" s="61">
        <f ca="1">(SUMIF('SG01'!$B:$B,$B33,'SG01'!L:L)*SG01_+SUMIF('SG02'!$B:$B,$B33,'SG02'!L:L)*SG02_+SUMIF('SG03'!$B:$B,$B33,'SG03'!L:L)*SG03_+SUMIF('SG04'!$B:$B,$B33,'SG04'!L:L)*SG04_+SUMIF('SG05'!$B:$B,$B33,'SG05'!L:L)*SG05_+SUMIF('SG06'!$B:$B,$B33,'SG06'!L:L)*SG06_+SUMIF('SG07'!$B:$B,$B33,'SG07'!L:L)*SG07_+SUMIF('SG08'!$B:$B,$B33,'SG08'!L:L)*SG08_+SUMIF('SG09'!$B:$B,$B33,'SG09'!L:L)*SG09_+SUMIF('SG10'!$B:$B,$B33,'SG10'!L:L)*SG10_+SUMIF('SG11'!$B:$B,$B33,'SG11'!L:L)*SG11_+SUMIF('SG12'!$B:$B,$B33,'SG12'!L:L)*SG12_+SUMIF('SG13'!$B:$B,$B33,'SG13'!L:L)*SG13_+SUMIF('SG14'!$B:$B,$B33,'SG14'!L:L)*SG14_+SUMIF('SG15'!$B:$B,$B33,'SG15'!L:L)*SG15_)</f>
        <v>2208000</v>
      </c>
      <c r="M33" s="256">
        <f t="shared" ref="M33:M40" ca="1" si="68">L33-K33</f>
        <v>1919993.6157635469</v>
      </c>
      <c r="N33" s="300">
        <f t="shared" ref="N33:N40" ca="1" si="69">K33/L33</f>
        <v>0.13043767402013279</v>
      </c>
      <c r="O33" s="301">
        <f t="shared" ref="O33:O40" ca="1" si="70">L33/L$10</f>
        <v>1.4239988958849141E-3</v>
      </c>
      <c r="P33" s="301">
        <f t="shared" ref="P33:P40" ca="1" si="71">M33/M$10</f>
        <v>1.8661620108472781E-3</v>
      </c>
      <c r="Q33" s="301">
        <f t="shared" ref="Q33:Q40" ca="1" si="72">I33/I$10</f>
        <v>8.9708447545477198E-3</v>
      </c>
      <c r="R33" s="302">
        <f t="shared" ref="R33:R40" ca="1" si="73">I33/$K$5*100</f>
        <v>3.899268887083672</v>
      </c>
      <c r="S33" s="545">
        <f t="shared" ref="S33:S40" ca="1" si="74">R33*T$5</f>
        <v>11.455847255369928</v>
      </c>
      <c r="T33" s="546">
        <f t="shared" ref="T33:T40" ca="1" si="75">IFERROR(S33*G33,0)</f>
        <v>175656.32458233892</v>
      </c>
      <c r="U33" s="121"/>
      <c r="V33" s="327" t="str">
        <f t="shared" ref="V33:V40" ca="1" si="76">IF(B33&lt;&gt;"",IFERROR(IF($I33&gt;=$X$10,"High","Low"),""),"")</f>
        <v>High</v>
      </c>
      <c r="W33" s="327" t="str">
        <f t="shared" ref="W33:W40" ca="1" si="77">IF(B33&lt;&gt;"",IFERROR(IF($L33&gt;=$X$12,"High","Low"),""),"")</f>
        <v>Low</v>
      </c>
      <c r="X33" s="328" t="str">
        <f t="shared" ref="X33:X40" ca="1" si="78">IF(B33&lt;&gt;"",IFERROR(IF(AND(V33="high",W33="high"),"Star",IF(AND(V33="low",W33="high"),"Puzzle",(IF(AND(V33="high",W33="low"),"Horse","Dog")))),""),"")</f>
        <v>Horse</v>
      </c>
      <c r="Y33" s="219"/>
      <c r="AB33" s="274"/>
      <c r="AC33" s="274"/>
      <c r="AD33" s="274"/>
      <c r="AE33" s="274"/>
      <c r="AF33" s="274"/>
      <c r="AG33" s="345"/>
      <c r="AH33" s="274"/>
      <c r="AI33" s="274"/>
      <c r="AJ33" s="274"/>
      <c r="AK33" s="345"/>
      <c r="AL33" s="341"/>
      <c r="AM33" s="340"/>
    </row>
    <row r="34" spans="1:39" s="280" customFormat="1" ht="19.5" customHeight="1" x14ac:dyDescent="0.35">
      <c r="A34" s="366">
        <v>2</v>
      </c>
      <c r="B34" s="628" t="s">
        <v>601</v>
      </c>
      <c r="C34" s="365" t="str">
        <f>VLOOKUP(B34,'SG02'!$B:$E,2,0)</f>
        <v>Đậu Bắp Nướng</v>
      </c>
      <c r="D34" s="365"/>
      <c r="E34" s="468" t="str">
        <f>VLOOKUP(B34,'SG01'!$B:$E,4,0)</f>
        <v>Phần</v>
      </c>
      <c r="F34" s="61">
        <f t="shared" ca="1" si="65"/>
        <v>2662.3818181818183</v>
      </c>
      <c r="G34" s="61">
        <f t="shared" ca="1" si="66"/>
        <v>15489.130434782608</v>
      </c>
      <c r="H34" s="273">
        <f t="shared" ca="1" si="67"/>
        <v>12826.748616600789</v>
      </c>
      <c r="I34" s="255">
        <f ca="1">(SUMIF('SG01'!$B:$B,$B34,'SG01'!I:I)*SG01_+SUMIF('SG02'!$B:$B,$B34,'SG02'!I:I)*SG02_+SUMIF('SG03'!$B:$B,$B34,'SG03'!I:I)*SG03_+SUMIF('SG04'!$B:$B,$B34,'SG04'!I:I)*SG04_+SUMIF('SG05'!$B:$B,$B34,'SG05'!I:I)*SG05_+SUMIF('SG06'!$B:$B,$B34,'SG06'!I:I)*SG06_+SUMIF('SG07'!$B:$B,$B34,'SG07'!I:I)*SG07_+SUMIF('SG08'!$B:$B,$B34,'SG08'!I:I)*SG08_+SUMIF('SG09'!$B:$B,$B34,'SG09'!I:I)*SG09_+SUMIF('SG10'!$B:$B,$B34,'SG10'!I:I)*SG10_+SUMIF('SG11'!$B:$B,$B34,'SG11'!I:I)*SG11_+SUMIF('SG12'!$B:$B,$B34,'SG12'!I:I)*SG12_+SUMIF('SG13'!$B:$B,$B34,'SG13'!I:I)*SG13_+SUMIF('SG14'!$B:$B,$B34,'SG14'!I:I)*SG14_+SUMIF('SG15'!$B:$B,$B34,'SG15'!I:I)*SG15_)</f>
        <v>184</v>
      </c>
      <c r="J34" s="256"/>
      <c r="K34" s="61">
        <f ca="1">(SUMIF('SG01'!$B:$B,$B34,'SG01'!K:K)*SG01_+SUMIF('SG02'!$B:$B,$B34,'SG02'!K:K)*SG02_+SUMIF('SG03'!$B:$B,$B34,'SG03'!K:K)*SG03_+SUMIF('SG04'!$B:$B,$B34,'SG04'!K:K)*SG04_+SUMIF('SG05'!$B:$B,$B34,'SG05'!K:K)*SG05_+SUMIF('SG06'!$B:$B,$B34,'SG06'!K:K)*SG06_+SUMIF('SG07'!$B:$B,$B34,'SG07'!K:K)*SG07_+SUMIF('SG08'!$B:$B,$B34,'SG08'!K:K)*SG08_+SUMIF('SG09'!$B:$B,$B34,'SG09'!K:K)*SG09_+SUMIF('SG10'!$B:$B,$B34,'SG10'!K:K)*SG10_+SUMIF('SG11'!$B:$B,$B34,'SG11'!K:K)*SG11_+SUMIF('SG12'!$B:$B,$B34,'SG12'!K:K)*SG12_+SUMIF('SG13'!$B:$B,$B34,'SG13'!K:K)*SG13_+SUMIF('SG14'!$B:$B,$B34,'SG14'!K:K)*SG14_+SUMIF('SG15'!$B:$B,$B34,'SG15'!K:K)*SG15_)</f>
        <v>489878.25454545458</v>
      </c>
      <c r="L34" s="61">
        <f ca="1">(SUMIF('SG01'!$B:$B,$B34,'SG01'!L:L)*SG01_+SUMIF('SG02'!$B:$B,$B34,'SG02'!L:L)*SG02_+SUMIF('SG03'!$B:$B,$B34,'SG03'!L:L)*SG03_+SUMIF('SG04'!$B:$B,$B34,'SG04'!L:L)*SG04_+SUMIF('SG05'!$B:$B,$B34,'SG05'!L:L)*SG05_+SUMIF('SG06'!$B:$B,$B34,'SG06'!L:L)*SG06_+SUMIF('SG07'!$B:$B,$B34,'SG07'!L:L)*SG07_+SUMIF('SG08'!$B:$B,$B34,'SG08'!L:L)*SG08_+SUMIF('SG09'!$B:$B,$B34,'SG09'!L:L)*SG09_+SUMIF('SG10'!$B:$B,$B34,'SG10'!L:L)*SG10_+SUMIF('SG11'!$B:$B,$B34,'SG11'!L:L)*SG11_+SUMIF('SG12'!$B:$B,$B34,'SG12'!L:L)*SG12_+SUMIF('SG13'!$B:$B,$B34,'SG13'!L:L)*SG13_+SUMIF('SG14'!$B:$B,$B34,'SG14'!L:L)*SG14_+SUMIF('SG15'!$B:$B,$B34,'SG15'!L:L)*SG15_)</f>
        <v>2850000</v>
      </c>
      <c r="M34" s="256">
        <f t="shared" ca="1" si="68"/>
        <v>2360121.7454545456</v>
      </c>
      <c r="N34" s="300">
        <f t="shared" ca="1" si="69"/>
        <v>0.17188710685805425</v>
      </c>
      <c r="O34" s="301">
        <f t="shared" ca="1" si="70"/>
        <v>1.8380420531123212E-3</v>
      </c>
      <c r="P34" s="301">
        <f t="shared" ca="1" si="71"/>
        <v>2.2939500976362904E-3</v>
      </c>
      <c r="Q34" s="301">
        <f t="shared" ca="1" si="72"/>
        <v>1.1462746075255419E-2</v>
      </c>
      <c r="R34" s="302">
        <f t="shared" ca="1" si="73"/>
        <v>4.9823991334958029</v>
      </c>
      <c r="S34" s="545">
        <f t="shared" ca="1" si="74"/>
        <v>14.63802704852824</v>
      </c>
      <c r="T34" s="546">
        <f t="shared" ca="1" si="75"/>
        <v>226730.31026252979</v>
      </c>
      <c r="U34" s="121"/>
      <c r="V34" s="327" t="str">
        <f t="shared" ca="1" si="76"/>
        <v>High</v>
      </c>
      <c r="W34" s="327" t="str">
        <f t="shared" ca="1" si="77"/>
        <v>Low</v>
      </c>
      <c r="X34" s="328" t="str">
        <f t="shared" ca="1" si="78"/>
        <v>Horse</v>
      </c>
      <c r="Y34" s="219"/>
      <c r="AB34" s="274"/>
      <c r="AC34" s="274"/>
      <c r="AD34" s="274"/>
      <c r="AE34" s="274"/>
      <c r="AF34" s="274"/>
      <c r="AG34" s="345"/>
      <c r="AH34" s="274"/>
      <c r="AI34" s="274"/>
      <c r="AJ34" s="274"/>
      <c r="AK34" s="345"/>
      <c r="AL34" s="341"/>
      <c r="AM34" s="340"/>
    </row>
    <row r="35" spans="1:39" s="280" customFormat="1" ht="19.5" customHeight="1" x14ac:dyDescent="0.35">
      <c r="A35" s="366">
        <v>3</v>
      </c>
      <c r="B35" s="628" t="s">
        <v>602</v>
      </c>
      <c r="C35" s="365" t="str">
        <f>VLOOKUP(B35,'SG02'!$B:$E,2,0)</f>
        <v>Khoai Tây Nướng</v>
      </c>
      <c r="D35" s="365"/>
      <c r="E35" s="468" t="str">
        <f>VLOOKUP(B35,'SG01'!$B:$E,4,0)</f>
        <v>Phần</v>
      </c>
      <c r="F35" s="61">
        <f t="shared" ca="1" si="65"/>
        <v>4689.568181818182</v>
      </c>
      <c r="G35" s="61">
        <f t="shared" ca="1" si="66"/>
        <v>15108.108108108108</v>
      </c>
      <c r="H35" s="273">
        <f t="shared" ca="1" si="67"/>
        <v>10418.539926289926</v>
      </c>
      <c r="I35" s="255">
        <f ca="1">(SUMIF('SG01'!$B:$B,$B35,'SG01'!I:I)*SG01_+SUMIF('SG02'!$B:$B,$B35,'SG02'!I:I)*SG02_+SUMIF('SG03'!$B:$B,$B35,'SG03'!I:I)*SG03_+SUMIF('SG04'!$B:$B,$B35,'SG04'!I:I)*SG04_+SUMIF('SG05'!$B:$B,$B35,'SG05'!I:I)*SG05_+SUMIF('SG06'!$B:$B,$B35,'SG06'!I:I)*SG06_+SUMIF('SG07'!$B:$B,$B35,'SG07'!I:I)*SG07_+SUMIF('SG08'!$B:$B,$B35,'SG08'!I:I)*SG08_+SUMIF('SG09'!$B:$B,$B35,'SG09'!I:I)*SG09_+SUMIF('SG10'!$B:$B,$B35,'SG10'!I:I)*SG10_+SUMIF('SG11'!$B:$B,$B35,'SG11'!I:I)*SG11_+SUMIF('SG12'!$B:$B,$B35,'SG12'!I:I)*SG12_+SUMIF('SG13'!$B:$B,$B35,'SG13'!I:I)*SG13_+SUMIF('SG14'!$B:$B,$B35,'SG14'!I:I)*SG14_+SUMIF('SG15'!$B:$B,$B35,'SG15'!I:I)*SG15_)</f>
        <v>37</v>
      </c>
      <c r="J35" s="256"/>
      <c r="K35" s="61">
        <f ca="1">(SUMIF('SG01'!$B:$B,$B35,'SG01'!K:K)*SG01_+SUMIF('SG02'!$B:$B,$B35,'SG02'!K:K)*SG02_+SUMIF('SG03'!$B:$B,$B35,'SG03'!K:K)*SG03_+SUMIF('SG04'!$B:$B,$B35,'SG04'!K:K)*SG04_+SUMIF('SG05'!$B:$B,$B35,'SG05'!K:K)*SG05_+SUMIF('SG06'!$B:$B,$B35,'SG06'!K:K)*SG06_+SUMIF('SG07'!$B:$B,$B35,'SG07'!K:K)*SG07_+SUMIF('SG08'!$B:$B,$B35,'SG08'!K:K)*SG08_+SUMIF('SG09'!$B:$B,$B35,'SG09'!K:K)*SG09_+SUMIF('SG10'!$B:$B,$B35,'SG10'!K:K)*SG10_+SUMIF('SG11'!$B:$B,$B35,'SG11'!K:K)*SG11_+SUMIF('SG12'!$B:$B,$B35,'SG12'!K:K)*SG12_+SUMIF('SG13'!$B:$B,$B35,'SG13'!K:K)*SG13_+SUMIF('SG14'!$B:$B,$B35,'SG14'!K:K)*SG14_+SUMIF('SG15'!$B:$B,$B35,'SG15'!K:K)*SG15_)</f>
        <v>173514.02272727274</v>
      </c>
      <c r="L35" s="61">
        <f ca="1">(SUMIF('SG01'!$B:$B,$B35,'SG01'!L:L)*SG01_+SUMIF('SG02'!$B:$B,$B35,'SG02'!L:L)*SG02_+SUMIF('SG03'!$B:$B,$B35,'SG03'!L:L)*SG03_+SUMIF('SG04'!$B:$B,$B35,'SG04'!L:L)*SG04_+SUMIF('SG05'!$B:$B,$B35,'SG05'!L:L)*SG05_+SUMIF('SG06'!$B:$B,$B35,'SG06'!L:L)*SG06_+SUMIF('SG07'!$B:$B,$B35,'SG07'!L:L)*SG07_+SUMIF('SG08'!$B:$B,$B35,'SG08'!L:L)*SG08_+SUMIF('SG09'!$B:$B,$B35,'SG09'!L:L)*SG09_+SUMIF('SG10'!$B:$B,$B35,'SG10'!L:L)*SG10_+SUMIF('SG11'!$B:$B,$B35,'SG11'!L:L)*SG11_+SUMIF('SG12'!$B:$B,$B35,'SG12'!L:L)*SG12_+SUMIF('SG13'!$B:$B,$B35,'SG13'!L:L)*SG13_+SUMIF('SG14'!$B:$B,$B35,'SG14'!L:L)*SG14_+SUMIF('SG15'!$B:$B,$B35,'SG15'!L:L)*SG15_)</f>
        <v>559000</v>
      </c>
      <c r="M35" s="256">
        <f t="shared" ca="1" si="68"/>
        <v>385485.97727272729</v>
      </c>
      <c r="N35" s="300">
        <f t="shared" ca="1" si="69"/>
        <v>0.31040075622052365</v>
      </c>
      <c r="O35" s="301">
        <f t="shared" ca="1" si="70"/>
        <v>3.6051421322448682E-4</v>
      </c>
      <c r="P35" s="301">
        <f t="shared" ca="1" si="71"/>
        <v>3.7467795756946655E-4</v>
      </c>
      <c r="Q35" s="301">
        <f t="shared" ca="1" si="72"/>
        <v>2.3050087216546227E-3</v>
      </c>
      <c r="R35" s="302">
        <f t="shared" ca="1" si="73"/>
        <v>1.0018954779312212</v>
      </c>
      <c r="S35" s="545">
        <f t="shared" ca="1" si="74"/>
        <v>2.9435163086714398</v>
      </c>
      <c r="T35" s="546">
        <f t="shared" ca="1" si="75"/>
        <v>44470.962609387425</v>
      </c>
      <c r="U35" s="121"/>
      <c r="V35" s="327" t="str">
        <f t="shared" ca="1" si="76"/>
        <v>Low</v>
      </c>
      <c r="W35" s="327" t="str">
        <f t="shared" ca="1" si="77"/>
        <v>Low</v>
      </c>
      <c r="X35" s="328" t="str">
        <f t="shared" ca="1" si="78"/>
        <v>Dog</v>
      </c>
      <c r="Y35" s="219"/>
      <c r="AB35" s="274"/>
      <c r="AC35" s="274"/>
      <c r="AD35" s="274"/>
      <c r="AE35" s="274"/>
      <c r="AF35" s="274"/>
      <c r="AG35" s="345"/>
      <c r="AH35" s="274"/>
      <c r="AI35" s="274"/>
      <c r="AJ35" s="274"/>
      <c r="AK35" s="345"/>
      <c r="AL35" s="341"/>
      <c r="AM35" s="340"/>
    </row>
    <row r="36" spans="1:39" s="280" customFormat="1" ht="19.5" customHeight="1" x14ac:dyDescent="0.35">
      <c r="A36" s="366">
        <v>4</v>
      </c>
      <c r="B36" s="628" t="s">
        <v>603</v>
      </c>
      <c r="C36" s="365" t="str">
        <f>VLOOKUP(B36,'SG02'!$B:$E,2,0)</f>
        <v>Bí Ngòi Nướng</v>
      </c>
      <c r="D36" s="365"/>
      <c r="E36" s="468" t="str">
        <f>VLOOKUP(B36,'SG01'!$B:$E,4,0)</f>
        <v>Phần</v>
      </c>
      <c r="F36" s="61">
        <f t="shared" ca="1" si="65"/>
        <v>2990.0410958904108</v>
      </c>
      <c r="G36" s="61">
        <f t="shared" ca="1" si="66"/>
        <v>15115.942028985508</v>
      </c>
      <c r="H36" s="273">
        <f t="shared" ca="1" si="67"/>
        <v>12125.900933095098</v>
      </c>
      <c r="I36" s="255">
        <f ca="1">(SUMIF('SG01'!$B:$B,$B36,'SG01'!I:I)*SG01_+SUMIF('SG02'!$B:$B,$B36,'SG02'!I:I)*SG02_+SUMIF('SG03'!$B:$B,$B36,'SG03'!I:I)*SG03_+SUMIF('SG04'!$B:$B,$B36,'SG04'!I:I)*SG04_+SUMIF('SG05'!$B:$B,$B36,'SG05'!I:I)*SG05_+SUMIF('SG06'!$B:$B,$B36,'SG06'!I:I)*SG06_+SUMIF('SG07'!$B:$B,$B36,'SG07'!I:I)*SG07_+SUMIF('SG08'!$B:$B,$B36,'SG08'!I:I)*SG08_+SUMIF('SG09'!$B:$B,$B36,'SG09'!I:I)*SG09_+SUMIF('SG10'!$B:$B,$B36,'SG10'!I:I)*SG10_+SUMIF('SG11'!$B:$B,$B36,'SG11'!I:I)*SG11_+SUMIF('SG12'!$B:$B,$B36,'SG12'!I:I)*SG12_+SUMIF('SG13'!$B:$B,$B36,'SG13'!I:I)*SG13_+SUMIF('SG14'!$B:$B,$B36,'SG14'!I:I)*SG14_+SUMIF('SG15'!$B:$B,$B36,'SG15'!I:I)*SG15_)</f>
        <v>69</v>
      </c>
      <c r="J36" s="256"/>
      <c r="K36" s="61">
        <f ca="1">(SUMIF('SG01'!$B:$B,$B36,'SG01'!K:K)*SG01_+SUMIF('SG02'!$B:$B,$B36,'SG02'!K:K)*SG02_+SUMIF('SG03'!$B:$B,$B36,'SG03'!K:K)*SG03_+SUMIF('SG04'!$B:$B,$B36,'SG04'!K:K)*SG04_+SUMIF('SG05'!$B:$B,$B36,'SG05'!K:K)*SG05_+SUMIF('SG06'!$B:$B,$B36,'SG06'!K:K)*SG06_+SUMIF('SG07'!$B:$B,$B36,'SG07'!K:K)*SG07_+SUMIF('SG08'!$B:$B,$B36,'SG08'!K:K)*SG08_+SUMIF('SG09'!$B:$B,$B36,'SG09'!K:K)*SG09_+SUMIF('SG10'!$B:$B,$B36,'SG10'!K:K)*SG10_+SUMIF('SG11'!$B:$B,$B36,'SG11'!K:K)*SG11_+SUMIF('SG12'!$B:$B,$B36,'SG12'!K:K)*SG12_+SUMIF('SG13'!$B:$B,$B36,'SG13'!K:K)*SG13_+SUMIF('SG14'!$B:$B,$B36,'SG14'!K:K)*SG14_+SUMIF('SG15'!$B:$B,$B36,'SG15'!K:K)*SG15_)</f>
        <v>206312.83561643836</v>
      </c>
      <c r="L36" s="61">
        <f ca="1">(SUMIF('SG01'!$B:$B,$B36,'SG01'!L:L)*SG01_+SUMIF('SG02'!$B:$B,$B36,'SG02'!L:L)*SG02_+SUMIF('SG03'!$B:$B,$B36,'SG03'!L:L)*SG03_+SUMIF('SG04'!$B:$B,$B36,'SG04'!L:L)*SG04_+SUMIF('SG05'!$B:$B,$B36,'SG05'!L:L)*SG05_+SUMIF('SG06'!$B:$B,$B36,'SG06'!L:L)*SG06_+SUMIF('SG07'!$B:$B,$B36,'SG07'!L:L)*SG07_+SUMIF('SG08'!$B:$B,$B36,'SG08'!L:L)*SG08_+SUMIF('SG09'!$B:$B,$B36,'SG09'!L:L)*SG09_+SUMIF('SG10'!$B:$B,$B36,'SG10'!L:L)*SG10_+SUMIF('SG11'!$B:$B,$B36,'SG11'!L:L)*SG11_+SUMIF('SG12'!$B:$B,$B36,'SG12'!L:L)*SG12_+SUMIF('SG13'!$B:$B,$B36,'SG13'!L:L)*SG13_+SUMIF('SG14'!$B:$B,$B36,'SG14'!L:L)*SG14_+SUMIF('SG15'!$B:$B,$B36,'SG15'!L:L)*SG15_)</f>
        <v>1043000</v>
      </c>
      <c r="M36" s="256">
        <f t="shared" ca="1" si="68"/>
        <v>836687.16438356158</v>
      </c>
      <c r="N36" s="300">
        <f t="shared" ca="1" si="69"/>
        <v>0.1978071290665756</v>
      </c>
      <c r="O36" s="301">
        <f t="shared" ca="1" si="70"/>
        <v>6.7265889873549154E-4</v>
      </c>
      <c r="P36" s="301">
        <f t="shared" ca="1" si="71"/>
        <v>8.1322864217712315E-4</v>
      </c>
      <c r="Q36" s="301">
        <f t="shared" ca="1" si="72"/>
        <v>4.2985297782207827E-3</v>
      </c>
      <c r="R36" s="302">
        <f t="shared" ca="1" si="73"/>
        <v>1.868399675060926</v>
      </c>
      <c r="S36" s="545">
        <f t="shared" ca="1" si="74"/>
        <v>5.4892601431980896</v>
      </c>
      <c r="T36" s="546">
        <f t="shared" ca="1" si="75"/>
        <v>82975.338106603012</v>
      </c>
      <c r="U36" s="121"/>
      <c r="V36" s="327" t="str">
        <f t="shared" ca="1" si="76"/>
        <v>Low</v>
      </c>
      <c r="W36" s="327" t="str">
        <f t="shared" ca="1" si="77"/>
        <v>Low</v>
      </c>
      <c r="X36" s="328" t="str">
        <f t="shared" ca="1" si="78"/>
        <v>Dog</v>
      </c>
      <c r="Y36" s="219"/>
      <c r="AB36" s="274"/>
      <c r="AC36" s="274"/>
      <c r="AD36" s="274"/>
      <c r="AE36" s="274"/>
      <c r="AF36" s="274"/>
      <c r="AG36" s="345"/>
      <c r="AH36" s="274"/>
      <c r="AI36" s="274"/>
      <c r="AJ36" s="274"/>
      <c r="AK36" s="345"/>
      <c r="AL36" s="341"/>
      <c r="AM36" s="340"/>
    </row>
    <row r="37" spans="1:39" s="280" customFormat="1" ht="19.5" customHeight="1" x14ac:dyDescent="0.35">
      <c r="A37" s="366">
        <v>5</v>
      </c>
      <c r="B37" s="628" t="s">
        <v>604</v>
      </c>
      <c r="C37" s="365" t="str">
        <f>VLOOKUP(B37,'SG02'!$B:$E,2,0)</f>
        <v>Bí Đỏ Nướng</v>
      </c>
      <c r="D37" s="365"/>
      <c r="E37" s="468" t="str">
        <f>VLOOKUP(B37,'SG01'!$B:$E,4,0)</f>
        <v>Phần</v>
      </c>
      <c r="F37" s="61">
        <f t="shared" ca="1" si="65"/>
        <v>3098</v>
      </c>
      <c r="G37" s="61">
        <f t="shared" ca="1" si="66"/>
        <v>15222.222222222223</v>
      </c>
      <c r="H37" s="273">
        <f t="shared" ca="1" si="67"/>
        <v>12124.222222222223</v>
      </c>
      <c r="I37" s="255">
        <f ca="1">(SUMIF('SG01'!$B:$B,$B37,'SG01'!I:I)*SG01_+SUMIF('SG02'!$B:$B,$B37,'SG02'!I:I)*SG02_+SUMIF('SG03'!$B:$B,$B37,'SG03'!I:I)*SG03_+SUMIF('SG04'!$B:$B,$B37,'SG04'!I:I)*SG04_+SUMIF('SG05'!$B:$B,$B37,'SG05'!I:I)*SG05_+SUMIF('SG06'!$B:$B,$B37,'SG06'!I:I)*SG06_+SUMIF('SG07'!$B:$B,$B37,'SG07'!I:I)*SG07_+SUMIF('SG08'!$B:$B,$B37,'SG08'!I:I)*SG08_+SUMIF('SG09'!$B:$B,$B37,'SG09'!I:I)*SG09_+SUMIF('SG10'!$B:$B,$B37,'SG10'!I:I)*SG10_+SUMIF('SG11'!$B:$B,$B37,'SG11'!I:I)*SG11_+SUMIF('SG12'!$B:$B,$B37,'SG12'!I:I)*SG12_+SUMIF('SG13'!$B:$B,$B37,'SG13'!I:I)*SG13_+SUMIF('SG14'!$B:$B,$B37,'SG14'!I:I)*SG14_+SUMIF('SG15'!$B:$B,$B37,'SG15'!I:I)*SG15_)</f>
        <v>27</v>
      </c>
      <c r="J37" s="256"/>
      <c r="K37" s="61">
        <f ca="1">(SUMIF('SG01'!$B:$B,$B37,'SG01'!K:K)*SG01_+SUMIF('SG02'!$B:$B,$B37,'SG02'!K:K)*SG02_+SUMIF('SG03'!$B:$B,$B37,'SG03'!K:K)*SG03_+SUMIF('SG04'!$B:$B,$B37,'SG04'!K:K)*SG04_+SUMIF('SG05'!$B:$B,$B37,'SG05'!K:K)*SG05_+SUMIF('SG06'!$B:$B,$B37,'SG06'!K:K)*SG06_+SUMIF('SG07'!$B:$B,$B37,'SG07'!K:K)*SG07_+SUMIF('SG08'!$B:$B,$B37,'SG08'!K:K)*SG08_+SUMIF('SG09'!$B:$B,$B37,'SG09'!K:K)*SG09_+SUMIF('SG10'!$B:$B,$B37,'SG10'!K:K)*SG10_+SUMIF('SG11'!$B:$B,$B37,'SG11'!K:K)*SG11_+SUMIF('SG12'!$B:$B,$B37,'SG12'!K:K)*SG12_+SUMIF('SG13'!$B:$B,$B37,'SG13'!K:K)*SG13_+SUMIF('SG14'!$B:$B,$B37,'SG14'!K:K)*SG14_+SUMIF('SG15'!$B:$B,$B37,'SG15'!K:K)*SG15_)</f>
        <v>83646</v>
      </c>
      <c r="L37" s="61">
        <f ca="1">(SUMIF('SG01'!$B:$B,$B37,'SG01'!L:L)*SG01_+SUMIF('SG02'!$B:$B,$B37,'SG02'!L:L)*SG02_+SUMIF('SG03'!$B:$B,$B37,'SG03'!L:L)*SG03_+SUMIF('SG04'!$B:$B,$B37,'SG04'!L:L)*SG04_+SUMIF('SG05'!$B:$B,$B37,'SG05'!L:L)*SG05_+SUMIF('SG06'!$B:$B,$B37,'SG06'!L:L)*SG06_+SUMIF('SG07'!$B:$B,$B37,'SG07'!L:L)*SG07_+SUMIF('SG08'!$B:$B,$B37,'SG08'!L:L)*SG08_+SUMIF('SG09'!$B:$B,$B37,'SG09'!L:L)*SG09_+SUMIF('SG10'!$B:$B,$B37,'SG10'!L:L)*SG10_+SUMIF('SG11'!$B:$B,$B37,'SG11'!L:L)*SG11_+SUMIF('SG12'!$B:$B,$B37,'SG12'!L:L)*SG12_+SUMIF('SG13'!$B:$B,$B37,'SG13'!L:L)*SG13_+SUMIF('SG14'!$B:$B,$B37,'SG14'!L:L)*SG14_+SUMIF('SG15'!$B:$B,$B37,'SG15'!L:L)*SG15_)</f>
        <v>411000</v>
      </c>
      <c r="M37" s="256">
        <f t="shared" ca="1" si="68"/>
        <v>327354</v>
      </c>
      <c r="N37" s="300">
        <f t="shared" ca="1" si="69"/>
        <v>0.20351824817518249</v>
      </c>
      <c r="O37" s="301">
        <f t="shared" ca="1" si="70"/>
        <v>2.6506501186988212E-4</v>
      </c>
      <c r="P37" s="301">
        <f t="shared" ca="1" si="71"/>
        <v>3.1817584906705936E-4</v>
      </c>
      <c r="Q37" s="301">
        <f t="shared" ca="1" si="72"/>
        <v>1.6820333914776976E-3</v>
      </c>
      <c r="R37" s="302">
        <f t="shared" ca="1" si="73"/>
        <v>0.73111291632818853</v>
      </c>
      <c r="S37" s="545">
        <f t="shared" ca="1" si="74"/>
        <v>2.1479713603818618</v>
      </c>
      <c r="T37" s="546">
        <f t="shared" ca="1" si="75"/>
        <v>32696.897374701675</v>
      </c>
      <c r="U37" s="121"/>
      <c r="V37" s="327" t="str">
        <f t="shared" ca="1" si="76"/>
        <v>Low</v>
      </c>
      <c r="W37" s="327" t="str">
        <f t="shared" ca="1" si="77"/>
        <v>Low</v>
      </c>
      <c r="X37" s="328" t="str">
        <f t="shared" ca="1" si="78"/>
        <v>Dog</v>
      </c>
      <c r="Y37" s="219"/>
      <c r="AB37" s="274"/>
      <c r="AC37" s="274"/>
      <c r="AD37" s="274"/>
      <c r="AE37" s="274"/>
      <c r="AF37" s="274"/>
      <c r="AG37" s="345"/>
      <c r="AH37" s="274"/>
      <c r="AI37" s="274"/>
      <c r="AJ37" s="274"/>
      <c r="AK37" s="345"/>
      <c r="AL37" s="341"/>
      <c r="AM37" s="340"/>
    </row>
    <row r="38" spans="1:39" s="280" customFormat="1" ht="19.5" customHeight="1" x14ac:dyDescent="0.35">
      <c r="A38" s="366">
        <v>6</v>
      </c>
      <c r="B38" s="628" t="s">
        <v>605</v>
      </c>
      <c r="C38" s="365" t="str">
        <f>VLOOKUP(B38,'SG02'!$B:$E,2,0)</f>
        <v>Khoai Lang Nướng</v>
      </c>
      <c r="D38" s="365"/>
      <c r="E38" s="468" t="str">
        <f>VLOOKUP(B38,'SG01'!$B:$E,4,0)</f>
        <v>Phần</v>
      </c>
      <c r="F38" s="61">
        <f t="shared" ca="1" si="65"/>
        <v>3284.8461538461538</v>
      </c>
      <c r="G38" s="61">
        <f t="shared" ca="1" si="66"/>
        <v>15285.714285714286</v>
      </c>
      <c r="H38" s="273">
        <f t="shared" ca="1" si="67"/>
        <v>12000.868131868132</v>
      </c>
      <c r="I38" s="255">
        <f ca="1">(SUMIF('SG01'!$B:$B,$B38,'SG01'!I:I)*SG01_+SUMIF('SG02'!$B:$B,$B38,'SG02'!I:I)*SG02_+SUMIF('SG03'!$B:$B,$B38,'SG03'!I:I)*SG03_+SUMIF('SG04'!$B:$B,$B38,'SG04'!I:I)*SG04_+SUMIF('SG05'!$B:$B,$B38,'SG05'!I:I)*SG05_+SUMIF('SG06'!$B:$B,$B38,'SG06'!I:I)*SG06_+SUMIF('SG07'!$B:$B,$B38,'SG07'!I:I)*SG07_+SUMIF('SG08'!$B:$B,$B38,'SG08'!I:I)*SG08_+SUMIF('SG09'!$B:$B,$B38,'SG09'!I:I)*SG09_+SUMIF('SG10'!$B:$B,$B38,'SG10'!I:I)*SG10_+SUMIF('SG11'!$B:$B,$B38,'SG11'!I:I)*SG11_+SUMIF('SG12'!$B:$B,$B38,'SG12'!I:I)*SG12_+SUMIF('SG13'!$B:$B,$B38,'SG13'!I:I)*SG13_+SUMIF('SG14'!$B:$B,$B38,'SG14'!I:I)*SG14_+SUMIF('SG15'!$B:$B,$B38,'SG15'!I:I)*SG15_)</f>
        <v>49</v>
      </c>
      <c r="J38" s="256"/>
      <c r="K38" s="61">
        <f ca="1">(SUMIF('SG01'!$B:$B,$B38,'SG01'!K:K)*SG01_+SUMIF('SG02'!$B:$B,$B38,'SG02'!K:K)*SG02_+SUMIF('SG03'!$B:$B,$B38,'SG03'!K:K)*SG03_+SUMIF('SG04'!$B:$B,$B38,'SG04'!K:K)*SG04_+SUMIF('SG05'!$B:$B,$B38,'SG05'!K:K)*SG05_+SUMIF('SG06'!$B:$B,$B38,'SG06'!K:K)*SG06_+SUMIF('SG07'!$B:$B,$B38,'SG07'!K:K)*SG07_+SUMIF('SG08'!$B:$B,$B38,'SG08'!K:K)*SG08_+SUMIF('SG09'!$B:$B,$B38,'SG09'!K:K)*SG09_+SUMIF('SG10'!$B:$B,$B38,'SG10'!K:K)*SG10_+SUMIF('SG11'!$B:$B,$B38,'SG11'!K:K)*SG11_+SUMIF('SG12'!$B:$B,$B38,'SG12'!K:K)*SG12_+SUMIF('SG13'!$B:$B,$B38,'SG13'!K:K)*SG13_+SUMIF('SG14'!$B:$B,$B38,'SG14'!K:K)*SG14_+SUMIF('SG15'!$B:$B,$B38,'SG15'!K:K)*SG15_)</f>
        <v>160957.46153846153</v>
      </c>
      <c r="L38" s="61">
        <f ca="1">(SUMIF('SG01'!$B:$B,$B38,'SG01'!L:L)*SG01_+SUMIF('SG02'!$B:$B,$B38,'SG02'!L:L)*SG02_+SUMIF('SG03'!$B:$B,$B38,'SG03'!L:L)*SG03_+SUMIF('SG04'!$B:$B,$B38,'SG04'!L:L)*SG04_+SUMIF('SG05'!$B:$B,$B38,'SG05'!L:L)*SG05_+SUMIF('SG06'!$B:$B,$B38,'SG06'!L:L)*SG06_+SUMIF('SG07'!$B:$B,$B38,'SG07'!L:L)*SG07_+SUMIF('SG08'!$B:$B,$B38,'SG08'!L:L)*SG08_+SUMIF('SG09'!$B:$B,$B38,'SG09'!L:L)*SG09_+SUMIF('SG10'!$B:$B,$B38,'SG10'!L:L)*SG10_+SUMIF('SG11'!$B:$B,$B38,'SG11'!L:L)*SG11_+SUMIF('SG12'!$B:$B,$B38,'SG12'!L:L)*SG12_+SUMIF('SG13'!$B:$B,$B38,'SG13'!L:L)*SG13_+SUMIF('SG14'!$B:$B,$B38,'SG14'!L:L)*SG14_+SUMIF('SG15'!$B:$B,$B38,'SG15'!L:L)*SG15_)</f>
        <v>749000</v>
      </c>
      <c r="M38" s="256">
        <f t="shared" ca="1" si="68"/>
        <v>588042.5384615385</v>
      </c>
      <c r="N38" s="300">
        <f t="shared" ca="1" si="69"/>
        <v>0.21489647735442127</v>
      </c>
      <c r="O38" s="301">
        <f t="shared" ca="1" si="70"/>
        <v>4.830503500986416E-4</v>
      </c>
      <c r="P38" s="301">
        <f t="shared" ca="1" si="71"/>
        <v>5.7155536197067681E-4</v>
      </c>
      <c r="Q38" s="301">
        <f t="shared" ca="1" si="72"/>
        <v>3.0525791178669325E-3</v>
      </c>
      <c r="R38" s="302">
        <f t="shared" ca="1" si="73"/>
        <v>1.3268345518548605</v>
      </c>
      <c r="S38" s="545">
        <f t="shared" ca="1" si="74"/>
        <v>3.8981702466189336</v>
      </c>
      <c r="T38" s="546">
        <f t="shared" ca="1" si="75"/>
        <v>59586.316626889413</v>
      </c>
      <c r="U38" s="121"/>
      <c r="V38" s="327" t="str">
        <f t="shared" ca="1" si="76"/>
        <v>Low</v>
      </c>
      <c r="W38" s="327" t="str">
        <f t="shared" ca="1" si="77"/>
        <v>Low</v>
      </c>
      <c r="X38" s="328" t="str">
        <f t="shared" ca="1" si="78"/>
        <v>Dog</v>
      </c>
      <c r="Y38" s="219"/>
      <c r="AB38" s="274"/>
      <c r="AC38" s="274"/>
      <c r="AD38" s="274"/>
      <c r="AE38" s="274"/>
      <c r="AF38" s="274"/>
      <c r="AG38" s="345"/>
      <c r="AH38" s="274"/>
      <c r="AI38" s="274"/>
      <c r="AJ38" s="274"/>
      <c r="AK38" s="345"/>
      <c r="AL38" s="341"/>
      <c r="AM38" s="340"/>
    </row>
    <row r="39" spans="1:39" s="280" customFormat="1" ht="19.5" customHeight="1" x14ac:dyDescent="0.35">
      <c r="A39" s="366">
        <v>7</v>
      </c>
      <c r="B39" s="628" t="s">
        <v>606</v>
      </c>
      <c r="C39" s="365" t="str">
        <f>VLOOKUP(B39,'SG02'!$B:$E,2,0)</f>
        <v>Nấm Đùi Gà Nướng</v>
      </c>
      <c r="D39" s="365"/>
      <c r="E39" s="468" t="str">
        <f>VLOOKUP(B39,'SG01'!$B:$E,4,0)</f>
        <v>Phần</v>
      </c>
      <c r="F39" s="61">
        <f t="shared" ca="1" si="65"/>
        <v>3756.1125000000002</v>
      </c>
      <c r="G39" s="61">
        <f t="shared" ca="1" si="66"/>
        <v>15336.842105263158</v>
      </c>
      <c r="H39" s="273">
        <f t="shared" ca="1" si="67"/>
        <v>11580.729605263157</v>
      </c>
      <c r="I39" s="255">
        <f ca="1">(SUMIF('SG01'!$B:$B,$B39,'SG01'!I:I)*SG01_+SUMIF('SG02'!$B:$B,$B39,'SG02'!I:I)*SG02_+SUMIF('SG03'!$B:$B,$B39,'SG03'!I:I)*SG03_+SUMIF('SG04'!$B:$B,$B39,'SG04'!I:I)*SG04_+SUMIF('SG05'!$B:$B,$B39,'SG05'!I:I)*SG05_+SUMIF('SG06'!$B:$B,$B39,'SG06'!I:I)*SG06_+SUMIF('SG07'!$B:$B,$B39,'SG07'!I:I)*SG07_+SUMIF('SG08'!$B:$B,$B39,'SG08'!I:I)*SG08_+SUMIF('SG09'!$B:$B,$B39,'SG09'!I:I)*SG09_+SUMIF('SG10'!$B:$B,$B39,'SG10'!I:I)*SG10_+SUMIF('SG11'!$B:$B,$B39,'SG11'!I:I)*SG11_+SUMIF('SG12'!$B:$B,$B39,'SG12'!I:I)*SG12_+SUMIF('SG13'!$B:$B,$B39,'SG13'!I:I)*SG13_+SUMIF('SG14'!$B:$B,$B39,'SG14'!I:I)*SG14_+SUMIF('SG15'!$B:$B,$B39,'SG15'!I:I)*SG15_)</f>
        <v>95</v>
      </c>
      <c r="J39" s="256"/>
      <c r="K39" s="61">
        <f ca="1">(SUMIF('SG01'!$B:$B,$B39,'SG01'!K:K)*SG01_+SUMIF('SG02'!$B:$B,$B39,'SG02'!K:K)*SG02_+SUMIF('SG03'!$B:$B,$B39,'SG03'!K:K)*SG03_+SUMIF('SG04'!$B:$B,$B39,'SG04'!K:K)*SG04_+SUMIF('SG05'!$B:$B,$B39,'SG05'!K:K)*SG05_+SUMIF('SG06'!$B:$B,$B39,'SG06'!K:K)*SG06_+SUMIF('SG07'!$B:$B,$B39,'SG07'!K:K)*SG07_+SUMIF('SG08'!$B:$B,$B39,'SG08'!K:K)*SG08_+SUMIF('SG09'!$B:$B,$B39,'SG09'!K:K)*SG09_+SUMIF('SG10'!$B:$B,$B39,'SG10'!K:K)*SG10_+SUMIF('SG11'!$B:$B,$B39,'SG11'!K:K)*SG11_+SUMIF('SG12'!$B:$B,$B39,'SG12'!K:K)*SG12_+SUMIF('SG13'!$B:$B,$B39,'SG13'!K:K)*SG13_+SUMIF('SG14'!$B:$B,$B39,'SG14'!K:K)*SG14_+SUMIF('SG15'!$B:$B,$B39,'SG15'!K:K)*SG15_)</f>
        <v>356830.6875</v>
      </c>
      <c r="L39" s="61">
        <f ca="1">(SUMIF('SG01'!$B:$B,$B39,'SG01'!L:L)*SG01_+SUMIF('SG02'!$B:$B,$B39,'SG02'!L:L)*SG02_+SUMIF('SG03'!$B:$B,$B39,'SG03'!L:L)*SG03_+SUMIF('SG04'!$B:$B,$B39,'SG04'!L:L)*SG04_+SUMIF('SG05'!$B:$B,$B39,'SG05'!L:L)*SG05_+SUMIF('SG06'!$B:$B,$B39,'SG06'!L:L)*SG06_+SUMIF('SG07'!$B:$B,$B39,'SG07'!L:L)*SG07_+SUMIF('SG08'!$B:$B,$B39,'SG08'!L:L)*SG08_+SUMIF('SG09'!$B:$B,$B39,'SG09'!L:L)*SG09_+SUMIF('SG10'!$B:$B,$B39,'SG10'!L:L)*SG10_+SUMIF('SG11'!$B:$B,$B39,'SG11'!L:L)*SG11_+SUMIF('SG12'!$B:$B,$B39,'SG12'!L:L)*SG12_+SUMIF('SG13'!$B:$B,$B39,'SG13'!L:L)*SG13_+SUMIF('SG14'!$B:$B,$B39,'SG14'!L:L)*SG14_+SUMIF('SG15'!$B:$B,$B39,'SG15'!L:L)*SG15_)</f>
        <v>1457000</v>
      </c>
      <c r="M39" s="256">
        <f t="shared" ca="1" si="68"/>
        <v>1100169.3125</v>
      </c>
      <c r="N39" s="300">
        <f t="shared" ca="1" si="69"/>
        <v>0.24490781571722717</v>
      </c>
      <c r="O39" s="301">
        <f t="shared" ca="1" si="70"/>
        <v>9.3965869171391294E-4</v>
      </c>
      <c r="P39" s="301">
        <f t="shared" ca="1" si="71"/>
        <v>1.069323439219348E-3</v>
      </c>
      <c r="Q39" s="301">
        <f t="shared" ca="1" si="72"/>
        <v>5.9182656366807878E-3</v>
      </c>
      <c r="R39" s="302">
        <f t="shared" ca="1" si="73"/>
        <v>2.5724343352288113</v>
      </c>
      <c r="S39" s="545">
        <f t="shared" ca="1" si="74"/>
        <v>7.5576770087509937</v>
      </c>
      <c r="T39" s="546">
        <f t="shared" ca="1" si="75"/>
        <v>115910.89896579157</v>
      </c>
      <c r="U39" s="121"/>
      <c r="V39" s="327" t="str">
        <f t="shared" ca="1" si="76"/>
        <v>Low</v>
      </c>
      <c r="W39" s="327" t="str">
        <f t="shared" ca="1" si="77"/>
        <v>Low</v>
      </c>
      <c r="X39" s="328" t="str">
        <f t="shared" ca="1" si="78"/>
        <v>Dog</v>
      </c>
      <c r="Y39" s="219"/>
      <c r="AB39" s="274"/>
      <c r="AC39" s="274"/>
      <c r="AD39" s="274"/>
      <c r="AE39" s="274"/>
      <c r="AF39" s="274"/>
      <c r="AG39" s="345"/>
      <c r="AH39" s="274"/>
      <c r="AI39" s="274"/>
      <c r="AJ39" s="274"/>
      <c r="AK39" s="345"/>
      <c r="AL39" s="341"/>
      <c r="AM39" s="340"/>
    </row>
    <row r="40" spans="1:39" s="280" customFormat="1" ht="19.5" customHeight="1" x14ac:dyDescent="0.35">
      <c r="A40" s="366">
        <v>8</v>
      </c>
      <c r="B40" s="628" t="s">
        <v>607</v>
      </c>
      <c r="C40" s="365" t="str">
        <f>VLOOKUP(B40,'SG02'!$B:$E,2,0)</f>
        <v>Nấm Đông Cô Nướng</v>
      </c>
      <c r="D40" s="365"/>
      <c r="E40" s="468" t="str">
        <f>VLOOKUP(B40,'SG01'!$B:$E,4,0)</f>
        <v>Phần</v>
      </c>
      <c r="F40" s="61">
        <f t="shared" ca="1" si="65"/>
        <v>13861.186991869919</v>
      </c>
      <c r="G40" s="61">
        <f t="shared" ca="1" si="66"/>
        <v>30104</v>
      </c>
      <c r="H40" s="273">
        <f t="shared" ca="1" si="67"/>
        <v>16242.813008130081</v>
      </c>
      <c r="I40" s="255">
        <f ca="1">(SUMIF('SG01'!$B:$B,$B40,'SG01'!I:I)*SG01_+SUMIF('SG02'!$B:$B,$B40,'SG02'!I:I)*SG02_+SUMIF('SG03'!$B:$B,$B40,'SG03'!I:I)*SG03_+SUMIF('SG04'!$B:$B,$B40,'SG04'!I:I)*SG04_+SUMIF('SG05'!$B:$B,$B40,'SG05'!I:I)*SG05_+SUMIF('SG06'!$B:$B,$B40,'SG06'!I:I)*SG06_+SUMIF('SG07'!$B:$B,$B40,'SG07'!I:I)*SG07_+SUMIF('SG08'!$B:$B,$B40,'SG08'!I:I)*SG08_+SUMIF('SG09'!$B:$B,$B40,'SG09'!I:I)*SG09_+SUMIF('SG10'!$B:$B,$B40,'SG10'!I:I)*SG10_+SUMIF('SG11'!$B:$B,$B40,'SG11'!I:I)*SG11_+SUMIF('SG12'!$B:$B,$B40,'SG12'!I:I)*SG12_+SUMIF('SG13'!$B:$B,$B40,'SG13'!I:I)*SG13_+SUMIF('SG14'!$B:$B,$B40,'SG14'!I:I)*SG14_+SUMIF('SG15'!$B:$B,$B40,'SG15'!I:I)*SG15_)</f>
        <v>125</v>
      </c>
      <c r="J40" s="256"/>
      <c r="K40" s="61">
        <f ca="1">(SUMIF('SG01'!$B:$B,$B40,'SG01'!K:K)*SG01_+SUMIF('SG02'!$B:$B,$B40,'SG02'!K:K)*SG02_+SUMIF('SG03'!$B:$B,$B40,'SG03'!K:K)*SG03_+SUMIF('SG04'!$B:$B,$B40,'SG04'!K:K)*SG04_+SUMIF('SG05'!$B:$B,$B40,'SG05'!K:K)*SG05_+SUMIF('SG06'!$B:$B,$B40,'SG06'!K:K)*SG06_+SUMIF('SG07'!$B:$B,$B40,'SG07'!K:K)*SG07_+SUMIF('SG08'!$B:$B,$B40,'SG08'!K:K)*SG08_+SUMIF('SG09'!$B:$B,$B40,'SG09'!K:K)*SG09_+SUMIF('SG10'!$B:$B,$B40,'SG10'!K:K)*SG10_+SUMIF('SG11'!$B:$B,$B40,'SG11'!K:K)*SG11_+SUMIF('SG12'!$B:$B,$B40,'SG12'!K:K)*SG12_+SUMIF('SG13'!$B:$B,$B40,'SG13'!K:K)*SG13_+SUMIF('SG14'!$B:$B,$B40,'SG14'!K:K)*SG14_+SUMIF('SG15'!$B:$B,$B40,'SG15'!K:K)*SG15_)</f>
        <v>1732648.3739837399</v>
      </c>
      <c r="L40" s="61">
        <f ca="1">(SUMIF('SG01'!$B:$B,$B40,'SG01'!L:L)*SG01_+SUMIF('SG02'!$B:$B,$B40,'SG02'!L:L)*SG02_+SUMIF('SG03'!$B:$B,$B40,'SG03'!L:L)*SG03_+SUMIF('SG04'!$B:$B,$B40,'SG04'!L:L)*SG04_+SUMIF('SG05'!$B:$B,$B40,'SG05'!L:L)*SG05_+SUMIF('SG06'!$B:$B,$B40,'SG06'!L:L)*SG06_+SUMIF('SG07'!$B:$B,$B40,'SG07'!L:L)*SG07_+SUMIF('SG08'!$B:$B,$B40,'SG08'!L:L)*SG08_+SUMIF('SG09'!$B:$B,$B40,'SG09'!L:L)*SG09_+SUMIF('SG10'!$B:$B,$B40,'SG10'!L:L)*SG10_+SUMIF('SG11'!$B:$B,$B40,'SG11'!L:L)*SG11_+SUMIF('SG12'!$B:$B,$B40,'SG12'!L:L)*SG12_+SUMIF('SG13'!$B:$B,$B40,'SG13'!L:L)*SG13_+SUMIF('SG14'!$B:$B,$B40,'SG14'!L:L)*SG14_+SUMIF('SG15'!$B:$B,$B40,'SG15'!L:L)*SG15_)</f>
        <v>3763000</v>
      </c>
      <c r="M40" s="256">
        <f t="shared" ca="1" si="68"/>
        <v>2030351.6260162601</v>
      </c>
      <c r="N40" s="300">
        <f t="shared" ca="1" si="69"/>
        <v>0.46044336273817166</v>
      </c>
      <c r="O40" s="301">
        <f t="shared" ca="1" si="70"/>
        <v>2.4268604371444438E-3</v>
      </c>
      <c r="P40" s="301">
        <f t="shared" ca="1" si="71"/>
        <v>1.9734258708077744E-3</v>
      </c>
      <c r="Q40" s="301">
        <f t="shared" ca="1" si="72"/>
        <v>7.7871916272115628E-3</v>
      </c>
      <c r="R40" s="302">
        <f t="shared" ca="1" si="73"/>
        <v>3.3847820200379095</v>
      </c>
      <c r="S40" s="545">
        <f t="shared" ca="1" si="74"/>
        <v>9.9443118536197286</v>
      </c>
      <c r="T40" s="546">
        <f t="shared" ca="1" si="75"/>
        <v>299363.56404136831</v>
      </c>
      <c r="U40" s="121"/>
      <c r="V40" s="327" t="str">
        <f t="shared" ca="1" si="76"/>
        <v>High</v>
      </c>
      <c r="W40" s="327" t="str">
        <f t="shared" ca="1" si="77"/>
        <v>High</v>
      </c>
      <c r="X40" s="328" t="str">
        <f t="shared" ca="1" si="78"/>
        <v>Star</v>
      </c>
      <c r="Y40" s="219"/>
      <c r="AB40" s="274"/>
      <c r="AC40" s="274"/>
      <c r="AD40" s="274"/>
      <c r="AE40" s="274"/>
      <c r="AF40" s="274"/>
      <c r="AG40" s="345"/>
      <c r="AH40" s="274"/>
      <c r="AI40" s="274"/>
      <c r="AJ40" s="274"/>
      <c r="AK40" s="345"/>
      <c r="AL40" s="341"/>
      <c r="AM40" s="340"/>
    </row>
    <row r="41" spans="1:39" s="280" customFormat="1" ht="19.5" customHeight="1" x14ac:dyDescent="0.35">
      <c r="A41" s="366">
        <v>9</v>
      </c>
      <c r="B41" s="628" t="s">
        <v>608</v>
      </c>
      <c r="C41" s="365" t="str">
        <f>VLOOKUP(B41,'SG02'!$B:$E,2,0)</f>
        <v>Cà Chua Bi</v>
      </c>
      <c r="D41" s="365"/>
      <c r="E41" s="468" t="str">
        <f>VLOOKUP(B41,'SG01'!$B:$E,4,0)</f>
        <v>Phần</v>
      </c>
      <c r="F41" s="61">
        <f t="shared" ref="F41" ca="1" si="79">K41/I41</f>
        <v>3234.7407407407409</v>
      </c>
      <c r="G41" s="61">
        <f t="shared" ref="G41" ca="1" si="80">L41/I41</f>
        <v>15480</v>
      </c>
      <c r="H41" s="273">
        <f t="shared" ref="H41" ca="1" si="81">G41-F41</f>
        <v>12245.259259259259</v>
      </c>
      <c r="I41" s="255">
        <f ca="1">(SUMIF('SG01'!$B:$B,$B41,'SG01'!I:I)*SG01_+SUMIF('SG02'!$B:$B,$B41,'SG02'!I:I)*SG02_+SUMIF('SG03'!$B:$B,$B41,'SG03'!I:I)*SG03_+SUMIF('SG04'!$B:$B,$B41,'SG04'!I:I)*SG04_+SUMIF('SG05'!$B:$B,$B41,'SG05'!I:I)*SG05_+SUMIF('SG06'!$B:$B,$B41,'SG06'!I:I)*SG06_+SUMIF('SG07'!$B:$B,$B41,'SG07'!I:I)*SG07_+SUMIF('SG08'!$B:$B,$B41,'SG08'!I:I)*SG08_+SUMIF('SG09'!$B:$B,$B41,'SG09'!I:I)*SG09_+SUMIF('SG10'!$B:$B,$B41,'SG10'!I:I)*SG10_+SUMIF('SG11'!$B:$B,$B41,'SG11'!I:I)*SG11_+SUMIF('SG12'!$B:$B,$B41,'SG12'!I:I)*SG12_+SUMIF('SG13'!$B:$B,$B41,'SG13'!I:I)*SG13_+SUMIF('SG14'!$B:$B,$B41,'SG14'!I:I)*SG14_+SUMIF('SG15'!$B:$B,$B41,'SG15'!I:I)*SG15_)</f>
        <v>25</v>
      </c>
      <c r="J41" s="256"/>
      <c r="K41" s="61">
        <f ca="1">(SUMIF('SG01'!$B:$B,$B41,'SG01'!K:K)*SG01_+SUMIF('SG02'!$B:$B,$B41,'SG02'!K:K)*SG02_+SUMIF('SG03'!$B:$B,$B41,'SG03'!K:K)*SG03_+SUMIF('SG04'!$B:$B,$B41,'SG04'!K:K)*SG04_+SUMIF('SG05'!$B:$B,$B41,'SG05'!K:K)*SG05_+SUMIF('SG06'!$B:$B,$B41,'SG06'!K:K)*SG06_+SUMIF('SG07'!$B:$B,$B41,'SG07'!K:K)*SG07_+SUMIF('SG08'!$B:$B,$B41,'SG08'!K:K)*SG08_+SUMIF('SG09'!$B:$B,$B41,'SG09'!K:K)*SG09_+SUMIF('SG10'!$B:$B,$B41,'SG10'!K:K)*SG10_+SUMIF('SG11'!$B:$B,$B41,'SG11'!K:K)*SG11_+SUMIF('SG12'!$B:$B,$B41,'SG12'!K:K)*SG12_+SUMIF('SG13'!$B:$B,$B41,'SG13'!K:K)*SG13_+SUMIF('SG14'!$B:$B,$B41,'SG14'!K:K)*SG14_+SUMIF('SG15'!$B:$B,$B41,'SG15'!K:K)*SG15_)</f>
        <v>80868.518518518526</v>
      </c>
      <c r="L41" s="61">
        <f ca="1">(SUMIF('SG01'!$B:$B,$B41,'SG01'!L:L)*SG01_+SUMIF('SG02'!$B:$B,$B41,'SG02'!L:L)*SG02_+SUMIF('SG03'!$B:$B,$B41,'SG03'!L:L)*SG03_+SUMIF('SG04'!$B:$B,$B41,'SG04'!L:L)*SG04_+SUMIF('SG05'!$B:$B,$B41,'SG05'!L:L)*SG05_+SUMIF('SG06'!$B:$B,$B41,'SG06'!L:L)*SG06_+SUMIF('SG07'!$B:$B,$B41,'SG07'!L:L)*SG07_+SUMIF('SG08'!$B:$B,$B41,'SG08'!L:L)*SG08_+SUMIF('SG09'!$B:$B,$B41,'SG09'!L:L)*SG09_+SUMIF('SG10'!$B:$B,$B41,'SG10'!L:L)*SG10_+SUMIF('SG11'!$B:$B,$B41,'SG11'!L:L)*SG11_+SUMIF('SG12'!$B:$B,$B41,'SG12'!L:L)*SG12_+SUMIF('SG13'!$B:$B,$B41,'SG13'!L:L)*SG13_+SUMIF('SG14'!$B:$B,$B41,'SG14'!L:L)*SG14_+SUMIF('SG15'!$B:$B,$B41,'SG15'!L:L)*SG15_)</f>
        <v>387000</v>
      </c>
      <c r="M41" s="256">
        <f t="shared" ref="M41" ca="1" si="82">L41-K41</f>
        <v>306131.48148148146</v>
      </c>
      <c r="N41" s="300">
        <f t="shared" ref="N41" ca="1" si="83">K41/L41</f>
        <v>0.20896258015121066</v>
      </c>
      <c r="O41" s="301">
        <f t="shared" ref="O41" ca="1" si="84">L41/L$10</f>
        <v>2.4958676300156784E-4</v>
      </c>
      <c r="P41" s="301">
        <f t="shared" ref="P41" ca="1" si="85">M41/M$10</f>
        <v>2.9754835452301524E-4</v>
      </c>
      <c r="Q41" s="301">
        <f t="shared" ref="Q41" ca="1" si="86">I41/I$10</f>
        <v>1.5574383254423124E-3</v>
      </c>
      <c r="R41" s="302">
        <f t="shared" ref="R41" ca="1" si="87">I41/$K$5*100</f>
        <v>0.67695640400758195</v>
      </c>
      <c r="S41" s="545">
        <f t="shared" ref="S41" ca="1" si="88">R41*T$5</f>
        <v>1.9888623707239459</v>
      </c>
      <c r="T41" s="546">
        <f t="shared" ref="T41" ca="1" si="89">IFERROR(S41*G41,0)</f>
        <v>30787.589498806683</v>
      </c>
      <c r="U41" s="121"/>
      <c r="V41" s="327" t="str">
        <f t="shared" ref="V41" ca="1" si="90">IF(B41&lt;&gt;"",IFERROR(IF($I41&gt;=$X$10,"High","Low"),""),"")</f>
        <v>Low</v>
      </c>
      <c r="W41" s="327" t="str">
        <f t="shared" ref="W41" ca="1" si="91">IF(B41&lt;&gt;"",IFERROR(IF($L41&gt;=$X$12,"High","Low"),""),"")</f>
        <v>Low</v>
      </c>
      <c r="X41" s="328" t="str">
        <f t="shared" ref="X41" ca="1" si="92">IF(B41&lt;&gt;"",IFERROR(IF(AND(V41="high",W41="high"),"Star",IF(AND(V41="low",W41="high"),"Puzzle",(IF(AND(V41="high",W41="low"),"Horse","Dog")))),""),"")</f>
        <v>Dog</v>
      </c>
      <c r="Y41" s="219"/>
      <c r="AB41" s="274"/>
      <c r="AC41" s="274"/>
      <c r="AD41" s="274"/>
      <c r="AE41" s="274"/>
      <c r="AF41" s="274"/>
      <c r="AG41" s="345"/>
      <c r="AH41" s="274"/>
      <c r="AI41" s="274"/>
      <c r="AJ41" s="274"/>
      <c r="AK41" s="345"/>
      <c r="AL41" s="341"/>
      <c r="AM41" s="340"/>
    </row>
    <row r="42" spans="1:39" ht="19.5" customHeight="1" x14ac:dyDescent="0.35">
      <c r="A42" s="76"/>
      <c r="B42" s="276"/>
      <c r="C42" s="277"/>
      <c r="D42" s="277"/>
      <c r="E42" s="277"/>
      <c r="F42" s="61"/>
      <c r="G42" s="61"/>
      <c r="H42" s="273"/>
      <c r="I42" s="255"/>
      <c r="J42" s="256"/>
      <c r="K42" s="61"/>
      <c r="L42" s="61"/>
      <c r="M42" s="256"/>
      <c r="N42" s="300"/>
      <c r="O42" s="301"/>
      <c r="P42" s="301"/>
      <c r="Q42" s="301"/>
      <c r="R42" s="302"/>
      <c r="S42" s="545">
        <f t="shared" ca="1" si="30"/>
        <v>0</v>
      </c>
      <c r="T42" s="546">
        <f t="shared" ca="1" si="31"/>
        <v>0</v>
      </c>
      <c r="U42" s="121"/>
      <c r="V42" s="326"/>
      <c r="W42" s="326"/>
      <c r="X42" s="326"/>
    </row>
    <row r="43" spans="1:39" ht="19.5" customHeight="1" x14ac:dyDescent="0.35">
      <c r="A43" s="366"/>
      <c r="B43" s="479" t="s">
        <v>477</v>
      </c>
      <c r="C43" s="484" t="s">
        <v>478</v>
      </c>
      <c r="D43" s="484"/>
      <c r="E43" s="484"/>
      <c r="F43" s="313"/>
      <c r="G43" s="312"/>
      <c r="H43" s="312"/>
      <c r="I43" s="307">
        <f ca="1">SUBTOTAL(9,I44:I67)</f>
        <v>1651</v>
      </c>
      <c r="J43" s="308"/>
      <c r="K43" s="304">
        <f ca="1">SUBTOTAL(9,K44:K67)</f>
        <v>20114375.09877703</v>
      </c>
      <c r="L43" s="304">
        <f ca="1">SUBTOTAL(9,L44:L67)</f>
        <v>66828000</v>
      </c>
      <c r="M43" s="304">
        <f ca="1">SUBTOTAL(9,M44:M67)</f>
        <v>46713624.901222967</v>
      </c>
      <c r="N43" s="314">
        <f t="shared" ref="N43:N96" ca="1" si="93">K43/L43</f>
        <v>0.30098723736722677</v>
      </c>
      <c r="O43" s="315">
        <f t="shared" ref="O43:O96" ca="1" si="94">L43/L$10</f>
        <v>4.309918397382112E-2</v>
      </c>
      <c r="P43" s="315">
        <f t="shared" ref="P43:P96" ca="1" si="95">M43/M$10</f>
        <v>4.5403896900440333E-2</v>
      </c>
      <c r="Q43" s="315">
        <f t="shared" ca="1" si="13"/>
        <v>0.10285322701221032</v>
      </c>
      <c r="R43" s="316">
        <f t="shared" ref="R43:R91" ca="1" si="96">I43/$K$5*100</f>
        <v>44.706200920660713</v>
      </c>
      <c r="S43" s="316">
        <f t="shared" ca="1" si="30"/>
        <v>131.34447096260939</v>
      </c>
      <c r="T43" s="316">
        <f t="shared" ca="1" si="31"/>
        <v>0</v>
      </c>
      <c r="U43" s="121"/>
      <c r="V43" s="326"/>
      <c r="W43" s="326"/>
      <c r="X43" s="326"/>
    </row>
    <row r="44" spans="1:39" ht="19.5" customHeight="1" x14ac:dyDescent="0.35">
      <c r="A44" s="366">
        <v>1</v>
      </c>
      <c r="B44" s="628" t="s">
        <v>609</v>
      </c>
      <c r="C44" s="365" t="str">
        <f>VLOOKUP(B44,'SG02'!$B:$E,2,0)</f>
        <v>Phần Combo Xiên Nướng 1</v>
      </c>
      <c r="D44" s="365"/>
      <c r="E44" s="468" t="str">
        <f>VLOOKUP(B44,'SG01'!$B:$E,4,0)</f>
        <v>Phần</v>
      </c>
      <c r="F44" s="61">
        <f t="shared" ref="F44:F66" ca="1" si="97">K44/I44</f>
        <v>49610.052631578947</v>
      </c>
      <c r="G44" s="61">
        <f t="shared" ref="G44:G66" ca="1" si="98">L44/I44</f>
        <v>168260.86956521738</v>
      </c>
      <c r="H44" s="273">
        <f t="shared" ref="H44:H66" ca="1" si="99">G44-F44</f>
        <v>118650.81693363843</v>
      </c>
      <c r="I44" s="255">
        <f ca="1">(SUMIF('SG01'!$B:$B,$B44,'SG01'!I:I)*SG01_+SUMIF('SG02'!$B:$B,$B44,'SG02'!I:I)*SG02_+SUMIF('SG03'!$B:$B,$B44,'SG03'!I:I)*SG03_+SUMIF('SG04'!$B:$B,$B44,'SG04'!I:I)*SG04_+SUMIF('SG05'!$B:$B,$B44,'SG05'!I:I)*SG05_+SUMIF('SG06'!$B:$B,$B44,'SG06'!I:I)*SG06_+SUMIF('SG07'!$B:$B,$B44,'SG07'!I:I)*SG07_+SUMIF('SG08'!$B:$B,$B44,'SG08'!I:I)*SG08_+SUMIF('SG09'!$B:$B,$B44,'SG09'!I:I)*SG09_+SUMIF('SG10'!$B:$B,$B44,'SG10'!I:I)*SG10_+SUMIF('SG11'!$B:$B,$B44,'SG11'!I:I)*SG11_+SUMIF('SG12'!$B:$B,$B44,'SG12'!I:I)*SG12_+SUMIF('SG13'!$B:$B,$B44,'SG13'!I:I)*SG13_+SUMIF('SG14'!$B:$B,$B44,'SG14'!I:I)*SG14_+SUMIF('SG15'!$B:$B,$B44,'SG15'!I:I)*SG15_)</f>
        <v>23</v>
      </c>
      <c r="J44" s="256"/>
      <c r="K44" s="61">
        <f ca="1">(SUMIF('SG01'!$B:$B,$B44,'SG01'!K:K)*SG01_+SUMIF('SG02'!$B:$B,$B44,'SG02'!K:K)*SG02_+SUMIF('SG03'!$B:$B,$B44,'SG03'!K:K)*SG03_+SUMIF('SG04'!$B:$B,$B44,'SG04'!K:K)*SG04_+SUMIF('SG05'!$B:$B,$B44,'SG05'!K:K)*SG05_+SUMIF('SG06'!$B:$B,$B44,'SG06'!K:K)*SG06_+SUMIF('SG07'!$B:$B,$B44,'SG07'!K:K)*SG07_+SUMIF('SG08'!$B:$B,$B44,'SG08'!K:K)*SG08_+SUMIF('SG09'!$B:$B,$B44,'SG09'!K:K)*SG09_+SUMIF('SG10'!$B:$B,$B44,'SG10'!K:K)*SG10_+SUMIF('SG11'!$B:$B,$B44,'SG11'!K:K)*SG11_+SUMIF('SG12'!$B:$B,$B44,'SG12'!K:K)*SG12_+SUMIF('SG13'!$B:$B,$B44,'SG13'!K:K)*SG13_+SUMIF('SG14'!$B:$B,$B44,'SG14'!K:K)*SG14_+SUMIF('SG15'!$B:$B,$B44,'SG15'!K:K)*SG15_)</f>
        <v>1141031.2105263157</v>
      </c>
      <c r="L44" s="61">
        <f ca="1">(SUMIF('SG01'!$B:$B,$B44,'SG01'!L:L)*SG01_+SUMIF('SG02'!$B:$B,$B44,'SG02'!L:L)*SG02_+SUMIF('SG03'!$B:$B,$B44,'SG03'!L:L)*SG03_+SUMIF('SG04'!$B:$B,$B44,'SG04'!L:L)*SG04_+SUMIF('SG05'!$B:$B,$B44,'SG05'!L:L)*SG05_+SUMIF('SG06'!$B:$B,$B44,'SG06'!L:L)*SG06_+SUMIF('SG07'!$B:$B,$B44,'SG07'!L:L)*SG07_+SUMIF('SG08'!$B:$B,$B44,'SG08'!L:L)*SG08_+SUMIF('SG09'!$B:$B,$B44,'SG09'!L:L)*SG09_+SUMIF('SG10'!$B:$B,$B44,'SG10'!L:L)*SG10_+SUMIF('SG11'!$B:$B,$B44,'SG11'!L:L)*SG11_+SUMIF('SG12'!$B:$B,$B44,'SG12'!L:L)*SG12_+SUMIF('SG13'!$B:$B,$B44,'SG13'!L:L)*SG13_+SUMIF('SG14'!$B:$B,$B44,'SG14'!L:L)*SG14_+SUMIF('SG15'!$B:$B,$B44,'SG15'!L:L)*SG15_)</f>
        <v>3869999.9999999995</v>
      </c>
      <c r="M44" s="253">
        <f t="shared" ref="M44:M66" ca="1" si="100">L44-K44</f>
        <v>2728968.7894736836</v>
      </c>
      <c r="N44" s="257">
        <f t="shared" ref="N44:N66" ca="1" si="101">K44/L44</f>
        <v>0.2948401060791514</v>
      </c>
      <c r="O44" s="258">
        <f t="shared" ref="O44:O66" ca="1" si="102">L44/L$10</f>
        <v>2.4958676300156778E-3</v>
      </c>
      <c r="P44" s="258">
        <f t="shared" ref="P44:P66" ca="1" si="103">M44/M$10</f>
        <v>2.6524556341706363E-3</v>
      </c>
      <c r="Q44" s="258">
        <f t="shared" ref="Q44:Q66" ca="1" si="104">I44/I$10</f>
        <v>1.4328432594069274E-3</v>
      </c>
      <c r="R44" s="259">
        <f t="shared" ref="R44:R66" ca="1" si="105">I44/$K$5*100</f>
        <v>0.62279989168697536</v>
      </c>
      <c r="S44" s="545">
        <f t="shared" ref="S44:S66" ca="1" si="106">R44*T$5</f>
        <v>1.82975338106603</v>
      </c>
      <c r="T44" s="546">
        <f t="shared" ref="T44:T66" ca="1" si="107">IFERROR(S44*G44,0)</f>
        <v>307875.89498806675</v>
      </c>
      <c r="U44" s="121"/>
      <c r="V44" s="327" t="str">
        <f t="shared" ref="V44:V66" ca="1" si="108">IF(B44&lt;&gt;"",IFERROR(IF($I44&gt;=$X$10,"High","Low"),""),"")</f>
        <v>Low</v>
      </c>
      <c r="W44" s="327" t="str">
        <f t="shared" ref="W44:W66" ca="1" si="109">IF(B44&lt;&gt;"",IFERROR(IF($L44&gt;=$X$12,"High","Low"),""),"")</f>
        <v>High</v>
      </c>
      <c r="X44" s="328" t="str">
        <f t="shared" ref="X44:X66" ca="1" si="110">IF(B44&lt;&gt;"",IFERROR(IF(AND(V44="high",W44="high"),"Star",IF(AND(V44="low",W44="high"),"Puzzle",(IF(AND(V44="high",W44="low"),"Horse","Dog")))),""),"")</f>
        <v>Puzzle</v>
      </c>
    </row>
    <row r="45" spans="1:39" ht="19.5" customHeight="1" x14ac:dyDescent="0.35">
      <c r="A45" s="366">
        <v>2</v>
      </c>
      <c r="B45" s="628" t="s">
        <v>610</v>
      </c>
      <c r="C45" s="365" t="str">
        <f>VLOOKUP(B45,'SG02'!$B:$E,2,0)</f>
        <v>Phần Combo Xiên Nướng 2</v>
      </c>
      <c r="D45" s="365"/>
      <c r="E45" s="468" t="str">
        <f>VLOOKUP(B45,'SG01'!$B:$E,4,0)</f>
        <v>Phần</v>
      </c>
      <c r="F45" s="61">
        <f t="shared" ca="1" si="97"/>
        <v>45794</v>
      </c>
      <c r="G45" s="61">
        <f t="shared" ca="1" si="98"/>
        <v>153173.07692307694</v>
      </c>
      <c r="H45" s="273">
        <f t="shared" ca="1" si="99"/>
        <v>107379.07692307694</v>
      </c>
      <c r="I45" s="255">
        <f ca="1">(SUMIF('SG01'!$B:$B,$B45,'SG01'!I:I)*SG01_+SUMIF('SG02'!$B:$B,$B45,'SG02'!I:I)*SG02_+SUMIF('SG03'!$B:$B,$B45,'SG03'!I:I)*SG03_+SUMIF('SG04'!$B:$B,$B45,'SG04'!I:I)*SG04_+SUMIF('SG05'!$B:$B,$B45,'SG05'!I:I)*SG05_+SUMIF('SG06'!$B:$B,$B45,'SG06'!I:I)*SG06_+SUMIF('SG07'!$B:$B,$B45,'SG07'!I:I)*SG07_+SUMIF('SG08'!$B:$B,$B45,'SG08'!I:I)*SG08_+SUMIF('SG09'!$B:$B,$B45,'SG09'!I:I)*SG09_+SUMIF('SG10'!$B:$B,$B45,'SG10'!I:I)*SG10_+SUMIF('SG11'!$B:$B,$B45,'SG11'!I:I)*SG11_+SUMIF('SG12'!$B:$B,$B45,'SG12'!I:I)*SG12_+SUMIF('SG13'!$B:$B,$B45,'SG13'!I:I)*SG13_+SUMIF('SG14'!$B:$B,$B45,'SG14'!I:I)*SG14_+SUMIF('SG15'!$B:$B,$B45,'SG15'!I:I)*SG15_)</f>
        <v>52</v>
      </c>
      <c r="J45" s="256"/>
      <c r="K45" s="61">
        <f ca="1">(SUMIF('SG01'!$B:$B,$B45,'SG01'!K:K)*SG01_+SUMIF('SG02'!$B:$B,$B45,'SG02'!K:K)*SG02_+SUMIF('SG03'!$B:$B,$B45,'SG03'!K:K)*SG03_+SUMIF('SG04'!$B:$B,$B45,'SG04'!K:K)*SG04_+SUMIF('SG05'!$B:$B,$B45,'SG05'!K:K)*SG05_+SUMIF('SG06'!$B:$B,$B45,'SG06'!K:K)*SG06_+SUMIF('SG07'!$B:$B,$B45,'SG07'!K:K)*SG07_+SUMIF('SG08'!$B:$B,$B45,'SG08'!K:K)*SG08_+SUMIF('SG09'!$B:$B,$B45,'SG09'!K:K)*SG09_+SUMIF('SG10'!$B:$B,$B45,'SG10'!K:K)*SG10_+SUMIF('SG11'!$B:$B,$B45,'SG11'!K:K)*SG11_+SUMIF('SG12'!$B:$B,$B45,'SG12'!K:K)*SG12_+SUMIF('SG13'!$B:$B,$B45,'SG13'!K:K)*SG13_+SUMIF('SG14'!$B:$B,$B45,'SG14'!K:K)*SG14_+SUMIF('SG15'!$B:$B,$B45,'SG15'!K:K)*SG15_)</f>
        <v>2381288</v>
      </c>
      <c r="L45" s="61">
        <f ca="1">(SUMIF('SG01'!$B:$B,$B45,'SG01'!L:L)*SG01_+SUMIF('SG02'!$B:$B,$B45,'SG02'!L:L)*SG02_+SUMIF('SG03'!$B:$B,$B45,'SG03'!L:L)*SG03_+SUMIF('SG04'!$B:$B,$B45,'SG04'!L:L)*SG04_+SUMIF('SG05'!$B:$B,$B45,'SG05'!L:L)*SG05_+SUMIF('SG06'!$B:$B,$B45,'SG06'!L:L)*SG06_+SUMIF('SG07'!$B:$B,$B45,'SG07'!L:L)*SG07_+SUMIF('SG08'!$B:$B,$B45,'SG08'!L:L)*SG08_+SUMIF('SG09'!$B:$B,$B45,'SG09'!L:L)*SG09_+SUMIF('SG10'!$B:$B,$B45,'SG10'!L:L)*SG10_+SUMIF('SG11'!$B:$B,$B45,'SG11'!L:L)*SG11_+SUMIF('SG12'!$B:$B,$B45,'SG12'!L:L)*SG12_+SUMIF('SG13'!$B:$B,$B45,'SG13'!L:L)*SG13_+SUMIF('SG14'!$B:$B,$B45,'SG14'!L:L)*SG14_+SUMIF('SG15'!$B:$B,$B45,'SG15'!L:L)*SG15_)</f>
        <v>7965000.0000000009</v>
      </c>
      <c r="M45" s="253">
        <f t="shared" ca="1" si="100"/>
        <v>5583712.0000000009</v>
      </c>
      <c r="N45" s="257">
        <f t="shared" ca="1" si="101"/>
        <v>0.29896898932831134</v>
      </c>
      <c r="O45" s="258">
        <f t="shared" ca="1" si="102"/>
        <v>5.1368438431718035E-3</v>
      </c>
      <c r="P45" s="258">
        <f t="shared" ca="1" si="103"/>
        <v>5.4271593032189265E-3</v>
      </c>
      <c r="Q45" s="258">
        <f t="shared" ca="1" si="104"/>
        <v>3.2394717169200102E-3</v>
      </c>
      <c r="R45" s="259">
        <f t="shared" ca="1" si="105"/>
        <v>1.4080693203357704</v>
      </c>
      <c r="S45" s="545">
        <f t="shared" ca="1" si="106"/>
        <v>4.1368337311058072</v>
      </c>
      <c r="T45" s="546">
        <f t="shared" ca="1" si="107"/>
        <v>633651.55131264916</v>
      </c>
      <c r="U45" s="121"/>
      <c r="V45" s="327" t="str">
        <f t="shared" ca="1" si="108"/>
        <v>Low</v>
      </c>
      <c r="W45" s="327" t="str">
        <f t="shared" ca="1" si="109"/>
        <v>High</v>
      </c>
      <c r="X45" s="328" t="str">
        <f t="shared" ca="1" si="110"/>
        <v>Puzzle</v>
      </c>
    </row>
    <row r="46" spans="1:39" ht="19.5" customHeight="1" x14ac:dyDescent="0.35">
      <c r="A46" s="366">
        <v>3</v>
      </c>
      <c r="B46" s="628" t="s">
        <v>611</v>
      </c>
      <c r="C46" s="365" t="str">
        <f>VLOOKUP(B46,'SG02'!$B:$E,2,0)</f>
        <v>Xiên Sụn Gà Xốt Tare</v>
      </c>
      <c r="D46" s="365"/>
      <c r="E46" s="468" t="str">
        <f>VLOOKUP(B46,'SG01'!$B:$E,4,0)</f>
        <v>Phần</v>
      </c>
      <c r="F46" s="61">
        <f t="shared" ca="1" si="97"/>
        <v>9836.6323529411766</v>
      </c>
      <c r="G46" s="61">
        <f t="shared" ca="1" si="98"/>
        <v>25407.766990291264</v>
      </c>
      <c r="H46" s="273">
        <f t="shared" ca="1" si="99"/>
        <v>15571.134637350087</v>
      </c>
      <c r="I46" s="255">
        <f ca="1">(SUMIF('SG01'!$B:$B,$B46,'SG01'!I:I)*SG01_+SUMIF('SG02'!$B:$B,$B46,'SG02'!I:I)*SG02_+SUMIF('SG03'!$B:$B,$B46,'SG03'!I:I)*SG03_+SUMIF('SG04'!$B:$B,$B46,'SG04'!I:I)*SG04_+SUMIF('SG05'!$B:$B,$B46,'SG05'!I:I)*SG05_+SUMIF('SG06'!$B:$B,$B46,'SG06'!I:I)*SG06_+SUMIF('SG07'!$B:$B,$B46,'SG07'!I:I)*SG07_+SUMIF('SG08'!$B:$B,$B46,'SG08'!I:I)*SG08_+SUMIF('SG09'!$B:$B,$B46,'SG09'!I:I)*SG09_+SUMIF('SG10'!$B:$B,$B46,'SG10'!I:I)*SG10_+SUMIF('SG11'!$B:$B,$B46,'SG11'!I:I)*SG11_+SUMIF('SG12'!$B:$B,$B46,'SG12'!I:I)*SG12_+SUMIF('SG13'!$B:$B,$B46,'SG13'!I:I)*SG13_+SUMIF('SG14'!$B:$B,$B46,'SG14'!I:I)*SG14_+SUMIF('SG15'!$B:$B,$B46,'SG15'!I:I)*SG15_)</f>
        <v>206</v>
      </c>
      <c r="J46" s="256"/>
      <c r="K46" s="61">
        <f ca="1">(SUMIF('SG01'!$B:$B,$B46,'SG01'!K:K)*SG01_+SUMIF('SG02'!$B:$B,$B46,'SG02'!K:K)*SG02_+SUMIF('SG03'!$B:$B,$B46,'SG03'!K:K)*SG03_+SUMIF('SG04'!$B:$B,$B46,'SG04'!K:K)*SG04_+SUMIF('SG05'!$B:$B,$B46,'SG05'!K:K)*SG05_+SUMIF('SG06'!$B:$B,$B46,'SG06'!K:K)*SG06_+SUMIF('SG07'!$B:$B,$B46,'SG07'!K:K)*SG07_+SUMIF('SG08'!$B:$B,$B46,'SG08'!K:K)*SG08_+SUMIF('SG09'!$B:$B,$B46,'SG09'!K:K)*SG09_+SUMIF('SG10'!$B:$B,$B46,'SG10'!K:K)*SG10_+SUMIF('SG11'!$B:$B,$B46,'SG11'!K:K)*SG11_+SUMIF('SG12'!$B:$B,$B46,'SG12'!K:K)*SG12_+SUMIF('SG13'!$B:$B,$B46,'SG13'!K:K)*SG13_+SUMIF('SG14'!$B:$B,$B46,'SG14'!K:K)*SG14_+SUMIF('SG15'!$B:$B,$B46,'SG15'!K:K)*SG15_)</f>
        <v>2026346.2647058824</v>
      </c>
      <c r="L46" s="61">
        <f ca="1">(SUMIF('SG01'!$B:$B,$B46,'SG01'!L:L)*SG01_+SUMIF('SG02'!$B:$B,$B46,'SG02'!L:L)*SG02_+SUMIF('SG03'!$B:$B,$B46,'SG03'!L:L)*SG03_+SUMIF('SG04'!$B:$B,$B46,'SG04'!L:L)*SG04_+SUMIF('SG05'!$B:$B,$B46,'SG05'!L:L)*SG05_+SUMIF('SG06'!$B:$B,$B46,'SG06'!L:L)*SG06_+SUMIF('SG07'!$B:$B,$B46,'SG07'!L:L)*SG07_+SUMIF('SG08'!$B:$B,$B46,'SG08'!L:L)*SG08_+SUMIF('SG09'!$B:$B,$B46,'SG09'!L:L)*SG09_+SUMIF('SG10'!$B:$B,$B46,'SG10'!L:L)*SG10_+SUMIF('SG11'!$B:$B,$B46,'SG11'!L:L)*SG11_+SUMIF('SG12'!$B:$B,$B46,'SG12'!L:L)*SG12_+SUMIF('SG13'!$B:$B,$B46,'SG13'!L:L)*SG13_+SUMIF('SG14'!$B:$B,$B46,'SG14'!L:L)*SG14_+SUMIF('SG15'!$B:$B,$B46,'SG15'!L:L)*SG15_)</f>
        <v>5234000</v>
      </c>
      <c r="M46" s="253">
        <f t="shared" ca="1" si="100"/>
        <v>3207653.7352941176</v>
      </c>
      <c r="N46" s="257">
        <f t="shared" ca="1" si="101"/>
        <v>0.38715060464384454</v>
      </c>
      <c r="O46" s="258">
        <f t="shared" ca="1" si="102"/>
        <v>3.3755481073648734E-3</v>
      </c>
      <c r="P46" s="258">
        <f t="shared" ca="1" si="103"/>
        <v>3.117719504696232E-3</v>
      </c>
      <c r="Q46" s="258">
        <f t="shared" ca="1" si="104"/>
        <v>1.2833291801644655E-2</v>
      </c>
      <c r="R46" s="259">
        <f t="shared" ca="1" si="105"/>
        <v>5.5781207690224752</v>
      </c>
      <c r="S46" s="545">
        <f t="shared" ca="1" si="106"/>
        <v>16.388225934765313</v>
      </c>
      <c r="T46" s="546">
        <f t="shared" ca="1" si="107"/>
        <v>416388.2259347653</v>
      </c>
      <c r="U46" s="121"/>
      <c r="V46" s="327" t="str">
        <f t="shared" ca="1" si="108"/>
        <v>High</v>
      </c>
      <c r="W46" s="327" t="str">
        <f t="shared" ca="1" si="109"/>
        <v>High</v>
      </c>
      <c r="X46" s="328" t="str">
        <f t="shared" ca="1" si="110"/>
        <v>Star</v>
      </c>
    </row>
    <row r="47" spans="1:39" ht="19.5" customHeight="1" x14ac:dyDescent="0.35">
      <c r="A47" s="366">
        <v>4</v>
      </c>
      <c r="B47" s="628" t="s">
        <v>612</v>
      </c>
      <c r="C47" s="365" t="str">
        <f>VLOOKUP(B47,'SG02'!$B:$E,2,0)</f>
        <v>Xiên Sụn Gà Xốt Muối</v>
      </c>
      <c r="D47" s="365"/>
      <c r="E47" s="468" t="str">
        <f>VLOOKUP(B47,'SG01'!$B:$E,4,0)</f>
        <v>Phần</v>
      </c>
      <c r="F47" s="61">
        <f t="shared" ca="1" si="97"/>
        <v>9632.9712230215828</v>
      </c>
      <c r="G47" s="61">
        <f t="shared" ca="1" si="98"/>
        <v>25220.930232558141</v>
      </c>
      <c r="H47" s="273">
        <f t="shared" ca="1" si="99"/>
        <v>15587.959009536558</v>
      </c>
      <c r="I47" s="255">
        <f ca="1">(SUMIF('SG01'!$B:$B,$B47,'SG01'!I:I)*SG01_+SUMIF('SG02'!$B:$B,$B47,'SG02'!I:I)*SG02_+SUMIF('SG03'!$B:$B,$B47,'SG03'!I:I)*SG03_+SUMIF('SG04'!$B:$B,$B47,'SG04'!I:I)*SG04_+SUMIF('SG05'!$B:$B,$B47,'SG05'!I:I)*SG05_+SUMIF('SG06'!$B:$B,$B47,'SG06'!I:I)*SG06_+SUMIF('SG07'!$B:$B,$B47,'SG07'!I:I)*SG07_+SUMIF('SG08'!$B:$B,$B47,'SG08'!I:I)*SG08_+SUMIF('SG09'!$B:$B,$B47,'SG09'!I:I)*SG09_+SUMIF('SG10'!$B:$B,$B47,'SG10'!I:I)*SG10_+SUMIF('SG11'!$B:$B,$B47,'SG11'!I:I)*SG11_+SUMIF('SG12'!$B:$B,$B47,'SG12'!I:I)*SG12_+SUMIF('SG13'!$B:$B,$B47,'SG13'!I:I)*SG13_+SUMIF('SG14'!$B:$B,$B47,'SG14'!I:I)*SG14_+SUMIF('SG15'!$B:$B,$B47,'SG15'!I:I)*SG15_)</f>
        <v>172</v>
      </c>
      <c r="J47" s="256"/>
      <c r="K47" s="61">
        <f ca="1">(SUMIF('SG01'!$B:$B,$B47,'SG01'!K:K)*SG01_+SUMIF('SG02'!$B:$B,$B47,'SG02'!K:K)*SG02_+SUMIF('SG03'!$B:$B,$B47,'SG03'!K:K)*SG03_+SUMIF('SG04'!$B:$B,$B47,'SG04'!K:K)*SG04_+SUMIF('SG05'!$B:$B,$B47,'SG05'!K:K)*SG05_+SUMIF('SG06'!$B:$B,$B47,'SG06'!K:K)*SG06_+SUMIF('SG07'!$B:$B,$B47,'SG07'!K:K)*SG07_+SUMIF('SG08'!$B:$B,$B47,'SG08'!K:K)*SG08_+SUMIF('SG09'!$B:$B,$B47,'SG09'!K:K)*SG09_+SUMIF('SG10'!$B:$B,$B47,'SG10'!K:K)*SG10_+SUMIF('SG11'!$B:$B,$B47,'SG11'!K:K)*SG11_+SUMIF('SG12'!$B:$B,$B47,'SG12'!K:K)*SG12_+SUMIF('SG13'!$B:$B,$B47,'SG13'!K:K)*SG13_+SUMIF('SG14'!$B:$B,$B47,'SG14'!K:K)*SG14_+SUMIF('SG15'!$B:$B,$B47,'SG15'!K:K)*SG15_)</f>
        <v>1656871.0503597122</v>
      </c>
      <c r="L47" s="61">
        <f ca="1">(SUMIF('SG01'!$B:$B,$B47,'SG01'!L:L)*SG01_+SUMIF('SG02'!$B:$B,$B47,'SG02'!L:L)*SG02_+SUMIF('SG03'!$B:$B,$B47,'SG03'!L:L)*SG03_+SUMIF('SG04'!$B:$B,$B47,'SG04'!L:L)*SG04_+SUMIF('SG05'!$B:$B,$B47,'SG05'!L:L)*SG05_+SUMIF('SG06'!$B:$B,$B47,'SG06'!L:L)*SG06_+SUMIF('SG07'!$B:$B,$B47,'SG07'!L:L)*SG07_+SUMIF('SG08'!$B:$B,$B47,'SG08'!L:L)*SG08_+SUMIF('SG09'!$B:$B,$B47,'SG09'!L:L)*SG09_+SUMIF('SG10'!$B:$B,$B47,'SG10'!L:L)*SG10_+SUMIF('SG11'!$B:$B,$B47,'SG11'!L:L)*SG11_+SUMIF('SG12'!$B:$B,$B47,'SG12'!L:L)*SG12_+SUMIF('SG13'!$B:$B,$B47,'SG13'!L:L)*SG13_+SUMIF('SG14'!$B:$B,$B47,'SG14'!L:L)*SG14_+SUMIF('SG15'!$B:$B,$B47,'SG15'!L:L)*SG15_)</f>
        <v>4338000</v>
      </c>
      <c r="M47" s="253">
        <f t="shared" ca="1" si="100"/>
        <v>2681128.949640288</v>
      </c>
      <c r="N47" s="257">
        <f t="shared" ca="1" si="101"/>
        <v>0.38194353396950487</v>
      </c>
      <c r="O47" s="258">
        <f t="shared" ca="1" si="102"/>
        <v>2.7976934829478067E-3</v>
      </c>
      <c r="P47" s="258">
        <f t="shared" ca="1" si="103"/>
        <v>2.6059570984624343E-3</v>
      </c>
      <c r="Q47" s="258">
        <f t="shared" ca="1" si="104"/>
        <v>1.071517567904311E-2</v>
      </c>
      <c r="R47" s="259">
        <f t="shared" ca="1" si="105"/>
        <v>4.6574600595721636</v>
      </c>
      <c r="S47" s="545">
        <f t="shared" ca="1" si="106"/>
        <v>13.683373110580748</v>
      </c>
      <c r="T47" s="546">
        <f t="shared" ca="1" si="107"/>
        <v>345107.3985680191</v>
      </c>
      <c r="U47" s="121"/>
      <c r="V47" s="327" t="str">
        <f t="shared" ca="1" si="108"/>
        <v>High</v>
      </c>
      <c r="W47" s="327" t="str">
        <f t="shared" ca="1" si="109"/>
        <v>High</v>
      </c>
      <c r="X47" s="328" t="str">
        <f t="shared" ca="1" si="110"/>
        <v>Star</v>
      </c>
    </row>
    <row r="48" spans="1:39" ht="19.5" customHeight="1" x14ac:dyDescent="0.35">
      <c r="A48" s="366">
        <v>5</v>
      </c>
      <c r="B48" s="628" t="s">
        <v>613</v>
      </c>
      <c r="C48" s="365" t="str">
        <f>VLOOKUP(B48,'SG02'!$B:$E,2,0)</f>
        <v>Xiên Cánh Gà Khúc Giữa Xốt Tare</v>
      </c>
      <c r="D48" s="365"/>
      <c r="E48" s="468" t="str">
        <f>VLOOKUP(B48,'SG01'!$B:$E,4,0)</f>
        <v>Phần</v>
      </c>
      <c r="F48" s="61">
        <f t="shared" ca="1" si="97"/>
        <v>12274.173611111111</v>
      </c>
      <c r="G48" s="61">
        <f t="shared" ca="1" si="98"/>
        <v>35820.51282051282</v>
      </c>
      <c r="H48" s="273">
        <f t="shared" ca="1" si="99"/>
        <v>23546.339209401711</v>
      </c>
      <c r="I48" s="255">
        <f ca="1">(SUMIF('SG01'!$B:$B,$B48,'SG01'!I:I)*SG01_+SUMIF('SG02'!$B:$B,$B48,'SG02'!I:I)*SG02_+SUMIF('SG03'!$B:$B,$B48,'SG03'!I:I)*SG03_+SUMIF('SG04'!$B:$B,$B48,'SG04'!I:I)*SG04_+SUMIF('SG05'!$B:$B,$B48,'SG05'!I:I)*SG05_+SUMIF('SG06'!$B:$B,$B48,'SG06'!I:I)*SG06_+SUMIF('SG07'!$B:$B,$B48,'SG07'!I:I)*SG07_+SUMIF('SG08'!$B:$B,$B48,'SG08'!I:I)*SG08_+SUMIF('SG09'!$B:$B,$B48,'SG09'!I:I)*SG09_+SUMIF('SG10'!$B:$B,$B48,'SG10'!I:I)*SG10_+SUMIF('SG11'!$B:$B,$B48,'SG11'!I:I)*SG11_+SUMIF('SG12'!$B:$B,$B48,'SG12'!I:I)*SG12_+SUMIF('SG13'!$B:$B,$B48,'SG13'!I:I)*SG13_+SUMIF('SG14'!$B:$B,$B48,'SG14'!I:I)*SG14_+SUMIF('SG15'!$B:$B,$B48,'SG15'!I:I)*SG15_)</f>
        <v>117</v>
      </c>
      <c r="J48" s="256"/>
      <c r="K48" s="61">
        <f ca="1">(SUMIF('SG01'!$B:$B,$B48,'SG01'!K:K)*SG01_+SUMIF('SG02'!$B:$B,$B48,'SG02'!K:K)*SG02_+SUMIF('SG03'!$B:$B,$B48,'SG03'!K:K)*SG03_+SUMIF('SG04'!$B:$B,$B48,'SG04'!K:K)*SG04_+SUMIF('SG05'!$B:$B,$B48,'SG05'!K:K)*SG05_+SUMIF('SG06'!$B:$B,$B48,'SG06'!K:K)*SG06_+SUMIF('SG07'!$B:$B,$B48,'SG07'!K:K)*SG07_+SUMIF('SG08'!$B:$B,$B48,'SG08'!K:K)*SG08_+SUMIF('SG09'!$B:$B,$B48,'SG09'!K:K)*SG09_+SUMIF('SG10'!$B:$B,$B48,'SG10'!K:K)*SG10_+SUMIF('SG11'!$B:$B,$B48,'SG11'!K:K)*SG11_+SUMIF('SG12'!$B:$B,$B48,'SG12'!K:K)*SG12_+SUMIF('SG13'!$B:$B,$B48,'SG13'!K:K)*SG13_+SUMIF('SG14'!$B:$B,$B48,'SG14'!K:K)*SG14_+SUMIF('SG15'!$B:$B,$B48,'SG15'!K:K)*SG15_)</f>
        <v>1436078.3125</v>
      </c>
      <c r="L48" s="61">
        <f ca="1">(SUMIF('SG01'!$B:$B,$B48,'SG01'!L:L)*SG01_+SUMIF('SG02'!$B:$B,$B48,'SG02'!L:L)*SG02_+SUMIF('SG03'!$B:$B,$B48,'SG03'!L:L)*SG03_+SUMIF('SG04'!$B:$B,$B48,'SG04'!L:L)*SG04_+SUMIF('SG05'!$B:$B,$B48,'SG05'!L:L)*SG05_+SUMIF('SG06'!$B:$B,$B48,'SG06'!L:L)*SG06_+SUMIF('SG07'!$B:$B,$B48,'SG07'!L:L)*SG07_+SUMIF('SG08'!$B:$B,$B48,'SG08'!L:L)*SG08_+SUMIF('SG09'!$B:$B,$B48,'SG09'!L:L)*SG09_+SUMIF('SG10'!$B:$B,$B48,'SG10'!L:L)*SG10_+SUMIF('SG11'!$B:$B,$B48,'SG11'!L:L)*SG11_+SUMIF('SG12'!$B:$B,$B48,'SG12'!L:L)*SG12_+SUMIF('SG13'!$B:$B,$B48,'SG13'!L:L)*SG13_+SUMIF('SG14'!$B:$B,$B48,'SG14'!L:L)*SG14_+SUMIF('SG15'!$B:$B,$B48,'SG15'!L:L)*SG15_)</f>
        <v>4191000</v>
      </c>
      <c r="M48" s="253">
        <f t="shared" ca="1" si="100"/>
        <v>2754921.6875</v>
      </c>
      <c r="N48" s="257">
        <f t="shared" ca="1" si="101"/>
        <v>0.3426576741827726</v>
      </c>
      <c r="O48" s="258">
        <f t="shared" ca="1" si="102"/>
        <v>2.7028892086293816E-3</v>
      </c>
      <c r="P48" s="258">
        <f t="shared" ca="1" si="103"/>
        <v>2.6776808807394089E-3</v>
      </c>
      <c r="Q48" s="258">
        <f t="shared" ca="1" si="104"/>
        <v>7.288811363070022E-3</v>
      </c>
      <c r="R48" s="259">
        <f t="shared" ca="1" si="105"/>
        <v>3.1681559707554832</v>
      </c>
      <c r="S48" s="545">
        <f t="shared" ca="1" si="106"/>
        <v>9.3078758949880651</v>
      </c>
      <c r="T48" s="546">
        <f t="shared" ca="1" si="107"/>
        <v>333412.88782816223</v>
      </c>
      <c r="U48" s="121"/>
      <c r="V48" s="327" t="str">
        <f t="shared" ca="1" si="108"/>
        <v>High</v>
      </c>
      <c r="W48" s="327" t="str">
        <f t="shared" ca="1" si="109"/>
        <v>High</v>
      </c>
      <c r="X48" s="328" t="str">
        <f t="shared" ca="1" si="110"/>
        <v>Star</v>
      </c>
    </row>
    <row r="49" spans="1:24" ht="19.5" customHeight="1" x14ac:dyDescent="0.35">
      <c r="A49" s="366">
        <v>6</v>
      </c>
      <c r="B49" s="628" t="s">
        <v>614</v>
      </c>
      <c r="C49" s="365" t="str">
        <f>VLOOKUP(B49,'SG02'!$B:$E,2,0)</f>
        <v>Xiên Cánh Gà Khúc Giữa Xốt Muối</v>
      </c>
      <c r="D49" s="365"/>
      <c r="E49" s="468" t="str">
        <f>VLOOKUP(B49,'SG01'!$B:$E,4,0)</f>
        <v>Phần</v>
      </c>
      <c r="F49" s="61">
        <f t="shared" ca="1" si="97"/>
        <v>12070.49593495935</v>
      </c>
      <c r="G49" s="61">
        <f t="shared" ca="1" si="98"/>
        <v>35900</v>
      </c>
      <c r="H49" s="273">
        <f t="shared" ca="1" si="99"/>
        <v>23829.504065040652</v>
      </c>
      <c r="I49" s="255">
        <f ca="1">(SUMIF('SG01'!$B:$B,$B49,'SG01'!I:I)*SG01_+SUMIF('SG02'!$B:$B,$B49,'SG02'!I:I)*SG02_+SUMIF('SG03'!$B:$B,$B49,'SG03'!I:I)*SG03_+SUMIF('SG04'!$B:$B,$B49,'SG04'!I:I)*SG04_+SUMIF('SG05'!$B:$B,$B49,'SG05'!I:I)*SG05_+SUMIF('SG06'!$B:$B,$B49,'SG06'!I:I)*SG06_+SUMIF('SG07'!$B:$B,$B49,'SG07'!I:I)*SG07_+SUMIF('SG08'!$B:$B,$B49,'SG08'!I:I)*SG08_+SUMIF('SG09'!$B:$B,$B49,'SG09'!I:I)*SG09_+SUMIF('SG10'!$B:$B,$B49,'SG10'!I:I)*SG10_+SUMIF('SG11'!$B:$B,$B49,'SG11'!I:I)*SG11_+SUMIF('SG12'!$B:$B,$B49,'SG12'!I:I)*SG12_+SUMIF('SG13'!$B:$B,$B49,'SG13'!I:I)*SG13_+SUMIF('SG14'!$B:$B,$B49,'SG14'!I:I)*SG14_+SUMIF('SG15'!$B:$B,$B49,'SG15'!I:I)*SG15_)</f>
        <v>80</v>
      </c>
      <c r="J49" s="256"/>
      <c r="K49" s="61">
        <f ca="1">(SUMIF('SG01'!$B:$B,$B49,'SG01'!K:K)*SG01_+SUMIF('SG02'!$B:$B,$B49,'SG02'!K:K)*SG02_+SUMIF('SG03'!$B:$B,$B49,'SG03'!K:K)*SG03_+SUMIF('SG04'!$B:$B,$B49,'SG04'!K:K)*SG04_+SUMIF('SG05'!$B:$B,$B49,'SG05'!K:K)*SG05_+SUMIF('SG06'!$B:$B,$B49,'SG06'!K:K)*SG06_+SUMIF('SG07'!$B:$B,$B49,'SG07'!K:K)*SG07_+SUMIF('SG08'!$B:$B,$B49,'SG08'!K:K)*SG08_+SUMIF('SG09'!$B:$B,$B49,'SG09'!K:K)*SG09_+SUMIF('SG10'!$B:$B,$B49,'SG10'!K:K)*SG10_+SUMIF('SG11'!$B:$B,$B49,'SG11'!K:K)*SG11_+SUMIF('SG12'!$B:$B,$B49,'SG12'!K:K)*SG12_+SUMIF('SG13'!$B:$B,$B49,'SG13'!K:K)*SG13_+SUMIF('SG14'!$B:$B,$B49,'SG14'!K:K)*SG14_+SUMIF('SG15'!$B:$B,$B49,'SG15'!K:K)*SG15_)</f>
        <v>965639.67479674798</v>
      </c>
      <c r="L49" s="61">
        <f ca="1">(SUMIF('SG01'!$B:$B,$B49,'SG01'!L:L)*SG01_+SUMIF('SG02'!$B:$B,$B49,'SG02'!L:L)*SG02_+SUMIF('SG03'!$B:$B,$B49,'SG03'!L:L)*SG03_+SUMIF('SG04'!$B:$B,$B49,'SG04'!L:L)*SG04_+SUMIF('SG05'!$B:$B,$B49,'SG05'!L:L)*SG05_+SUMIF('SG06'!$B:$B,$B49,'SG06'!L:L)*SG06_+SUMIF('SG07'!$B:$B,$B49,'SG07'!L:L)*SG07_+SUMIF('SG08'!$B:$B,$B49,'SG08'!L:L)*SG08_+SUMIF('SG09'!$B:$B,$B49,'SG09'!L:L)*SG09_+SUMIF('SG10'!$B:$B,$B49,'SG10'!L:L)*SG10_+SUMIF('SG11'!$B:$B,$B49,'SG11'!L:L)*SG11_+SUMIF('SG12'!$B:$B,$B49,'SG12'!L:L)*SG12_+SUMIF('SG13'!$B:$B,$B49,'SG13'!L:L)*SG13_+SUMIF('SG14'!$B:$B,$B49,'SG14'!L:L)*SG14_+SUMIF('SG15'!$B:$B,$B49,'SG15'!L:L)*SG15_)</f>
        <v>2872000</v>
      </c>
      <c r="M49" s="253">
        <f t="shared" ca="1" si="100"/>
        <v>1906360.325203252</v>
      </c>
      <c r="N49" s="257">
        <f t="shared" ca="1" si="101"/>
        <v>0.33622551350861696</v>
      </c>
      <c r="O49" s="258">
        <f t="shared" ca="1" si="102"/>
        <v>1.8522304479082759E-3</v>
      </c>
      <c r="P49" s="258">
        <f t="shared" ca="1" si="103"/>
        <v>1.8529109621367086E-3</v>
      </c>
      <c r="Q49" s="258">
        <f t="shared" ca="1" si="104"/>
        <v>4.9838026414153998E-3</v>
      </c>
      <c r="R49" s="259">
        <f t="shared" ca="1" si="105"/>
        <v>2.1662604928242621</v>
      </c>
      <c r="S49" s="545">
        <f t="shared" ca="1" si="106"/>
        <v>6.3643595863166267</v>
      </c>
      <c r="T49" s="546">
        <f t="shared" ca="1" si="107"/>
        <v>228480.5091487669</v>
      </c>
      <c r="U49" s="121"/>
      <c r="V49" s="327" t="str">
        <f t="shared" ca="1" si="108"/>
        <v>Low</v>
      </c>
      <c r="W49" s="327" t="str">
        <f t="shared" ca="1" si="109"/>
        <v>Low</v>
      </c>
      <c r="X49" s="328" t="str">
        <f t="shared" ca="1" si="110"/>
        <v>Dog</v>
      </c>
    </row>
    <row r="50" spans="1:24" ht="19.5" customHeight="1" x14ac:dyDescent="0.35">
      <c r="A50" s="366">
        <v>7</v>
      </c>
      <c r="B50" s="628" t="s">
        <v>615</v>
      </c>
      <c r="C50" s="365" t="str">
        <f>VLOOKUP(B50,'SG02'!$B:$E,2,0)</f>
        <v>Xiên Chẳng Dừng Xốt Tare</v>
      </c>
      <c r="D50" s="365"/>
      <c r="E50" s="468" t="str">
        <f>VLOOKUP(B50,'SG01'!$B:$E,4,0)</f>
        <v>Phần</v>
      </c>
      <c r="F50" s="61">
        <f t="shared" ca="1" si="97"/>
        <v>11384.212121212122</v>
      </c>
      <c r="G50" s="61">
        <f t="shared" ca="1" si="98"/>
        <v>29617.647058823528</v>
      </c>
      <c r="H50" s="273">
        <f t="shared" ca="1" si="99"/>
        <v>18233.434937611404</v>
      </c>
      <c r="I50" s="255">
        <f ca="1">(SUMIF('SG01'!$B:$B,$B50,'SG01'!I:I)*SG01_+SUMIF('SG02'!$B:$B,$B50,'SG02'!I:I)*SG02_+SUMIF('SG03'!$B:$B,$B50,'SG03'!I:I)*SG03_+SUMIF('SG04'!$B:$B,$B50,'SG04'!I:I)*SG04_+SUMIF('SG05'!$B:$B,$B50,'SG05'!I:I)*SG05_+SUMIF('SG06'!$B:$B,$B50,'SG06'!I:I)*SG06_+SUMIF('SG07'!$B:$B,$B50,'SG07'!I:I)*SG07_+SUMIF('SG08'!$B:$B,$B50,'SG08'!I:I)*SG08_+SUMIF('SG09'!$B:$B,$B50,'SG09'!I:I)*SG09_+SUMIF('SG10'!$B:$B,$B50,'SG10'!I:I)*SG10_+SUMIF('SG11'!$B:$B,$B50,'SG11'!I:I)*SG11_+SUMIF('SG12'!$B:$B,$B50,'SG12'!I:I)*SG12_+SUMIF('SG13'!$B:$B,$B50,'SG13'!I:I)*SG13_+SUMIF('SG14'!$B:$B,$B50,'SG14'!I:I)*SG14_+SUMIF('SG15'!$B:$B,$B50,'SG15'!I:I)*SG15_)</f>
        <v>68</v>
      </c>
      <c r="J50" s="256"/>
      <c r="K50" s="61">
        <f ca="1">(SUMIF('SG01'!$B:$B,$B50,'SG01'!K:K)*SG01_+SUMIF('SG02'!$B:$B,$B50,'SG02'!K:K)*SG02_+SUMIF('SG03'!$B:$B,$B50,'SG03'!K:K)*SG03_+SUMIF('SG04'!$B:$B,$B50,'SG04'!K:K)*SG04_+SUMIF('SG05'!$B:$B,$B50,'SG05'!K:K)*SG05_+SUMIF('SG06'!$B:$B,$B50,'SG06'!K:K)*SG06_+SUMIF('SG07'!$B:$B,$B50,'SG07'!K:K)*SG07_+SUMIF('SG08'!$B:$B,$B50,'SG08'!K:K)*SG08_+SUMIF('SG09'!$B:$B,$B50,'SG09'!K:K)*SG09_+SUMIF('SG10'!$B:$B,$B50,'SG10'!K:K)*SG10_+SUMIF('SG11'!$B:$B,$B50,'SG11'!K:K)*SG11_+SUMIF('SG12'!$B:$B,$B50,'SG12'!K:K)*SG12_+SUMIF('SG13'!$B:$B,$B50,'SG13'!K:K)*SG13_+SUMIF('SG14'!$B:$B,$B50,'SG14'!K:K)*SG14_+SUMIF('SG15'!$B:$B,$B50,'SG15'!K:K)*SG15_)</f>
        <v>774126.42424242431</v>
      </c>
      <c r="L50" s="61">
        <f ca="1">(SUMIF('SG01'!$B:$B,$B50,'SG01'!L:L)*SG01_+SUMIF('SG02'!$B:$B,$B50,'SG02'!L:L)*SG02_+SUMIF('SG03'!$B:$B,$B50,'SG03'!L:L)*SG03_+SUMIF('SG04'!$B:$B,$B50,'SG04'!L:L)*SG04_+SUMIF('SG05'!$B:$B,$B50,'SG05'!L:L)*SG05_+SUMIF('SG06'!$B:$B,$B50,'SG06'!L:L)*SG06_+SUMIF('SG07'!$B:$B,$B50,'SG07'!L:L)*SG07_+SUMIF('SG08'!$B:$B,$B50,'SG08'!L:L)*SG08_+SUMIF('SG09'!$B:$B,$B50,'SG09'!L:L)*SG09_+SUMIF('SG10'!$B:$B,$B50,'SG10'!L:L)*SG10_+SUMIF('SG11'!$B:$B,$B50,'SG11'!L:L)*SG11_+SUMIF('SG12'!$B:$B,$B50,'SG12'!L:L)*SG12_+SUMIF('SG13'!$B:$B,$B50,'SG13'!L:L)*SG13_+SUMIF('SG14'!$B:$B,$B50,'SG14'!L:L)*SG14_+SUMIF('SG15'!$B:$B,$B50,'SG15'!L:L)*SG15_)</f>
        <v>2014000</v>
      </c>
      <c r="M50" s="253">
        <f t="shared" ca="1" si="100"/>
        <v>1239873.5757575757</v>
      </c>
      <c r="N50" s="257">
        <f t="shared" ca="1" si="101"/>
        <v>0.3843726038939545</v>
      </c>
      <c r="O50" s="258">
        <f t="shared" ca="1" si="102"/>
        <v>1.2988830508660404E-3</v>
      </c>
      <c r="P50" s="258">
        <f t="shared" ca="1" si="103"/>
        <v>1.2051107599188573E-3</v>
      </c>
      <c r="Q50" s="258">
        <f t="shared" ca="1" si="104"/>
        <v>4.23623224520309E-3</v>
      </c>
      <c r="R50" s="259">
        <f t="shared" ca="1" si="105"/>
        <v>1.8413214189006228</v>
      </c>
      <c r="S50" s="545">
        <f t="shared" ca="1" si="106"/>
        <v>5.4097056483691324</v>
      </c>
      <c r="T50" s="546">
        <f t="shared" ca="1" si="107"/>
        <v>160222.75258552106</v>
      </c>
      <c r="U50" s="121"/>
      <c r="V50" s="327" t="str">
        <f t="shared" ca="1" si="108"/>
        <v>Low</v>
      </c>
      <c r="W50" s="327" t="str">
        <f t="shared" ca="1" si="109"/>
        <v>Low</v>
      </c>
      <c r="X50" s="328" t="str">
        <f t="shared" ca="1" si="110"/>
        <v>Dog</v>
      </c>
    </row>
    <row r="51" spans="1:24" ht="19.5" customHeight="1" x14ac:dyDescent="0.35">
      <c r="A51" s="366">
        <v>8</v>
      </c>
      <c r="B51" s="628" t="s">
        <v>616</v>
      </c>
      <c r="C51" s="365" t="str">
        <f>VLOOKUP(B51,'SG02'!$B:$E,2,0)</f>
        <v>Xiên Chẳng Dừng Xốt Muối</v>
      </c>
      <c r="D51" s="365"/>
      <c r="E51" s="468" t="str">
        <f>VLOOKUP(B51,'SG01'!$B:$E,4,0)</f>
        <v>Phần</v>
      </c>
      <c r="F51" s="61">
        <f t="shared" ca="1" si="97"/>
        <v>11180.544117647059</v>
      </c>
      <c r="G51" s="61">
        <f t="shared" ca="1" si="98"/>
        <v>30469.387755102041</v>
      </c>
      <c r="H51" s="273">
        <f t="shared" ca="1" si="99"/>
        <v>19288.843637454982</v>
      </c>
      <c r="I51" s="255">
        <f ca="1">(SUMIF('SG01'!$B:$B,$B51,'SG01'!I:I)*SG01_+SUMIF('SG02'!$B:$B,$B51,'SG02'!I:I)*SG02_+SUMIF('SG03'!$B:$B,$B51,'SG03'!I:I)*SG03_+SUMIF('SG04'!$B:$B,$B51,'SG04'!I:I)*SG04_+SUMIF('SG05'!$B:$B,$B51,'SG05'!I:I)*SG05_+SUMIF('SG06'!$B:$B,$B51,'SG06'!I:I)*SG06_+SUMIF('SG07'!$B:$B,$B51,'SG07'!I:I)*SG07_+SUMIF('SG08'!$B:$B,$B51,'SG08'!I:I)*SG08_+SUMIF('SG09'!$B:$B,$B51,'SG09'!I:I)*SG09_+SUMIF('SG10'!$B:$B,$B51,'SG10'!I:I)*SG10_+SUMIF('SG11'!$B:$B,$B51,'SG11'!I:I)*SG11_+SUMIF('SG12'!$B:$B,$B51,'SG12'!I:I)*SG12_+SUMIF('SG13'!$B:$B,$B51,'SG13'!I:I)*SG13_+SUMIF('SG14'!$B:$B,$B51,'SG14'!I:I)*SG14_+SUMIF('SG15'!$B:$B,$B51,'SG15'!I:I)*SG15_)</f>
        <v>98</v>
      </c>
      <c r="J51" s="256"/>
      <c r="K51" s="61">
        <f ca="1">(SUMIF('SG01'!$B:$B,$B51,'SG01'!K:K)*SG01_+SUMIF('SG02'!$B:$B,$B51,'SG02'!K:K)*SG02_+SUMIF('SG03'!$B:$B,$B51,'SG03'!K:K)*SG03_+SUMIF('SG04'!$B:$B,$B51,'SG04'!K:K)*SG04_+SUMIF('SG05'!$B:$B,$B51,'SG05'!K:K)*SG05_+SUMIF('SG06'!$B:$B,$B51,'SG06'!K:K)*SG06_+SUMIF('SG07'!$B:$B,$B51,'SG07'!K:K)*SG07_+SUMIF('SG08'!$B:$B,$B51,'SG08'!K:K)*SG08_+SUMIF('SG09'!$B:$B,$B51,'SG09'!K:K)*SG09_+SUMIF('SG10'!$B:$B,$B51,'SG10'!K:K)*SG10_+SUMIF('SG11'!$B:$B,$B51,'SG11'!K:K)*SG11_+SUMIF('SG12'!$B:$B,$B51,'SG12'!K:K)*SG12_+SUMIF('SG13'!$B:$B,$B51,'SG13'!K:K)*SG13_+SUMIF('SG14'!$B:$B,$B51,'SG14'!K:K)*SG14_+SUMIF('SG15'!$B:$B,$B51,'SG15'!K:K)*SG15_)</f>
        <v>1095693.3235294118</v>
      </c>
      <c r="L51" s="61">
        <f ca="1">(SUMIF('SG01'!$B:$B,$B51,'SG01'!L:L)*SG01_+SUMIF('SG02'!$B:$B,$B51,'SG02'!L:L)*SG02_+SUMIF('SG03'!$B:$B,$B51,'SG03'!L:L)*SG03_+SUMIF('SG04'!$B:$B,$B51,'SG04'!L:L)*SG04_+SUMIF('SG05'!$B:$B,$B51,'SG05'!L:L)*SG05_+SUMIF('SG06'!$B:$B,$B51,'SG06'!L:L)*SG06_+SUMIF('SG07'!$B:$B,$B51,'SG07'!L:L)*SG07_+SUMIF('SG08'!$B:$B,$B51,'SG08'!L:L)*SG08_+SUMIF('SG09'!$B:$B,$B51,'SG09'!L:L)*SG09_+SUMIF('SG10'!$B:$B,$B51,'SG10'!L:L)*SG10_+SUMIF('SG11'!$B:$B,$B51,'SG11'!L:L)*SG11_+SUMIF('SG12'!$B:$B,$B51,'SG12'!L:L)*SG12_+SUMIF('SG13'!$B:$B,$B51,'SG13'!L:L)*SG13_+SUMIF('SG14'!$B:$B,$B51,'SG14'!L:L)*SG14_+SUMIF('SG15'!$B:$B,$B51,'SG15'!L:L)*SG15_)</f>
        <v>2986000</v>
      </c>
      <c r="M51" s="253">
        <f t="shared" ca="1" si="100"/>
        <v>1890306.6764705882</v>
      </c>
      <c r="N51" s="257">
        <f t="shared" ca="1" si="101"/>
        <v>0.36694351089397581</v>
      </c>
      <c r="O51" s="258">
        <f t="shared" ca="1" si="102"/>
        <v>1.9257521300327688E-3</v>
      </c>
      <c r="P51" s="258">
        <f t="shared" ca="1" si="103"/>
        <v>1.8373074157736289E-3</v>
      </c>
      <c r="Q51" s="258">
        <f t="shared" ca="1" si="104"/>
        <v>6.105158235733865E-3</v>
      </c>
      <c r="R51" s="259">
        <f t="shared" ca="1" si="105"/>
        <v>2.6536691037097211</v>
      </c>
      <c r="S51" s="545">
        <f t="shared" ca="1" si="106"/>
        <v>7.7963404932378673</v>
      </c>
      <c r="T51" s="546">
        <f t="shared" ca="1" si="107"/>
        <v>237549.72155926807</v>
      </c>
      <c r="U51" s="121"/>
      <c r="V51" s="327" t="str">
        <f t="shared" ca="1" si="108"/>
        <v>Low</v>
      </c>
      <c r="W51" s="327" t="str">
        <f t="shared" ca="1" si="109"/>
        <v>Low</v>
      </c>
      <c r="X51" s="328" t="str">
        <f t="shared" ca="1" si="110"/>
        <v>Dog</v>
      </c>
    </row>
    <row r="52" spans="1:24" ht="19.5" customHeight="1" x14ac:dyDescent="0.35">
      <c r="A52" s="366">
        <v>9</v>
      </c>
      <c r="B52" s="628" t="s">
        <v>617</v>
      </c>
      <c r="C52" s="365" t="str">
        <f>VLOOKUP(B52,'SG02'!$B:$E,2,0)</f>
        <v>Xiên Ba Chỉ Heo Xốt Tare</v>
      </c>
      <c r="D52" s="365"/>
      <c r="E52" s="468" t="str">
        <f>VLOOKUP(B52,'SG01'!$B:$E,4,0)</f>
        <v>Phần</v>
      </c>
      <c r="F52" s="61">
        <f t="shared" ca="1" si="97"/>
        <v>9641.9312977099235</v>
      </c>
      <c r="G52" s="61">
        <f t="shared" ca="1" si="98"/>
        <v>30245.283018867925</v>
      </c>
      <c r="H52" s="273">
        <f t="shared" ca="1" si="99"/>
        <v>20603.351721158004</v>
      </c>
      <c r="I52" s="255">
        <f ca="1">(SUMIF('SG01'!$B:$B,$B52,'SG01'!I:I)*SG01_+SUMIF('SG02'!$B:$B,$B52,'SG02'!I:I)*SG02_+SUMIF('SG03'!$B:$B,$B52,'SG03'!I:I)*SG03_+SUMIF('SG04'!$B:$B,$B52,'SG04'!I:I)*SG04_+SUMIF('SG05'!$B:$B,$B52,'SG05'!I:I)*SG05_+SUMIF('SG06'!$B:$B,$B52,'SG06'!I:I)*SG06_+SUMIF('SG07'!$B:$B,$B52,'SG07'!I:I)*SG07_+SUMIF('SG08'!$B:$B,$B52,'SG08'!I:I)*SG08_+SUMIF('SG09'!$B:$B,$B52,'SG09'!I:I)*SG09_+SUMIF('SG10'!$B:$B,$B52,'SG10'!I:I)*SG10_+SUMIF('SG11'!$B:$B,$B52,'SG11'!I:I)*SG11_+SUMIF('SG12'!$B:$B,$B52,'SG12'!I:I)*SG12_+SUMIF('SG13'!$B:$B,$B52,'SG13'!I:I)*SG13_+SUMIF('SG14'!$B:$B,$B52,'SG14'!I:I)*SG14_+SUMIF('SG15'!$B:$B,$B52,'SG15'!I:I)*SG15_)</f>
        <v>106</v>
      </c>
      <c r="J52" s="256"/>
      <c r="K52" s="61">
        <f ca="1">(SUMIF('SG01'!$B:$B,$B52,'SG01'!K:K)*SG01_+SUMIF('SG02'!$B:$B,$B52,'SG02'!K:K)*SG02_+SUMIF('SG03'!$B:$B,$B52,'SG03'!K:K)*SG03_+SUMIF('SG04'!$B:$B,$B52,'SG04'!K:K)*SG04_+SUMIF('SG05'!$B:$B,$B52,'SG05'!K:K)*SG05_+SUMIF('SG06'!$B:$B,$B52,'SG06'!K:K)*SG06_+SUMIF('SG07'!$B:$B,$B52,'SG07'!K:K)*SG07_+SUMIF('SG08'!$B:$B,$B52,'SG08'!K:K)*SG08_+SUMIF('SG09'!$B:$B,$B52,'SG09'!K:K)*SG09_+SUMIF('SG10'!$B:$B,$B52,'SG10'!K:K)*SG10_+SUMIF('SG11'!$B:$B,$B52,'SG11'!K:K)*SG11_+SUMIF('SG12'!$B:$B,$B52,'SG12'!K:K)*SG12_+SUMIF('SG13'!$B:$B,$B52,'SG13'!K:K)*SG13_+SUMIF('SG14'!$B:$B,$B52,'SG14'!K:K)*SG14_+SUMIF('SG15'!$B:$B,$B52,'SG15'!K:K)*SG15_)</f>
        <v>1022044.7175572519</v>
      </c>
      <c r="L52" s="61">
        <f ca="1">(SUMIF('SG01'!$B:$B,$B52,'SG01'!L:L)*SG01_+SUMIF('SG02'!$B:$B,$B52,'SG02'!L:L)*SG02_+SUMIF('SG03'!$B:$B,$B52,'SG03'!L:L)*SG03_+SUMIF('SG04'!$B:$B,$B52,'SG04'!L:L)*SG04_+SUMIF('SG05'!$B:$B,$B52,'SG05'!L:L)*SG05_+SUMIF('SG06'!$B:$B,$B52,'SG06'!L:L)*SG06_+SUMIF('SG07'!$B:$B,$B52,'SG07'!L:L)*SG07_+SUMIF('SG08'!$B:$B,$B52,'SG08'!L:L)*SG08_+SUMIF('SG09'!$B:$B,$B52,'SG09'!L:L)*SG09_+SUMIF('SG10'!$B:$B,$B52,'SG10'!L:L)*SG10_+SUMIF('SG11'!$B:$B,$B52,'SG11'!L:L)*SG11_+SUMIF('SG12'!$B:$B,$B52,'SG12'!L:L)*SG12_+SUMIF('SG13'!$B:$B,$B52,'SG13'!L:L)*SG13_+SUMIF('SG14'!$B:$B,$B52,'SG14'!L:L)*SG14_+SUMIF('SG15'!$B:$B,$B52,'SG15'!L:L)*SG15_)</f>
        <v>3206000</v>
      </c>
      <c r="M52" s="253">
        <f t="shared" ca="1" si="100"/>
        <v>2183955.2824427481</v>
      </c>
      <c r="N52" s="257">
        <f t="shared" ca="1" si="101"/>
        <v>0.31879124066040299</v>
      </c>
      <c r="O52" s="258">
        <f t="shared" ca="1" si="102"/>
        <v>2.0676360779923165E-3</v>
      </c>
      <c r="P52" s="258">
        <f t="shared" ca="1" si="103"/>
        <v>2.1227228820045298E-3</v>
      </c>
      <c r="Q52" s="258">
        <f t="shared" ca="1" si="104"/>
        <v>6.6035384998754049E-3</v>
      </c>
      <c r="R52" s="259">
        <f t="shared" ca="1" si="105"/>
        <v>2.8702951529921474</v>
      </c>
      <c r="S52" s="545">
        <f t="shared" ca="1" si="106"/>
        <v>8.4327764518695307</v>
      </c>
      <c r="T52" s="546">
        <f t="shared" ca="1" si="107"/>
        <v>255051.71042163883</v>
      </c>
      <c r="U52" s="121"/>
      <c r="V52" s="327" t="str">
        <f t="shared" ca="1" si="108"/>
        <v>High</v>
      </c>
      <c r="W52" s="327" t="str">
        <f t="shared" ca="1" si="109"/>
        <v>High</v>
      </c>
      <c r="X52" s="328" t="str">
        <f t="shared" ca="1" si="110"/>
        <v>Star</v>
      </c>
    </row>
    <row r="53" spans="1:24" ht="19.5" customHeight="1" x14ac:dyDescent="0.35">
      <c r="A53" s="366">
        <v>10</v>
      </c>
      <c r="B53" s="628" t="s">
        <v>618</v>
      </c>
      <c r="C53" s="365" t="str">
        <f>VLOOKUP(B53,'SG02'!$B:$E,2,0)</f>
        <v>Xiên Ba Chỉ Heo Xốt Muối</v>
      </c>
      <c r="D53" s="365"/>
      <c r="E53" s="468" t="str">
        <f>VLOOKUP(B53,'SG01'!$B:$E,4,0)</f>
        <v>Phần</v>
      </c>
      <c r="F53" s="61">
        <f t="shared" ca="1" si="97"/>
        <v>9438.2857142857138</v>
      </c>
      <c r="G53" s="61">
        <f t="shared" ca="1" si="98"/>
        <v>29913.043478260868</v>
      </c>
      <c r="H53" s="273">
        <f t="shared" ca="1" si="99"/>
        <v>20474.757763975154</v>
      </c>
      <c r="I53" s="255">
        <f ca="1">(SUMIF('SG01'!$B:$B,$B53,'SG01'!I:I)*SG01_+SUMIF('SG02'!$B:$B,$B53,'SG02'!I:I)*SG02_+SUMIF('SG03'!$B:$B,$B53,'SG03'!I:I)*SG03_+SUMIF('SG04'!$B:$B,$B53,'SG04'!I:I)*SG04_+SUMIF('SG05'!$B:$B,$B53,'SG05'!I:I)*SG05_+SUMIF('SG06'!$B:$B,$B53,'SG06'!I:I)*SG06_+SUMIF('SG07'!$B:$B,$B53,'SG07'!I:I)*SG07_+SUMIF('SG08'!$B:$B,$B53,'SG08'!I:I)*SG08_+SUMIF('SG09'!$B:$B,$B53,'SG09'!I:I)*SG09_+SUMIF('SG10'!$B:$B,$B53,'SG10'!I:I)*SG10_+SUMIF('SG11'!$B:$B,$B53,'SG11'!I:I)*SG11_+SUMIF('SG12'!$B:$B,$B53,'SG12'!I:I)*SG12_+SUMIF('SG13'!$B:$B,$B53,'SG13'!I:I)*SG13_+SUMIF('SG14'!$B:$B,$B53,'SG14'!I:I)*SG14_+SUMIF('SG15'!$B:$B,$B53,'SG15'!I:I)*SG15_)</f>
        <v>92</v>
      </c>
      <c r="J53" s="256"/>
      <c r="K53" s="61">
        <f ca="1">(SUMIF('SG01'!$B:$B,$B53,'SG01'!K:K)*SG01_+SUMIF('SG02'!$B:$B,$B53,'SG02'!K:K)*SG02_+SUMIF('SG03'!$B:$B,$B53,'SG03'!K:K)*SG03_+SUMIF('SG04'!$B:$B,$B53,'SG04'!K:K)*SG04_+SUMIF('SG05'!$B:$B,$B53,'SG05'!K:K)*SG05_+SUMIF('SG06'!$B:$B,$B53,'SG06'!K:K)*SG06_+SUMIF('SG07'!$B:$B,$B53,'SG07'!K:K)*SG07_+SUMIF('SG08'!$B:$B,$B53,'SG08'!K:K)*SG08_+SUMIF('SG09'!$B:$B,$B53,'SG09'!K:K)*SG09_+SUMIF('SG10'!$B:$B,$B53,'SG10'!K:K)*SG10_+SUMIF('SG11'!$B:$B,$B53,'SG11'!K:K)*SG11_+SUMIF('SG12'!$B:$B,$B53,'SG12'!K:K)*SG12_+SUMIF('SG13'!$B:$B,$B53,'SG13'!K:K)*SG13_+SUMIF('SG14'!$B:$B,$B53,'SG14'!K:K)*SG14_+SUMIF('SG15'!$B:$B,$B53,'SG15'!K:K)*SG15_)</f>
        <v>868322.28571428568</v>
      </c>
      <c r="L53" s="61">
        <f ca="1">(SUMIF('SG01'!$B:$B,$B53,'SG01'!L:L)*SG01_+SUMIF('SG02'!$B:$B,$B53,'SG02'!L:L)*SG02_+SUMIF('SG03'!$B:$B,$B53,'SG03'!L:L)*SG03_+SUMIF('SG04'!$B:$B,$B53,'SG04'!L:L)*SG04_+SUMIF('SG05'!$B:$B,$B53,'SG05'!L:L)*SG05_+SUMIF('SG06'!$B:$B,$B53,'SG06'!L:L)*SG06_+SUMIF('SG07'!$B:$B,$B53,'SG07'!L:L)*SG07_+SUMIF('SG08'!$B:$B,$B53,'SG08'!L:L)*SG08_+SUMIF('SG09'!$B:$B,$B53,'SG09'!L:L)*SG09_+SUMIF('SG10'!$B:$B,$B53,'SG10'!L:L)*SG10_+SUMIF('SG11'!$B:$B,$B53,'SG11'!L:L)*SG11_+SUMIF('SG12'!$B:$B,$B53,'SG12'!L:L)*SG12_+SUMIF('SG13'!$B:$B,$B53,'SG13'!L:L)*SG13_+SUMIF('SG14'!$B:$B,$B53,'SG14'!L:L)*SG14_+SUMIF('SG15'!$B:$B,$B53,'SG15'!L:L)*SG15_)</f>
        <v>2752000</v>
      </c>
      <c r="M53" s="253">
        <f t="shared" ca="1" si="100"/>
        <v>1883677.7142857143</v>
      </c>
      <c r="N53" s="257">
        <f t="shared" ca="1" si="101"/>
        <v>0.31552408637873752</v>
      </c>
      <c r="O53" s="258">
        <f t="shared" ca="1" si="102"/>
        <v>1.7748392035667046E-3</v>
      </c>
      <c r="P53" s="258">
        <f t="shared" ca="1" si="103"/>
        <v>1.8308643123699567E-3</v>
      </c>
      <c r="Q53" s="258">
        <f t="shared" ca="1" si="104"/>
        <v>5.7313730376277097E-3</v>
      </c>
      <c r="R53" s="259">
        <f t="shared" ca="1" si="105"/>
        <v>2.4911995667479014</v>
      </c>
      <c r="S53" s="545">
        <f t="shared" ca="1" si="106"/>
        <v>7.3190135242641201</v>
      </c>
      <c r="T53" s="546">
        <f t="shared" ca="1" si="107"/>
        <v>218933.96976929193</v>
      </c>
      <c r="U53" s="121"/>
      <c r="V53" s="327" t="str">
        <f t="shared" ca="1" si="108"/>
        <v>Low</v>
      </c>
      <c r="W53" s="327" t="str">
        <f t="shared" ca="1" si="109"/>
        <v>Low</v>
      </c>
      <c r="X53" s="328" t="str">
        <f t="shared" ca="1" si="110"/>
        <v>Dog</v>
      </c>
    </row>
    <row r="54" spans="1:24" ht="19.5" customHeight="1" x14ac:dyDescent="0.35">
      <c r="A54" s="366">
        <v>11</v>
      </c>
      <c r="B54" s="628" t="s">
        <v>619</v>
      </c>
      <c r="C54" s="365" t="str">
        <f>VLOOKUP(B54,'SG02'!$B:$E,2,0)</f>
        <v>Xiên Bò Viên Xốt Tare</v>
      </c>
      <c r="D54" s="365"/>
      <c r="E54" s="468" t="str">
        <f>VLOOKUP(B54,'SG01'!$B:$E,4,0)</f>
        <v>Phần</v>
      </c>
      <c r="F54" s="61">
        <f t="shared" ca="1" si="97"/>
        <v>11350.205479452055</v>
      </c>
      <c r="G54" s="61">
        <f t="shared" ca="1" si="98"/>
        <v>39654.545454545456</v>
      </c>
      <c r="H54" s="273">
        <f t="shared" ca="1" si="99"/>
        <v>28304.3399750934</v>
      </c>
      <c r="I54" s="255">
        <f ca="1">(SUMIF('SG01'!$B:$B,$B54,'SG01'!I:I)*SG01_+SUMIF('SG02'!$B:$B,$B54,'SG02'!I:I)*SG02_+SUMIF('SG03'!$B:$B,$B54,'SG03'!I:I)*SG03_+SUMIF('SG04'!$B:$B,$B54,'SG04'!I:I)*SG04_+SUMIF('SG05'!$B:$B,$B54,'SG05'!I:I)*SG05_+SUMIF('SG06'!$B:$B,$B54,'SG06'!I:I)*SG06_+SUMIF('SG07'!$B:$B,$B54,'SG07'!I:I)*SG07_+SUMIF('SG08'!$B:$B,$B54,'SG08'!I:I)*SG08_+SUMIF('SG09'!$B:$B,$B54,'SG09'!I:I)*SG09_+SUMIF('SG10'!$B:$B,$B54,'SG10'!I:I)*SG10_+SUMIF('SG11'!$B:$B,$B54,'SG11'!I:I)*SG11_+SUMIF('SG12'!$B:$B,$B54,'SG12'!I:I)*SG12_+SUMIF('SG13'!$B:$B,$B54,'SG13'!I:I)*SG13_+SUMIF('SG14'!$B:$B,$B54,'SG14'!I:I)*SG14_+SUMIF('SG15'!$B:$B,$B54,'SG15'!I:I)*SG15_)</f>
        <v>55</v>
      </c>
      <c r="J54" s="256"/>
      <c r="K54" s="61">
        <f ca="1">(SUMIF('SG01'!$B:$B,$B54,'SG01'!K:K)*SG01_+SUMIF('SG02'!$B:$B,$B54,'SG02'!K:K)*SG02_+SUMIF('SG03'!$B:$B,$B54,'SG03'!K:K)*SG03_+SUMIF('SG04'!$B:$B,$B54,'SG04'!K:K)*SG04_+SUMIF('SG05'!$B:$B,$B54,'SG05'!K:K)*SG05_+SUMIF('SG06'!$B:$B,$B54,'SG06'!K:K)*SG06_+SUMIF('SG07'!$B:$B,$B54,'SG07'!K:K)*SG07_+SUMIF('SG08'!$B:$B,$B54,'SG08'!K:K)*SG08_+SUMIF('SG09'!$B:$B,$B54,'SG09'!K:K)*SG09_+SUMIF('SG10'!$B:$B,$B54,'SG10'!K:K)*SG10_+SUMIF('SG11'!$B:$B,$B54,'SG11'!K:K)*SG11_+SUMIF('SG12'!$B:$B,$B54,'SG12'!K:K)*SG12_+SUMIF('SG13'!$B:$B,$B54,'SG13'!K:K)*SG13_+SUMIF('SG14'!$B:$B,$B54,'SG14'!K:K)*SG14_+SUMIF('SG15'!$B:$B,$B54,'SG15'!K:K)*SG15_)</f>
        <v>624261.3013698631</v>
      </c>
      <c r="L54" s="61">
        <f ca="1">(SUMIF('SG01'!$B:$B,$B54,'SG01'!L:L)*SG01_+SUMIF('SG02'!$B:$B,$B54,'SG02'!L:L)*SG02_+SUMIF('SG03'!$B:$B,$B54,'SG03'!L:L)*SG03_+SUMIF('SG04'!$B:$B,$B54,'SG04'!L:L)*SG04_+SUMIF('SG05'!$B:$B,$B54,'SG05'!L:L)*SG05_+SUMIF('SG06'!$B:$B,$B54,'SG06'!L:L)*SG06_+SUMIF('SG07'!$B:$B,$B54,'SG07'!L:L)*SG07_+SUMIF('SG08'!$B:$B,$B54,'SG08'!L:L)*SG08_+SUMIF('SG09'!$B:$B,$B54,'SG09'!L:L)*SG09_+SUMIF('SG10'!$B:$B,$B54,'SG10'!L:L)*SG10_+SUMIF('SG11'!$B:$B,$B54,'SG11'!L:L)*SG11_+SUMIF('SG12'!$B:$B,$B54,'SG12'!L:L)*SG12_+SUMIF('SG13'!$B:$B,$B54,'SG13'!L:L)*SG13_+SUMIF('SG14'!$B:$B,$B54,'SG14'!L:L)*SG14_+SUMIF('SG15'!$B:$B,$B54,'SG15'!L:L)*SG15_)</f>
        <v>2181000</v>
      </c>
      <c r="M54" s="253">
        <f t="shared" ca="1" si="100"/>
        <v>1556738.6986301369</v>
      </c>
      <c r="N54" s="257">
        <f t="shared" ca="1" si="101"/>
        <v>0.28622709828971254</v>
      </c>
      <c r="O54" s="258">
        <f t="shared" ca="1" si="102"/>
        <v>1.4065858659080604E-3</v>
      </c>
      <c r="P54" s="258">
        <f t="shared" ca="1" si="103"/>
        <v>1.5130918125704676E-3</v>
      </c>
      <c r="Q54" s="258">
        <f t="shared" ca="1" si="104"/>
        <v>3.4263643159730874E-3</v>
      </c>
      <c r="R54" s="259">
        <f t="shared" ca="1" si="105"/>
        <v>1.4893040888166802</v>
      </c>
      <c r="S54" s="545">
        <f t="shared" ca="1" si="106"/>
        <v>4.3754972155926808</v>
      </c>
      <c r="T54" s="546">
        <f t="shared" ca="1" si="107"/>
        <v>173508.35322195705</v>
      </c>
      <c r="U54" s="121"/>
      <c r="V54" s="327" t="str">
        <f t="shared" ca="1" si="108"/>
        <v>Low</v>
      </c>
      <c r="W54" s="327" t="str">
        <f t="shared" ca="1" si="109"/>
        <v>Low</v>
      </c>
      <c r="X54" s="328" t="str">
        <f t="shared" ca="1" si="110"/>
        <v>Dog</v>
      </c>
    </row>
    <row r="55" spans="1:24" ht="19.5" customHeight="1" x14ac:dyDescent="0.35">
      <c r="A55" s="366">
        <v>12</v>
      </c>
      <c r="B55" s="628" t="s">
        <v>620</v>
      </c>
      <c r="C55" s="365" t="str">
        <f>VLOOKUP(B55,'SG02'!$B:$E,2,0)</f>
        <v>Xiên Bò Viên Xốt Muối</v>
      </c>
      <c r="D55" s="365"/>
      <c r="E55" s="468" t="str">
        <f>VLOOKUP(B55,'SG01'!$B:$E,4,0)</f>
        <v>Phần</v>
      </c>
      <c r="F55" s="61">
        <f t="shared" ca="1" si="97"/>
        <v>10284.223880597016</v>
      </c>
      <c r="G55" s="61">
        <f t="shared" ca="1" si="98"/>
        <v>39972.972972972973</v>
      </c>
      <c r="H55" s="273">
        <f t="shared" ca="1" si="99"/>
        <v>29688.749092375958</v>
      </c>
      <c r="I55" s="255">
        <f ca="1">(SUMIF('SG01'!$B:$B,$B55,'SG01'!I:I)*SG01_+SUMIF('SG02'!$B:$B,$B55,'SG02'!I:I)*SG02_+SUMIF('SG03'!$B:$B,$B55,'SG03'!I:I)*SG03_+SUMIF('SG04'!$B:$B,$B55,'SG04'!I:I)*SG04_+SUMIF('SG05'!$B:$B,$B55,'SG05'!I:I)*SG05_+SUMIF('SG06'!$B:$B,$B55,'SG06'!I:I)*SG06_+SUMIF('SG07'!$B:$B,$B55,'SG07'!I:I)*SG07_+SUMIF('SG08'!$B:$B,$B55,'SG08'!I:I)*SG08_+SUMIF('SG09'!$B:$B,$B55,'SG09'!I:I)*SG09_+SUMIF('SG10'!$B:$B,$B55,'SG10'!I:I)*SG10_+SUMIF('SG11'!$B:$B,$B55,'SG11'!I:I)*SG11_+SUMIF('SG12'!$B:$B,$B55,'SG12'!I:I)*SG12_+SUMIF('SG13'!$B:$B,$B55,'SG13'!I:I)*SG13_+SUMIF('SG14'!$B:$B,$B55,'SG14'!I:I)*SG14_+SUMIF('SG15'!$B:$B,$B55,'SG15'!I:I)*SG15_)</f>
        <v>37</v>
      </c>
      <c r="J55" s="256"/>
      <c r="K55" s="61">
        <f ca="1">(SUMIF('SG01'!$B:$B,$B55,'SG01'!K:K)*SG01_+SUMIF('SG02'!$B:$B,$B55,'SG02'!K:K)*SG02_+SUMIF('SG03'!$B:$B,$B55,'SG03'!K:K)*SG03_+SUMIF('SG04'!$B:$B,$B55,'SG04'!K:K)*SG04_+SUMIF('SG05'!$B:$B,$B55,'SG05'!K:K)*SG05_+SUMIF('SG06'!$B:$B,$B55,'SG06'!K:K)*SG06_+SUMIF('SG07'!$B:$B,$B55,'SG07'!K:K)*SG07_+SUMIF('SG08'!$B:$B,$B55,'SG08'!K:K)*SG08_+SUMIF('SG09'!$B:$B,$B55,'SG09'!K:K)*SG09_+SUMIF('SG10'!$B:$B,$B55,'SG10'!K:K)*SG10_+SUMIF('SG11'!$B:$B,$B55,'SG11'!K:K)*SG11_+SUMIF('SG12'!$B:$B,$B55,'SG12'!K:K)*SG12_+SUMIF('SG13'!$B:$B,$B55,'SG13'!K:K)*SG13_+SUMIF('SG14'!$B:$B,$B55,'SG14'!K:K)*SG14_+SUMIF('SG15'!$B:$B,$B55,'SG15'!K:K)*SG15_)</f>
        <v>380516.28358208959</v>
      </c>
      <c r="L55" s="61">
        <f ca="1">(SUMIF('SG01'!$B:$B,$B55,'SG01'!L:L)*SG01_+SUMIF('SG02'!$B:$B,$B55,'SG02'!L:L)*SG02_+SUMIF('SG03'!$B:$B,$B55,'SG03'!L:L)*SG03_+SUMIF('SG04'!$B:$B,$B55,'SG04'!L:L)*SG04_+SUMIF('SG05'!$B:$B,$B55,'SG05'!L:L)*SG05_+SUMIF('SG06'!$B:$B,$B55,'SG06'!L:L)*SG06_+SUMIF('SG07'!$B:$B,$B55,'SG07'!L:L)*SG07_+SUMIF('SG08'!$B:$B,$B55,'SG08'!L:L)*SG08_+SUMIF('SG09'!$B:$B,$B55,'SG09'!L:L)*SG09_+SUMIF('SG10'!$B:$B,$B55,'SG10'!L:L)*SG10_+SUMIF('SG11'!$B:$B,$B55,'SG11'!L:L)*SG11_+SUMIF('SG12'!$B:$B,$B55,'SG12'!L:L)*SG12_+SUMIF('SG13'!$B:$B,$B55,'SG13'!L:L)*SG13_+SUMIF('SG14'!$B:$B,$B55,'SG14'!L:L)*SG14_+SUMIF('SG15'!$B:$B,$B55,'SG15'!L:L)*SG15_)</f>
        <v>1479000</v>
      </c>
      <c r="M55" s="253">
        <f t="shared" ca="1" si="100"/>
        <v>1098483.7164179105</v>
      </c>
      <c r="N55" s="257">
        <f t="shared" ca="1" si="101"/>
        <v>0.25727943447064883</v>
      </c>
      <c r="O55" s="258">
        <f t="shared" ca="1" si="102"/>
        <v>9.538470865098677E-4</v>
      </c>
      <c r="P55" s="258">
        <f t="shared" ca="1" si="103"/>
        <v>1.0676851028477048E-3</v>
      </c>
      <c r="Q55" s="258">
        <f t="shared" ca="1" si="104"/>
        <v>2.3050087216546227E-3</v>
      </c>
      <c r="R55" s="259">
        <f t="shared" ca="1" si="105"/>
        <v>1.0018954779312212</v>
      </c>
      <c r="S55" s="545">
        <f t="shared" ca="1" si="106"/>
        <v>2.9435163086714398</v>
      </c>
      <c r="T55" s="546">
        <f t="shared" ca="1" si="107"/>
        <v>117661.09785202863</v>
      </c>
      <c r="U55" s="121"/>
      <c r="V55" s="327" t="str">
        <f t="shared" ca="1" si="108"/>
        <v>Low</v>
      </c>
      <c r="W55" s="327" t="str">
        <f t="shared" ca="1" si="109"/>
        <v>Low</v>
      </c>
      <c r="X55" s="328" t="str">
        <f t="shared" ca="1" si="110"/>
        <v>Dog</v>
      </c>
    </row>
    <row r="56" spans="1:24" ht="19.5" customHeight="1" x14ac:dyDescent="0.35">
      <c r="A56" s="366">
        <v>13</v>
      </c>
      <c r="B56" s="628" t="s">
        <v>621</v>
      </c>
      <c r="C56" s="365" t="str">
        <f>VLOOKUP(B56,'SG02'!$B:$E,2,0)</f>
        <v>Xiên Dẻ Sườn Bò Xốt Tare</v>
      </c>
      <c r="D56" s="365"/>
      <c r="E56" s="468" t="str">
        <f>VLOOKUP(B56,'SG01'!$B:$E,4,0)</f>
        <v>Phần</v>
      </c>
      <c r="F56" s="61">
        <f t="shared" ca="1" si="97"/>
        <v>15882.064516129032</v>
      </c>
      <c r="G56" s="61">
        <f t="shared" ca="1" si="98"/>
        <v>39296.296296296299</v>
      </c>
      <c r="H56" s="273">
        <f t="shared" ca="1" si="99"/>
        <v>23414.231780167269</v>
      </c>
      <c r="I56" s="255">
        <f ca="1">(SUMIF('SG01'!$B:$B,$B56,'SG01'!I:I)*SG01_+SUMIF('SG02'!$B:$B,$B56,'SG02'!I:I)*SG02_+SUMIF('SG03'!$B:$B,$B56,'SG03'!I:I)*SG03_+SUMIF('SG04'!$B:$B,$B56,'SG04'!I:I)*SG04_+SUMIF('SG05'!$B:$B,$B56,'SG05'!I:I)*SG05_+SUMIF('SG06'!$B:$B,$B56,'SG06'!I:I)*SG06_+SUMIF('SG07'!$B:$B,$B56,'SG07'!I:I)*SG07_+SUMIF('SG08'!$B:$B,$B56,'SG08'!I:I)*SG08_+SUMIF('SG09'!$B:$B,$B56,'SG09'!I:I)*SG09_+SUMIF('SG10'!$B:$B,$B56,'SG10'!I:I)*SG10_+SUMIF('SG11'!$B:$B,$B56,'SG11'!I:I)*SG11_+SUMIF('SG12'!$B:$B,$B56,'SG12'!I:I)*SG12_+SUMIF('SG13'!$B:$B,$B56,'SG13'!I:I)*SG13_+SUMIF('SG14'!$B:$B,$B56,'SG14'!I:I)*SG14_+SUMIF('SG15'!$B:$B,$B56,'SG15'!I:I)*SG15_)</f>
        <v>81</v>
      </c>
      <c r="J56" s="256"/>
      <c r="K56" s="61">
        <f ca="1">(SUMIF('SG01'!$B:$B,$B56,'SG01'!K:K)*SG01_+SUMIF('SG02'!$B:$B,$B56,'SG02'!K:K)*SG02_+SUMIF('SG03'!$B:$B,$B56,'SG03'!K:K)*SG03_+SUMIF('SG04'!$B:$B,$B56,'SG04'!K:K)*SG04_+SUMIF('SG05'!$B:$B,$B56,'SG05'!K:K)*SG05_+SUMIF('SG06'!$B:$B,$B56,'SG06'!K:K)*SG06_+SUMIF('SG07'!$B:$B,$B56,'SG07'!K:K)*SG07_+SUMIF('SG08'!$B:$B,$B56,'SG08'!K:K)*SG08_+SUMIF('SG09'!$B:$B,$B56,'SG09'!K:K)*SG09_+SUMIF('SG10'!$B:$B,$B56,'SG10'!K:K)*SG10_+SUMIF('SG11'!$B:$B,$B56,'SG11'!K:K)*SG11_+SUMIF('SG12'!$B:$B,$B56,'SG12'!K:K)*SG12_+SUMIF('SG13'!$B:$B,$B56,'SG13'!K:K)*SG13_+SUMIF('SG14'!$B:$B,$B56,'SG14'!K:K)*SG14_+SUMIF('SG15'!$B:$B,$B56,'SG15'!K:K)*SG15_)</f>
        <v>1286447.2258064516</v>
      </c>
      <c r="L56" s="61">
        <f ca="1">(SUMIF('SG01'!$B:$B,$B56,'SG01'!L:L)*SG01_+SUMIF('SG02'!$B:$B,$B56,'SG02'!L:L)*SG02_+SUMIF('SG03'!$B:$B,$B56,'SG03'!L:L)*SG03_+SUMIF('SG04'!$B:$B,$B56,'SG04'!L:L)*SG04_+SUMIF('SG05'!$B:$B,$B56,'SG05'!L:L)*SG05_+SUMIF('SG06'!$B:$B,$B56,'SG06'!L:L)*SG06_+SUMIF('SG07'!$B:$B,$B56,'SG07'!L:L)*SG07_+SUMIF('SG08'!$B:$B,$B56,'SG08'!L:L)*SG08_+SUMIF('SG09'!$B:$B,$B56,'SG09'!L:L)*SG09_+SUMIF('SG10'!$B:$B,$B56,'SG10'!L:L)*SG10_+SUMIF('SG11'!$B:$B,$B56,'SG11'!L:L)*SG11_+SUMIF('SG12'!$B:$B,$B56,'SG12'!L:L)*SG12_+SUMIF('SG13'!$B:$B,$B56,'SG13'!L:L)*SG13_+SUMIF('SG14'!$B:$B,$B56,'SG14'!L:L)*SG14_+SUMIF('SG15'!$B:$B,$B56,'SG15'!L:L)*SG15_)</f>
        <v>3183000.0000000005</v>
      </c>
      <c r="M56" s="253">
        <f t="shared" ca="1" si="100"/>
        <v>1896552.7741935488</v>
      </c>
      <c r="N56" s="257">
        <f t="shared" ca="1" si="101"/>
        <v>0.40416186798820342</v>
      </c>
      <c r="O56" s="258">
        <f t="shared" ca="1" si="102"/>
        <v>2.0528027561601821E-3</v>
      </c>
      <c r="P56" s="258">
        <f t="shared" ca="1" si="103"/>
        <v>1.843378389234649E-3</v>
      </c>
      <c r="Q56" s="258">
        <f t="shared" ca="1" si="104"/>
        <v>5.0461001744330925E-3</v>
      </c>
      <c r="R56" s="259">
        <f t="shared" ca="1" si="105"/>
        <v>2.1933387489845653</v>
      </c>
      <c r="S56" s="545">
        <f t="shared" ca="1" si="106"/>
        <v>6.4439140811455839</v>
      </c>
      <c r="T56" s="546">
        <f t="shared" ca="1" si="107"/>
        <v>253221.95704057277</v>
      </c>
      <c r="U56" s="121"/>
      <c r="V56" s="327" t="str">
        <f t="shared" ca="1" si="108"/>
        <v>Low</v>
      </c>
      <c r="W56" s="327" t="str">
        <f t="shared" ca="1" si="109"/>
        <v>High</v>
      </c>
      <c r="X56" s="328" t="str">
        <f t="shared" ca="1" si="110"/>
        <v>Puzzle</v>
      </c>
    </row>
    <row r="57" spans="1:24" ht="19.5" customHeight="1" x14ac:dyDescent="0.35">
      <c r="A57" s="366">
        <v>14</v>
      </c>
      <c r="B57" s="628" t="s">
        <v>622</v>
      </c>
      <c r="C57" s="365" t="str">
        <f>VLOOKUP(B57,'SG02'!$B:$E,2,0)</f>
        <v>Xiên Dẻ Sườn Bò Xốt Muối</v>
      </c>
      <c r="D57" s="365"/>
      <c r="E57" s="468" t="str">
        <f>VLOOKUP(B57,'SG01'!$B:$E,4,0)</f>
        <v>Phần</v>
      </c>
      <c r="F57" s="61">
        <f t="shared" ca="1" si="97"/>
        <v>15678.566037735849</v>
      </c>
      <c r="G57" s="61">
        <f t="shared" ca="1" si="98"/>
        <v>40523.809523809527</v>
      </c>
      <c r="H57" s="273">
        <f t="shared" ca="1" si="99"/>
        <v>24845.243486073676</v>
      </c>
      <c r="I57" s="255">
        <f ca="1">(SUMIF('SG01'!$B:$B,$B57,'SG01'!I:I)*SG01_+SUMIF('SG02'!$B:$B,$B57,'SG02'!I:I)*SG02_+SUMIF('SG03'!$B:$B,$B57,'SG03'!I:I)*SG03_+SUMIF('SG04'!$B:$B,$B57,'SG04'!I:I)*SG04_+SUMIF('SG05'!$B:$B,$B57,'SG05'!I:I)*SG05_+SUMIF('SG06'!$B:$B,$B57,'SG06'!I:I)*SG06_+SUMIF('SG07'!$B:$B,$B57,'SG07'!I:I)*SG07_+SUMIF('SG08'!$B:$B,$B57,'SG08'!I:I)*SG08_+SUMIF('SG09'!$B:$B,$B57,'SG09'!I:I)*SG09_+SUMIF('SG10'!$B:$B,$B57,'SG10'!I:I)*SG10_+SUMIF('SG11'!$B:$B,$B57,'SG11'!I:I)*SG11_+SUMIF('SG12'!$B:$B,$B57,'SG12'!I:I)*SG12_+SUMIF('SG13'!$B:$B,$B57,'SG13'!I:I)*SG13_+SUMIF('SG14'!$B:$B,$B57,'SG14'!I:I)*SG14_+SUMIF('SG15'!$B:$B,$B57,'SG15'!I:I)*SG15_)</f>
        <v>63</v>
      </c>
      <c r="J57" s="256"/>
      <c r="K57" s="61">
        <f ca="1">(SUMIF('SG01'!$B:$B,$B57,'SG01'!K:K)*SG01_+SUMIF('SG02'!$B:$B,$B57,'SG02'!K:K)*SG02_+SUMIF('SG03'!$B:$B,$B57,'SG03'!K:K)*SG03_+SUMIF('SG04'!$B:$B,$B57,'SG04'!K:K)*SG04_+SUMIF('SG05'!$B:$B,$B57,'SG05'!K:K)*SG05_+SUMIF('SG06'!$B:$B,$B57,'SG06'!K:K)*SG06_+SUMIF('SG07'!$B:$B,$B57,'SG07'!K:K)*SG07_+SUMIF('SG08'!$B:$B,$B57,'SG08'!K:K)*SG08_+SUMIF('SG09'!$B:$B,$B57,'SG09'!K:K)*SG09_+SUMIF('SG10'!$B:$B,$B57,'SG10'!K:K)*SG10_+SUMIF('SG11'!$B:$B,$B57,'SG11'!K:K)*SG11_+SUMIF('SG12'!$B:$B,$B57,'SG12'!K:K)*SG12_+SUMIF('SG13'!$B:$B,$B57,'SG13'!K:K)*SG13_+SUMIF('SG14'!$B:$B,$B57,'SG14'!K:K)*SG14_+SUMIF('SG15'!$B:$B,$B57,'SG15'!K:K)*SG15_)</f>
        <v>987749.66037735844</v>
      </c>
      <c r="L57" s="61">
        <f ca="1">(SUMIF('SG01'!$B:$B,$B57,'SG01'!L:L)*SG01_+SUMIF('SG02'!$B:$B,$B57,'SG02'!L:L)*SG02_+SUMIF('SG03'!$B:$B,$B57,'SG03'!L:L)*SG03_+SUMIF('SG04'!$B:$B,$B57,'SG04'!L:L)*SG04_+SUMIF('SG05'!$B:$B,$B57,'SG05'!L:L)*SG05_+SUMIF('SG06'!$B:$B,$B57,'SG06'!L:L)*SG06_+SUMIF('SG07'!$B:$B,$B57,'SG07'!L:L)*SG07_+SUMIF('SG08'!$B:$B,$B57,'SG08'!L:L)*SG08_+SUMIF('SG09'!$B:$B,$B57,'SG09'!L:L)*SG09_+SUMIF('SG10'!$B:$B,$B57,'SG10'!L:L)*SG10_+SUMIF('SG11'!$B:$B,$B57,'SG11'!L:L)*SG11_+SUMIF('SG12'!$B:$B,$B57,'SG12'!L:L)*SG12_+SUMIF('SG13'!$B:$B,$B57,'SG13'!L:L)*SG13_+SUMIF('SG14'!$B:$B,$B57,'SG14'!L:L)*SG14_+SUMIF('SG15'!$B:$B,$B57,'SG15'!L:L)*SG15_)</f>
        <v>2553000</v>
      </c>
      <c r="M57" s="253">
        <f t="shared" ca="1" si="100"/>
        <v>1565250.3396226414</v>
      </c>
      <c r="N57" s="257">
        <f t="shared" ca="1" si="101"/>
        <v>0.38689763430370483</v>
      </c>
      <c r="O57" s="258">
        <f t="shared" ca="1" si="102"/>
        <v>1.6464987233669318E-3</v>
      </c>
      <c r="P57" s="258">
        <f t="shared" ca="1" si="103"/>
        <v>1.5213648093865876E-3</v>
      </c>
      <c r="Q57" s="258">
        <f t="shared" ca="1" si="104"/>
        <v>3.9247445801146273E-3</v>
      </c>
      <c r="R57" s="259">
        <f t="shared" ca="1" si="105"/>
        <v>1.7059301380991063</v>
      </c>
      <c r="S57" s="545">
        <f t="shared" ca="1" si="106"/>
        <v>5.0119331742243434</v>
      </c>
      <c r="T57" s="546">
        <f t="shared" ca="1" si="107"/>
        <v>203102.62529832937</v>
      </c>
      <c r="U57" s="121"/>
      <c r="V57" s="327" t="str">
        <f t="shared" ca="1" si="108"/>
        <v>Low</v>
      </c>
      <c r="W57" s="327" t="str">
        <f t="shared" ca="1" si="109"/>
        <v>Low</v>
      </c>
      <c r="X57" s="328" t="str">
        <f t="shared" ca="1" si="110"/>
        <v>Dog</v>
      </c>
    </row>
    <row r="58" spans="1:24" ht="19.5" customHeight="1" x14ac:dyDescent="0.35">
      <c r="A58" s="366">
        <v>15</v>
      </c>
      <c r="B58" s="628" t="s">
        <v>623</v>
      </c>
      <c r="C58" s="365" t="str">
        <f>VLOOKUP(B58,'SG02'!$B:$E,2,0)</f>
        <v>Xiên Gà Hành Baro Xốt Tare</v>
      </c>
      <c r="D58" s="365"/>
      <c r="E58" s="468" t="str">
        <f>VLOOKUP(B58,'SG01'!$B:$E,4,0)</f>
        <v>Phần</v>
      </c>
      <c r="F58" s="61">
        <f t="shared" ca="1" si="97"/>
        <v>5861.431818181818</v>
      </c>
      <c r="G58" s="61">
        <f t="shared" ca="1" si="98"/>
        <v>24576.923076923078</v>
      </c>
      <c r="H58" s="273">
        <f t="shared" ca="1" si="99"/>
        <v>18715.491258741262</v>
      </c>
      <c r="I58" s="255">
        <f ca="1">(SUMIF('SG01'!$B:$B,$B58,'SG01'!I:I)*SG01_+SUMIF('SG02'!$B:$B,$B58,'SG02'!I:I)*SG02_+SUMIF('SG03'!$B:$B,$B58,'SG03'!I:I)*SG03_+SUMIF('SG04'!$B:$B,$B58,'SG04'!I:I)*SG04_+SUMIF('SG05'!$B:$B,$B58,'SG05'!I:I)*SG05_+SUMIF('SG06'!$B:$B,$B58,'SG06'!I:I)*SG06_+SUMIF('SG07'!$B:$B,$B58,'SG07'!I:I)*SG07_+SUMIF('SG08'!$B:$B,$B58,'SG08'!I:I)*SG08_+SUMIF('SG09'!$B:$B,$B58,'SG09'!I:I)*SG09_+SUMIF('SG10'!$B:$B,$B58,'SG10'!I:I)*SG10_+SUMIF('SG11'!$B:$B,$B58,'SG11'!I:I)*SG11_+SUMIF('SG12'!$B:$B,$B58,'SG12'!I:I)*SG12_+SUMIF('SG13'!$B:$B,$B58,'SG13'!I:I)*SG13_+SUMIF('SG14'!$B:$B,$B58,'SG14'!I:I)*SG14_+SUMIF('SG15'!$B:$B,$B58,'SG15'!I:I)*SG15_)</f>
        <v>26</v>
      </c>
      <c r="J58" s="256"/>
      <c r="K58" s="61">
        <f ca="1">(SUMIF('SG01'!$B:$B,$B58,'SG01'!K:K)*SG01_+SUMIF('SG02'!$B:$B,$B58,'SG02'!K:K)*SG02_+SUMIF('SG03'!$B:$B,$B58,'SG03'!K:K)*SG03_+SUMIF('SG04'!$B:$B,$B58,'SG04'!K:K)*SG04_+SUMIF('SG05'!$B:$B,$B58,'SG05'!K:K)*SG05_+SUMIF('SG06'!$B:$B,$B58,'SG06'!K:K)*SG06_+SUMIF('SG07'!$B:$B,$B58,'SG07'!K:K)*SG07_+SUMIF('SG08'!$B:$B,$B58,'SG08'!K:K)*SG08_+SUMIF('SG09'!$B:$B,$B58,'SG09'!K:K)*SG09_+SUMIF('SG10'!$B:$B,$B58,'SG10'!K:K)*SG10_+SUMIF('SG11'!$B:$B,$B58,'SG11'!K:K)*SG11_+SUMIF('SG12'!$B:$B,$B58,'SG12'!K:K)*SG12_+SUMIF('SG13'!$B:$B,$B58,'SG13'!K:K)*SG13_+SUMIF('SG14'!$B:$B,$B58,'SG14'!K:K)*SG14_+SUMIF('SG15'!$B:$B,$B58,'SG15'!K:K)*SG15_)</f>
        <v>152397.22727272726</v>
      </c>
      <c r="L58" s="61">
        <f ca="1">(SUMIF('SG01'!$B:$B,$B58,'SG01'!L:L)*SG01_+SUMIF('SG02'!$B:$B,$B58,'SG02'!L:L)*SG02_+SUMIF('SG03'!$B:$B,$B58,'SG03'!L:L)*SG03_+SUMIF('SG04'!$B:$B,$B58,'SG04'!L:L)*SG04_+SUMIF('SG05'!$B:$B,$B58,'SG05'!L:L)*SG05_+SUMIF('SG06'!$B:$B,$B58,'SG06'!L:L)*SG06_+SUMIF('SG07'!$B:$B,$B58,'SG07'!L:L)*SG07_+SUMIF('SG08'!$B:$B,$B58,'SG08'!L:L)*SG08_+SUMIF('SG09'!$B:$B,$B58,'SG09'!L:L)*SG09_+SUMIF('SG10'!$B:$B,$B58,'SG10'!L:L)*SG10_+SUMIF('SG11'!$B:$B,$B58,'SG11'!L:L)*SG11_+SUMIF('SG12'!$B:$B,$B58,'SG12'!L:L)*SG12_+SUMIF('SG13'!$B:$B,$B58,'SG13'!L:L)*SG13_+SUMIF('SG14'!$B:$B,$B58,'SG14'!L:L)*SG14_+SUMIF('SG15'!$B:$B,$B58,'SG15'!L:L)*SG15_)</f>
        <v>639000</v>
      </c>
      <c r="M58" s="253">
        <f t="shared" ca="1" si="100"/>
        <v>486602.77272727271</v>
      </c>
      <c r="N58" s="257">
        <f t="shared" ca="1" si="101"/>
        <v>0.23849331341584862</v>
      </c>
      <c r="O58" s="258">
        <f t="shared" ca="1" si="102"/>
        <v>4.1210837611886777E-4</v>
      </c>
      <c r="P58" s="258">
        <f t="shared" ca="1" si="103"/>
        <v>4.7295970225164595E-4</v>
      </c>
      <c r="Q58" s="258">
        <f t="shared" ca="1" si="104"/>
        <v>1.6197358584600051E-3</v>
      </c>
      <c r="R58" s="259">
        <f t="shared" ca="1" si="105"/>
        <v>0.70403466016788518</v>
      </c>
      <c r="S58" s="545">
        <f t="shared" ca="1" si="106"/>
        <v>2.0684168655529036</v>
      </c>
      <c r="T58" s="546">
        <f t="shared" ca="1" si="107"/>
        <v>50835.322195704059</v>
      </c>
      <c r="U58" s="121"/>
      <c r="V58" s="327" t="str">
        <f t="shared" ca="1" si="108"/>
        <v>Low</v>
      </c>
      <c r="W58" s="327" t="str">
        <f t="shared" ca="1" si="109"/>
        <v>Low</v>
      </c>
      <c r="X58" s="328" t="str">
        <f t="shared" ca="1" si="110"/>
        <v>Dog</v>
      </c>
    </row>
    <row r="59" spans="1:24" ht="19.5" customHeight="1" x14ac:dyDescent="0.35">
      <c r="A59" s="366">
        <v>16</v>
      </c>
      <c r="B59" s="628" t="s">
        <v>624</v>
      </c>
      <c r="C59" s="365" t="str">
        <f>VLOOKUP(B59,'SG02'!$B:$E,2,0)</f>
        <v>Xiên Gà Hành Baro Xốt Muối</v>
      </c>
      <c r="D59" s="365"/>
      <c r="E59" s="468" t="str">
        <f>VLOOKUP(B59,'SG01'!$B:$E,4,0)</f>
        <v>Phần</v>
      </c>
      <c r="F59" s="61">
        <f t="shared" ca="1" si="97"/>
        <v>5657.8</v>
      </c>
      <c r="G59" s="61">
        <f t="shared" ca="1" si="98"/>
        <v>24714.285714285714</v>
      </c>
      <c r="H59" s="273">
        <f t="shared" ca="1" si="99"/>
        <v>19056.485714285714</v>
      </c>
      <c r="I59" s="255">
        <f ca="1">(SUMIF('SG01'!$B:$B,$B59,'SG01'!I:I)*SG01_+SUMIF('SG02'!$B:$B,$B59,'SG02'!I:I)*SG02_+SUMIF('SG03'!$B:$B,$B59,'SG03'!I:I)*SG03_+SUMIF('SG04'!$B:$B,$B59,'SG04'!I:I)*SG04_+SUMIF('SG05'!$B:$B,$B59,'SG05'!I:I)*SG05_+SUMIF('SG06'!$B:$B,$B59,'SG06'!I:I)*SG06_+SUMIF('SG07'!$B:$B,$B59,'SG07'!I:I)*SG07_+SUMIF('SG08'!$B:$B,$B59,'SG08'!I:I)*SG08_+SUMIF('SG09'!$B:$B,$B59,'SG09'!I:I)*SG09_+SUMIF('SG10'!$B:$B,$B59,'SG10'!I:I)*SG10_+SUMIF('SG11'!$B:$B,$B59,'SG11'!I:I)*SG11_+SUMIF('SG12'!$B:$B,$B59,'SG12'!I:I)*SG12_+SUMIF('SG13'!$B:$B,$B59,'SG13'!I:I)*SG13_+SUMIF('SG14'!$B:$B,$B59,'SG14'!I:I)*SG14_+SUMIF('SG15'!$B:$B,$B59,'SG15'!I:I)*SG15_)</f>
        <v>28</v>
      </c>
      <c r="J59" s="256"/>
      <c r="K59" s="61">
        <f ca="1">(SUMIF('SG01'!$B:$B,$B59,'SG01'!K:K)*SG01_+SUMIF('SG02'!$B:$B,$B59,'SG02'!K:K)*SG02_+SUMIF('SG03'!$B:$B,$B59,'SG03'!K:K)*SG03_+SUMIF('SG04'!$B:$B,$B59,'SG04'!K:K)*SG04_+SUMIF('SG05'!$B:$B,$B59,'SG05'!K:K)*SG05_+SUMIF('SG06'!$B:$B,$B59,'SG06'!K:K)*SG06_+SUMIF('SG07'!$B:$B,$B59,'SG07'!K:K)*SG07_+SUMIF('SG08'!$B:$B,$B59,'SG08'!K:K)*SG08_+SUMIF('SG09'!$B:$B,$B59,'SG09'!K:K)*SG09_+SUMIF('SG10'!$B:$B,$B59,'SG10'!K:K)*SG10_+SUMIF('SG11'!$B:$B,$B59,'SG11'!K:K)*SG11_+SUMIF('SG12'!$B:$B,$B59,'SG12'!K:K)*SG12_+SUMIF('SG13'!$B:$B,$B59,'SG13'!K:K)*SG13_+SUMIF('SG14'!$B:$B,$B59,'SG14'!K:K)*SG14_+SUMIF('SG15'!$B:$B,$B59,'SG15'!K:K)*SG15_)</f>
        <v>158418.4</v>
      </c>
      <c r="L59" s="61">
        <f ca="1">(SUMIF('SG01'!$B:$B,$B59,'SG01'!L:L)*SG01_+SUMIF('SG02'!$B:$B,$B59,'SG02'!L:L)*SG02_+SUMIF('SG03'!$B:$B,$B59,'SG03'!L:L)*SG03_+SUMIF('SG04'!$B:$B,$B59,'SG04'!L:L)*SG04_+SUMIF('SG05'!$B:$B,$B59,'SG05'!L:L)*SG05_+SUMIF('SG06'!$B:$B,$B59,'SG06'!L:L)*SG06_+SUMIF('SG07'!$B:$B,$B59,'SG07'!L:L)*SG07_+SUMIF('SG08'!$B:$B,$B59,'SG08'!L:L)*SG08_+SUMIF('SG09'!$B:$B,$B59,'SG09'!L:L)*SG09_+SUMIF('SG10'!$B:$B,$B59,'SG10'!L:L)*SG10_+SUMIF('SG11'!$B:$B,$B59,'SG11'!L:L)*SG11_+SUMIF('SG12'!$B:$B,$B59,'SG12'!L:L)*SG12_+SUMIF('SG13'!$B:$B,$B59,'SG13'!L:L)*SG13_+SUMIF('SG14'!$B:$B,$B59,'SG14'!L:L)*SG14_+SUMIF('SG15'!$B:$B,$B59,'SG15'!L:L)*SG15_)</f>
        <v>692000</v>
      </c>
      <c r="M59" s="253">
        <f t="shared" ca="1" si="100"/>
        <v>533581.6</v>
      </c>
      <c r="N59" s="257">
        <f t="shared" ca="1" si="101"/>
        <v>0.22892832369942195</v>
      </c>
      <c r="O59" s="258">
        <f t="shared" ca="1" si="102"/>
        <v>4.4628950903639517E-4</v>
      </c>
      <c r="P59" s="258">
        <f t="shared" ca="1" si="103"/>
        <v>5.186213659419467E-4</v>
      </c>
      <c r="Q59" s="258">
        <f t="shared" ca="1" si="104"/>
        <v>1.7443309244953901E-3</v>
      </c>
      <c r="R59" s="259">
        <f t="shared" ca="1" si="105"/>
        <v>0.75819117248849166</v>
      </c>
      <c r="S59" s="545">
        <f t="shared" ca="1" si="106"/>
        <v>2.227525855210819</v>
      </c>
      <c r="T59" s="546">
        <f t="shared" ca="1" si="107"/>
        <v>55051.710421638811</v>
      </c>
      <c r="U59" s="121"/>
      <c r="V59" s="327" t="str">
        <f t="shared" ca="1" si="108"/>
        <v>Low</v>
      </c>
      <c r="W59" s="327" t="str">
        <f t="shared" ca="1" si="109"/>
        <v>Low</v>
      </c>
      <c r="X59" s="328" t="str">
        <f t="shared" ca="1" si="110"/>
        <v>Dog</v>
      </c>
    </row>
    <row r="60" spans="1:24" ht="19.5" customHeight="1" x14ac:dyDescent="0.35">
      <c r="A60" s="366">
        <v>17</v>
      </c>
      <c r="B60" s="628" t="s">
        <v>625</v>
      </c>
      <c r="C60" s="365" t="str">
        <f>VLOOKUP(B60,'SG02'!$B:$E,2,0)</f>
        <v>Xiên Mề Gà Xốt Tare</v>
      </c>
      <c r="D60" s="365"/>
      <c r="E60" s="468" t="str">
        <f>VLOOKUP(B60,'SG01'!$B:$E,4,0)</f>
        <v>Phần</v>
      </c>
      <c r="F60" s="61">
        <f t="shared" ca="1" si="97"/>
        <v>6515.6727272727276</v>
      </c>
      <c r="G60" s="61">
        <f t="shared" ca="1" si="98"/>
        <v>25132.075471698114</v>
      </c>
      <c r="H60" s="273">
        <f t="shared" ca="1" si="99"/>
        <v>18616.402744425388</v>
      </c>
      <c r="I60" s="255">
        <f ca="1">(SUMIF('SG01'!$B:$B,$B60,'SG01'!I:I)*SG01_+SUMIF('SG02'!$B:$B,$B60,'SG02'!I:I)*SG02_+SUMIF('SG03'!$B:$B,$B60,'SG03'!I:I)*SG03_+SUMIF('SG04'!$B:$B,$B60,'SG04'!I:I)*SG04_+SUMIF('SG05'!$B:$B,$B60,'SG05'!I:I)*SG05_+SUMIF('SG06'!$B:$B,$B60,'SG06'!I:I)*SG06_+SUMIF('SG07'!$B:$B,$B60,'SG07'!I:I)*SG07_+SUMIF('SG08'!$B:$B,$B60,'SG08'!I:I)*SG08_+SUMIF('SG09'!$B:$B,$B60,'SG09'!I:I)*SG09_+SUMIF('SG10'!$B:$B,$B60,'SG10'!I:I)*SG10_+SUMIF('SG11'!$B:$B,$B60,'SG11'!I:I)*SG11_+SUMIF('SG12'!$B:$B,$B60,'SG12'!I:I)*SG12_+SUMIF('SG13'!$B:$B,$B60,'SG13'!I:I)*SG13_+SUMIF('SG14'!$B:$B,$B60,'SG14'!I:I)*SG14_+SUMIF('SG15'!$B:$B,$B60,'SG15'!I:I)*SG15_)</f>
        <v>53</v>
      </c>
      <c r="J60" s="256"/>
      <c r="K60" s="61">
        <f ca="1">(SUMIF('SG01'!$B:$B,$B60,'SG01'!K:K)*SG01_+SUMIF('SG02'!$B:$B,$B60,'SG02'!K:K)*SG02_+SUMIF('SG03'!$B:$B,$B60,'SG03'!K:K)*SG03_+SUMIF('SG04'!$B:$B,$B60,'SG04'!K:K)*SG04_+SUMIF('SG05'!$B:$B,$B60,'SG05'!K:K)*SG05_+SUMIF('SG06'!$B:$B,$B60,'SG06'!K:K)*SG06_+SUMIF('SG07'!$B:$B,$B60,'SG07'!K:K)*SG07_+SUMIF('SG08'!$B:$B,$B60,'SG08'!K:K)*SG08_+SUMIF('SG09'!$B:$B,$B60,'SG09'!K:K)*SG09_+SUMIF('SG10'!$B:$B,$B60,'SG10'!K:K)*SG10_+SUMIF('SG11'!$B:$B,$B60,'SG11'!K:K)*SG11_+SUMIF('SG12'!$B:$B,$B60,'SG12'!K:K)*SG12_+SUMIF('SG13'!$B:$B,$B60,'SG13'!K:K)*SG13_+SUMIF('SG14'!$B:$B,$B60,'SG14'!K:K)*SG14_+SUMIF('SG15'!$B:$B,$B60,'SG15'!K:K)*SG15_)</f>
        <v>345330.65454545454</v>
      </c>
      <c r="L60" s="61">
        <f ca="1">(SUMIF('SG01'!$B:$B,$B60,'SG01'!L:L)*SG01_+SUMIF('SG02'!$B:$B,$B60,'SG02'!L:L)*SG02_+SUMIF('SG03'!$B:$B,$B60,'SG03'!L:L)*SG03_+SUMIF('SG04'!$B:$B,$B60,'SG04'!L:L)*SG04_+SUMIF('SG05'!$B:$B,$B60,'SG05'!L:L)*SG05_+SUMIF('SG06'!$B:$B,$B60,'SG06'!L:L)*SG06_+SUMIF('SG07'!$B:$B,$B60,'SG07'!L:L)*SG07_+SUMIF('SG08'!$B:$B,$B60,'SG08'!L:L)*SG08_+SUMIF('SG09'!$B:$B,$B60,'SG09'!L:L)*SG09_+SUMIF('SG10'!$B:$B,$B60,'SG10'!L:L)*SG10_+SUMIF('SG11'!$B:$B,$B60,'SG11'!L:L)*SG11_+SUMIF('SG12'!$B:$B,$B60,'SG12'!L:L)*SG12_+SUMIF('SG13'!$B:$B,$B60,'SG13'!L:L)*SG13_+SUMIF('SG14'!$B:$B,$B60,'SG14'!L:L)*SG14_+SUMIF('SG15'!$B:$B,$B60,'SG15'!L:L)*SG15_)</f>
        <v>1332000</v>
      </c>
      <c r="M60" s="253">
        <f t="shared" ca="1" si="100"/>
        <v>986669.34545454546</v>
      </c>
      <c r="N60" s="257">
        <f t="shared" ca="1" si="101"/>
        <v>0.25925724815724815</v>
      </c>
      <c r="O60" s="258">
        <f t="shared" ca="1" si="102"/>
        <v>8.5904281219144276E-4</v>
      </c>
      <c r="P60" s="258">
        <f t="shared" ca="1" si="103"/>
        <v>9.5900571472607549E-4</v>
      </c>
      <c r="Q60" s="258">
        <f t="shared" ca="1" si="104"/>
        <v>3.3017692499377025E-3</v>
      </c>
      <c r="R60" s="259">
        <f t="shared" ca="1" si="105"/>
        <v>1.4351475764960737</v>
      </c>
      <c r="S60" s="545">
        <f t="shared" ca="1" si="106"/>
        <v>4.2163882259347654</v>
      </c>
      <c r="T60" s="546">
        <f t="shared" ca="1" si="107"/>
        <v>105966.58711217184</v>
      </c>
      <c r="U60" s="121"/>
      <c r="V60" s="327" t="str">
        <f t="shared" ca="1" si="108"/>
        <v>Low</v>
      </c>
      <c r="W60" s="327" t="str">
        <f t="shared" ca="1" si="109"/>
        <v>Low</v>
      </c>
      <c r="X60" s="328" t="str">
        <f t="shared" ca="1" si="110"/>
        <v>Dog</v>
      </c>
    </row>
    <row r="61" spans="1:24" ht="19.5" customHeight="1" x14ac:dyDescent="0.35">
      <c r="A61" s="366">
        <v>18</v>
      </c>
      <c r="B61" s="628" t="s">
        <v>626</v>
      </c>
      <c r="C61" s="365" t="str">
        <f>VLOOKUP(B61,'SG02'!$B:$E,2,0)</f>
        <v>Xiên Mề Gà Xốt Muối</v>
      </c>
      <c r="D61" s="365"/>
      <c r="E61" s="468" t="str">
        <f>VLOOKUP(B61,'SG01'!$B:$E,4,0)</f>
        <v>Phần</v>
      </c>
      <c r="F61" s="61">
        <f t="shared" ca="1" si="97"/>
        <v>6311.9361702127662</v>
      </c>
      <c r="G61" s="61">
        <f t="shared" ca="1" si="98"/>
        <v>25025.641025641027</v>
      </c>
      <c r="H61" s="273">
        <f t="shared" ca="1" si="99"/>
        <v>18713.704855428259</v>
      </c>
      <c r="I61" s="255">
        <f ca="1">(SUMIF('SG01'!$B:$B,$B61,'SG01'!I:I)*SG01_+SUMIF('SG02'!$B:$B,$B61,'SG02'!I:I)*SG02_+SUMIF('SG03'!$B:$B,$B61,'SG03'!I:I)*SG03_+SUMIF('SG04'!$B:$B,$B61,'SG04'!I:I)*SG04_+SUMIF('SG05'!$B:$B,$B61,'SG05'!I:I)*SG05_+SUMIF('SG06'!$B:$B,$B61,'SG06'!I:I)*SG06_+SUMIF('SG07'!$B:$B,$B61,'SG07'!I:I)*SG07_+SUMIF('SG08'!$B:$B,$B61,'SG08'!I:I)*SG08_+SUMIF('SG09'!$B:$B,$B61,'SG09'!I:I)*SG09_+SUMIF('SG10'!$B:$B,$B61,'SG10'!I:I)*SG10_+SUMIF('SG11'!$B:$B,$B61,'SG11'!I:I)*SG11_+SUMIF('SG12'!$B:$B,$B61,'SG12'!I:I)*SG12_+SUMIF('SG13'!$B:$B,$B61,'SG13'!I:I)*SG13_+SUMIF('SG14'!$B:$B,$B61,'SG14'!I:I)*SG14_+SUMIF('SG15'!$B:$B,$B61,'SG15'!I:I)*SG15_)</f>
        <v>39</v>
      </c>
      <c r="J61" s="256"/>
      <c r="K61" s="61">
        <f ca="1">(SUMIF('SG01'!$B:$B,$B61,'SG01'!K:K)*SG01_+SUMIF('SG02'!$B:$B,$B61,'SG02'!K:K)*SG02_+SUMIF('SG03'!$B:$B,$B61,'SG03'!K:K)*SG03_+SUMIF('SG04'!$B:$B,$B61,'SG04'!K:K)*SG04_+SUMIF('SG05'!$B:$B,$B61,'SG05'!K:K)*SG05_+SUMIF('SG06'!$B:$B,$B61,'SG06'!K:K)*SG06_+SUMIF('SG07'!$B:$B,$B61,'SG07'!K:K)*SG07_+SUMIF('SG08'!$B:$B,$B61,'SG08'!K:K)*SG08_+SUMIF('SG09'!$B:$B,$B61,'SG09'!K:K)*SG09_+SUMIF('SG10'!$B:$B,$B61,'SG10'!K:K)*SG10_+SUMIF('SG11'!$B:$B,$B61,'SG11'!K:K)*SG11_+SUMIF('SG12'!$B:$B,$B61,'SG12'!K:K)*SG12_+SUMIF('SG13'!$B:$B,$B61,'SG13'!K:K)*SG13_+SUMIF('SG14'!$B:$B,$B61,'SG14'!K:K)*SG14_+SUMIF('SG15'!$B:$B,$B61,'SG15'!K:K)*SG15_)</f>
        <v>246165.51063829788</v>
      </c>
      <c r="L61" s="61">
        <f ca="1">(SUMIF('SG01'!$B:$B,$B61,'SG01'!L:L)*SG01_+SUMIF('SG02'!$B:$B,$B61,'SG02'!L:L)*SG02_+SUMIF('SG03'!$B:$B,$B61,'SG03'!L:L)*SG03_+SUMIF('SG04'!$B:$B,$B61,'SG04'!L:L)*SG04_+SUMIF('SG05'!$B:$B,$B61,'SG05'!L:L)*SG05_+SUMIF('SG06'!$B:$B,$B61,'SG06'!L:L)*SG06_+SUMIF('SG07'!$B:$B,$B61,'SG07'!L:L)*SG07_+SUMIF('SG08'!$B:$B,$B61,'SG08'!L:L)*SG08_+SUMIF('SG09'!$B:$B,$B61,'SG09'!L:L)*SG09_+SUMIF('SG10'!$B:$B,$B61,'SG10'!L:L)*SG10_+SUMIF('SG11'!$B:$B,$B61,'SG11'!L:L)*SG11_+SUMIF('SG12'!$B:$B,$B61,'SG12'!L:L)*SG12_+SUMIF('SG13'!$B:$B,$B61,'SG13'!L:L)*SG13_+SUMIF('SG14'!$B:$B,$B61,'SG14'!L:L)*SG14_+SUMIF('SG15'!$B:$B,$B61,'SG15'!L:L)*SG15_)</f>
        <v>976000.00000000012</v>
      </c>
      <c r="M61" s="253">
        <f t="shared" ca="1" si="100"/>
        <v>729834.48936170223</v>
      </c>
      <c r="N61" s="257">
        <f t="shared" ca="1" si="101"/>
        <v>0.25221876089989537</v>
      </c>
      <c r="O61" s="258">
        <f t="shared" ca="1" si="102"/>
        <v>6.294487873114476E-4</v>
      </c>
      <c r="P61" s="258">
        <f t="shared" ca="1" si="103"/>
        <v>7.0937183700545375E-4</v>
      </c>
      <c r="Q61" s="258">
        <f t="shared" ca="1" si="104"/>
        <v>2.4296037876900076E-3</v>
      </c>
      <c r="R61" s="259">
        <f t="shared" ca="1" si="105"/>
        <v>1.0560519902518277</v>
      </c>
      <c r="S61" s="545">
        <f t="shared" ca="1" si="106"/>
        <v>3.1026252983293552</v>
      </c>
      <c r="T61" s="546">
        <f t="shared" ca="1" si="107"/>
        <v>77645.186953062846</v>
      </c>
      <c r="U61" s="121"/>
      <c r="V61" s="327" t="str">
        <f t="shared" ca="1" si="108"/>
        <v>Low</v>
      </c>
      <c r="W61" s="327" t="str">
        <f t="shared" ca="1" si="109"/>
        <v>Low</v>
      </c>
      <c r="X61" s="328" t="str">
        <f t="shared" ca="1" si="110"/>
        <v>Dog</v>
      </c>
    </row>
    <row r="62" spans="1:24" ht="19.5" customHeight="1" x14ac:dyDescent="0.35">
      <c r="A62" s="366">
        <v>19</v>
      </c>
      <c r="B62" s="628" t="s">
        <v>627</v>
      </c>
      <c r="C62" s="365" t="str">
        <f>VLOOKUP(B62,'SG02'!$B:$E,2,0)</f>
        <v>Xiên Tim Gà Xốt Tare</v>
      </c>
      <c r="D62" s="365"/>
      <c r="E62" s="468" t="str">
        <f>VLOOKUP(B62,'SG01'!$B:$E,4,0)</f>
        <v>Phần</v>
      </c>
      <c r="F62" s="61">
        <f t="shared" ca="1" si="97"/>
        <v>5978.3103448275861</v>
      </c>
      <c r="G62" s="61">
        <f t="shared" ca="1" si="98"/>
        <v>24151.515151515152</v>
      </c>
      <c r="H62" s="273">
        <f t="shared" ca="1" si="99"/>
        <v>18173.204806687565</v>
      </c>
      <c r="I62" s="255">
        <f ca="1">(SUMIF('SG01'!$B:$B,$B62,'SG01'!I:I)*SG01_+SUMIF('SG02'!$B:$B,$B62,'SG02'!I:I)*SG02_+SUMIF('SG03'!$B:$B,$B62,'SG03'!I:I)*SG03_+SUMIF('SG04'!$B:$B,$B62,'SG04'!I:I)*SG04_+SUMIF('SG05'!$B:$B,$B62,'SG05'!I:I)*SG05_+SUMIF('SG06'!$B:$B,$B62,'SG06'!I:I)*SG06_+SUMIF('SG07'!$B:$B,$B62,'SG07'!I:I)*SG07_+SUMIF('SG08'!$B:$B,$B62,'SG08'!I:I)*SG08_+SUMIF('SG09'!$B:$B,$B62,'SG09'!I:I)*SG09_+SUMIF('SG10'!$B:$B,$B62,'SG10'!I:I)*SG10_+SUMIF('SG11'!$B:$B,$B62,'SG11'!I:I)*SG11_+SUMIF('SG12'!$B:$B,$B62,'SG12'!I:I)*SG12_+SUMIF('SG13'!$B:$B,$B62,'SG13'!I:I)*SG13_+SUMIF('SG14'!$B:$B,$B62,'SG14'!I:I)*SG14_+SUMIF('SG15'!$B:$B,$B62,'SG15'!I:I)*SG15_)</f>
        <v>33</v>
      </c>
      <c r="J62" s="256"/>
      <c r="K62" s="61">
        <f ca="1">(SUMIF('SG01'!$B:$B,$B62,'SG01'!K:K)*SG01_+SUMIF('SG02'!$B:$B,$B62,'SG02'!K:K)*SG02_+SUMIF('SG03'!$B:$B,$B62,'SG03'!K:K)*SG03_+SUMIF('SG04'!$B:$B,$B62,'SG04'!K:K)*SG04_+SUMIF('SG05'!$B:$B,$B62,'SG05'!K:K)*SG05_+SUMIF('SG06'!$B:$B,$B62,'SG06'!K:K)*SG06_+SUMIF('SG07'!$B:$B,$B62,'SG07'!K:K)*SG07_+SUMIF('SG08'!$B:$B,$B62,'SG08'!K:K)*SG08_+SUMIF('SG09'!$B:$B,$B62,'SG09'!K:K)*SG09_+SUMIF('SG10'!$B:$B,$B62,'SG10'!K:K)*SG10_+SUMIF('SG11'!$B:$B,$B62,'SG11'!K:K)*SG11_+SUMIF('SG12'!$B:$B,$B62,'SG12'!K:K)*SG12_+SUMIF('SG13'!$B:$B,$B62,'SG13'!K:K)*SG13_+SUMIF('SG14'!$B:$B,$B62,'SG14'!K:K)*SG14_+SUMIF('SG15'!$B:$B,$B62,'SG15'!K:K)*SG15_)</f>
        <v>197284.24137931035</v>
      </c>
      <c r="L62" s="61">
        <f ca="1">(SUMIF('SG01'!$B:$B,$B62,'SG01'!L:L)*SG01_+SUMIF('SG02'!$B:$B,$B62,'SG02'!L:L)*SG02_+SUMIF('SG03'!$B:$B,$B62,'SG03'!L:L)*SG03_+SUMIF('SG04'!$B:$B,$B62,'SG04'!L:L)*SG04_+SUMIF('SG05'!$B:$B,$B62,'SG05'!L:L)*SG05_+SUMIF('SG06'!$B:$B,$B62,'SG06'!L:L)*SG06_+SUMIF('SG07'!$B:$B,$B62,'SG07'!L:L)*SG07_+SUMIF('SG08'!$B:$B,$B62,'SG08'!L:L)*SG08_+SUMIF('SG09'!$B:$B,$B62,'SG09'!L:L)*SG09_+SUMIF('SG10'!$B:$B,$B62,'SG10'!L:L)*SG10_+SUMIF('SG11'!$B:$B,$B62,'SG11'!L:L)*SG11_+SUMIF('SG12'!$B:$B,$B62,'SG12'!L:L)*SG12_+SUMIF('SG13'!$B:$B,$B62,'SG13'!L:L)*SG13_+SUMIF('SG14'!$B:$B,$B62,'SG14'!L:L)*SG14_+SUMIF('SG15'!$B:$B,$B62,'SG15'!L:L)*SG15_)</f>
        <v>797000</v>
      </c>
      <c r="M62" s="253">
        <f t="shared" ca="1" si="100"/>
        <v>599715.75862068962</v>
      </c>
      <c r="N62" s="257">
        <f t="shared" ca="1" si="101"/>
        <v>0.24753355254618614</v>
      </c>
      <c r="O62" s="258">
        <f t="shared" ca="1" si="102"/>
        <v>5.1400684783527021E-4</v>
      </c>
      <c r="P62" s="258">
        <f t="shared" ca="1" si="103"/>
        <v>5.829012955333784E-4</v>
      </c>
      <c r="Q62" s="258">
        <f t="shared" ca="1" si="104"/>
        <v>2.0558185895838523E-3</v>
      </c>
      <c r="R62" s="259">
        <f t="shared" ca="1" si="105"/>
        <v>0.89358245329000818</v>
      </c>
      <c r="S62" s="545">
        <f t="shared" ca="1" si="106"/>
        <v>2.6252983293556085</v>
      </c>
      <c r="T62" s="546">
        <f t="shared" ca="1" si="107"/>
        <v>63404.93237867939</v>
      </c>
      <c r="U62" s="121"/>
      <c r="V62" s="327" t="str">
        <f t="shared" ca="1" si="108"/>
        <v>Low</v>
      </c>
      <c r="W62" s="327" t="str">
        <f t="shared" ca="1" si="109"/>
        <v>Low</v>
      </c>
      <c r="X62" s="328" t="str">
        <f t="shared" ca="1" si="110"/>
        <v>Dog</v>
      </c>
    </row>
    <row r="63" spans="1:24" ht="19.5" customHeight="1" x14ac:dyDescent="0.35">
      <c r="A63" s="366">
        <v>20</v>
      </c>
      <c r="B63" s="628" t="s">
        <v>628</v>
      </c>
      <c r="C63" s="365" t="str">
        <f>VLOOKUP(B63,'SG02'!$B:$E,2,0)</f>
        <v>Xiên Tim Gà Xốt Muối</v>
      </c>
      <c r="D63" s="365"/>
      <c r="E63" s="468" t="str">
        <f>VLOOKUP(B63,'SG01'!$B:$E,4,0)</f>
        <v>Phần</v>
      </c>
      <c r="F63" s="61">
        <f t="shared" ca="1" si="97"/>
        <v>5774.347826086957</v>
      </c>
      <c r="G63" s="61">
        <f t="shared" ca="1" si="98"/>
        <v>25304.347826086956</v>
      </c>
      <c r="H63" s="273">
        <f t="shared" ca="1" si="99"/>
        <v>19530</v>
      </c>
      <c r="I63" s="255">
        <f ca="1">(SUMIF('SG01'!$B:$B,$B63,'SG01'!I:I)*SG01_+SUMIF('SG02'!$B:$B,$B63,'SG02'!I:I)*SG02_+SUMIF('SG03'!$B:$B,$B63,'SG03'!I:I)*SG03_+SUMIF('SG04'!$B:$B,$B63,'SG04'!I:I)*SG04_+SUMIF('SG05'!$B:$B,$B63,'SG05'!I:I)*SG05_+SUMIF('SG06'!$B:$B,$B63,'SG06'!I:I)*SG06_+SUMIF('SG07'!$B:$B,$B63,'SG07'!I:I)*SG07_+SUMIF('SG08'!$B:$B,$B63,'SG08'!I:I)*SG08_+SUMIF('SG09'!$B:$B,$B63,'SG09'!I:I)*SG09_+SUMIF('SG10'!$B:$B,$B63,'SG10'!I:I)*SG10_+SUMIF('SG11'!$B:$B,$B63,'SG11'!I:I)*SG11_+SUMIF('SG12'!$B:$B,$B63,'SG12'!I:I)*SG12_+SUMIF('SG13'!$B:$B,$B63,'SG13'!I:I)*SG13_+SUMIF('SG14'!$B:$B,$B63,'SG14'!I:I)*SG14_+SUMIF('SG15'!$B:$B,$B63,'SG15'!I:I)*SG15_)</f>
        <v>46</v>
      </c>
      <c r="J63" s="256"/>
      <c r="K63" s="61">
        <f ca="1">(SUMIF('SG01'!$B:$B,$B63,'SG01'!K:K)*SG01_+SUMIF('SG02'!$B:$B,$B63,'SG02'!K:K)*SG02_+SUMIF('SG03'!$B:$B,$B63,'SG03'!K:K)*SG03_+SUMIF('SG04'!$B:$B,$B63,'SG04'!K:K)*SG04_+SUMIF('SG05'!$B:$B,$B63,'SG05'!K:K)*SG05_+SUMIF('SG06'!$B:$B,$B63,'SG06'!K:K)*SG06_+SUMIF('SG07'!$B:$B,$B63,'SG07'!K:K)*SG07_+SUMIF('SG08'!$B:$B,$B63,'SG08'!K:K)*SG08_+SUMIF('SG09'!$B:$B,$B63,'SG09'!K:K)*SG09_+SUMIF('SG10'!$B:$B,$B63,'SG10'!K:K)*SG10_+SUMIF('SG11'!$B:$B,$B63,'SG11'!K:K)*SG11_+SUMIF('SG12'!$B:$B,$B63,'SG12'!K:K)*SG12_+SUMIF('SG13'!$B:$B,$B63,'SG13'!K:K)*SG13_+SUMIF('SG14'!$B:$B,$B63,'SG14'!K:K)*SG14_+SUMIF('SG15'!$B:$B,$B63,'SG15'!K:K)*SG15_)</f>
        <v>265620</v>
      </c>
      <c r="L63" s="61">
        <f ca="1">(SUMIF('SG01'!$B:$B,$B63,'SG01'!L:L)*SG01_+SUMIF('SG02'!$B:$B,$B63,'SG02'!L:L)*SG02_+SUMIF('SG03'!$B:$B,$B63,'SG03'!L:L)*SG03_+SUMIF('SG04'!$B:$B,$B63,'SG04'!L:L)*SG04_+SUMIF('SG05'!$B:$B,$B63,'SG05'!L:L)*SG05_+SUMIF('SG06'!$B:$B,$B63,'SG06'!L:L)*SG06_+SUMIF('SG07'!$B:$B,$B63,'SG07'!L:L)*SG07_+SUMIF('SG08'!$B:$B,$B63,'SG08'!L:L)*SG08_+SUMIF('SG09'!$B:$B,$B63,'SG09'!L:L)*SG09_+SUMIF('SG10'!$B:$B,$B63,'SG10'!L:L)*SG10_+SUMIF('SG11'!$B:$B,$B63,'SG11'!L:L)*SG11_+SUMIF('SG12'!$B:$B,$B63,'SG12'!L:L)*SG12_+SUMIF('SG13'!$B:$B,$B63,'SG13'!L:L)*SG13_+SUMIF('SG14'!$B:$B,$B63,'SG14'!L:L)*SG14_+SUMIF('SG15'!$B:$B,$B63,'SG15'!L:L)*SG15_)</f>
        <v>1164000</v>
      </c>
      <c r="M63" s="253">
        <f t="shared" ca="1" si="100"/>
        <v>898380</v>
      </c>
      <c r="N63" s="257">
        <f t="shared" ca="1" si="101"/>
        <v>0.22819587628865978</v>
      </c>
      <c r="O63" s="258">
        <f t="shared" ca="1" si="102"/>
        <v>7.5069507011324269E-4</v>
      </c>
      <c r="P63" s="258">
        <f t="shared" ca="1" si="103"/>
        <v>8.7319177185818646E-4</v>
      </c>
      <c r="Q63" s="258">
        <f t="shared" ca="1" si="104"/>
        <v>2.8656865188138548E-3</v>
      </c>
      <c r="R63" s="259">
        <f t="shared" ca="1" si="105"/>
        <v>1.2455997833739507</v>
      </c>
      <c r="S63" s="545">
        <f t="shared" ca="1" si="106"/>
        <v>3.6595067621320601</v>
      </c>
      <c r="T63" s="546">
        <f t="shared" ca="1" si="107"/>
        <v>92601.431980906913</v>
      </c>
      <c r="U63" s="121"/>
      <c r="V63" s="327" t="str">
        <f t="shared" ca="1" si="108"/>
        <v>Low</v>
      </c>
      <c r="W63" s="327" t="str">
        <f t="shared" ca="1" si="109"/>
        <v>Low</v>
      </c>
      <c r="X63" s="328" t="str">
        <f t="shared" ca="1" si="110"/>
        <v>Dog</v>
      </c>
    </row>
    <row r="64" spans="1:24" ht="19.5" customHeight="1" x14ac:dyDescent="0.35">
      <c r="A64" s="366">
        <v>21</v>
      </c>
      <c r="B64" s="628" t="s">
        <v>630</v>
      </c>
      <c r="C64" s="365" t="s">
        <v>678</v>
      </c>
      <c r="D64" s="365"/>
      <c r="E64" s="468" t="str">
        <f>VLOOKUP(B64,'SG01'!$B:$E,4,0)</f>
        <v>Phần</v>
      </c>
      <c r="F64" s="61">
        <f t="shared" ca="1" si="97"/>
        <v>3912.0617283950619</v>
      </c>
      <c r="G64" s="61">
        <f t="shared" ca="1" si="98"/>
        <v>29769.23076923077</v>
      </c>
      <c r="H64" s="273">
        <f t="shared" ca="1" si="99"/>
        <v>25857.169040835706</v>
      </c>
      <c r="I64" s="255">
        <f ca="1">(SUMIF('SG01'!$B:$B,$B64,'SG01'!I:I)*SG01_+SUMIF('SG02'!$B:$B,$B64,'SG02'!I:I)*SG02_+SUMIF('SG03'!$B:$B,$B64,'SG03'!I:I)*SG03_+SUMIF('SG04'!$B:$B,$B64,'SG04'!I:I)*SG04_+SUMIF('SG05'!$B:$B,$B64,'SG05'!I:I)*SG05_+SUMIF('SG06'!$B:$B,$B64,'SG06'!I:I)*SG06_+SUMIF('SG07'!$B:$B,$B64,'SG07'!I:I)*SG07_+SUMIF('SG08'!$B:$B,$B64,'SG08'!I:I)*SG08_+SUMIF('SG09'!$B:$B,$B64,'SG09'!I:I)*SG09_+SUMIF('SG10'!$B:$B,$B64,'SG10'!I:I)*SG10_+SUMIF('SG11'!$B:$B,$B64,'SG11'!I:I)*SG11_+SUMIF('SG12'!$B:$B,$B64,'SG12'!I:I)*SG12_+SUMIF('SG13'!$B:$B,$B64,'SG13'!I:I)*SG13_+SUMIF('SG14'!$B:$B,$B64,'SG14'!I:I)*SG14_+SUMIF('SG15'!$B:$B,$B64,'SG15'!I:I)*SG15_)</f>
        <v>39</v>
      </c>
      <c r="J64" s="256"/>
      <c r="K64" s="61">
        <f ca="1">(SUMIF('SG01'!$B:$B,$B64,'SG01'!K:K)*SG01_+SUMIF('SG02'!$B:$B,$B64,'SG02'!K:K)*SG02_+SUMIF('SG03'!$B:$B,$B64,'SG03'!K:K)*SG03_+SUMIF('SG04'!$B:$B,$B64,'SG04'!K:K)*SG04_+SUMIF('SG05'!$B:$B,$B64,'SG05'!K:K)*SG05_+SUMIF('SG06'!$B:$B,$B64,'SG06'!K:K)*SG06_+SUMIF('SG07'!$B:$B,$B64,'SG07'!K:K)*SG07_+SUMIF('SG08'!$B:$B,$B64,'SG08'!K:K)*SG08_+SUMIF('SG09'!$B:$B,$B64,'SG09'!K:K)*SG09_+SUMIF('SG10'!$B:$B,$B64,'SG10'!K:K)*SG10_+SUMIF('SG11'!$B:$B,$B64,'SG11'!K:K)*SG11_+SUMIF('SG12'!$B:$B,$B64,'SG12'!K:K)*SG12_+SUMIF('SG13'!$B:$B,$B64,'SG13'!K:K)*SG13_+SUMIF('SG14'!$B:$B,$B64,'SG14'!K:K)*SG14_+SUMIF('SG15'!$B:$B,$B64,'SG15'!K:K)*SG15_)</f>
        <v>152570.40740740742</v>
      </c>
      <c r="L64" s="61">
        <f ca="1">(SUMIF('SG01'!$B:$B,$B64,'SG01'!L:L)*SG01_+SUMIF('SG02'!$B:$B,$B64,'SG02'!L:L)*SG02_+SUMIF('SG03'!$B:$B,$B64,'SG03'!L:L)*SG03_+SUMIF('SG04'!$B:$B,$B64,'SG04'!L:L)*SG04_+SUMIF('SG05'!$B:$B,$B64,'SG05'!L:L)*SG05_+SUMIF('SG06'!$B:$B,$B64,'SG06'!L:L)*SG06_+SUMIF('SG07'!$B:$B,$B64,'SG07'!L:L)*SG07_+SUMIF('SG08'!$B:$B,$B64,'SG08'!L:L)*SG08_+SUMIF('SG09'!$B:$B,$B64,'SG09'!L:L)*SG09_+SUMIF('SG10'!$B:$B,$B64,'SG10'!L:L)*SG10_+SUMIF('SG11'!$B:$B,$B64,'SG11'!L:L)*SG11_+SUMIF('SG12'!$B:$B,$B64,'SG12'!L:L)*SG12_+SUMIF('SG13'!$B:$B,$B64,'SG13'!L:L)*SG13_+SUMIF('SG14'!$B:$B,$B64,'SG14'!L:L)*SG14_+SUMIF('SG15'!$B:$B,$B64,'SG15'!L:L)*SG15_)</f>
        <v>1161000</v>
      </c>
      <c r="M64" s="253">
        <f t="shared" ca="1" si="100"/>
        <v>1008429.5925925926</v>
      </c>
      <c r="N64" s="257">
        <f t="shared" ca="1" si="101"/>
        <v>0.13141292627683671</v>
      </c>
      <c r="O64" s="258">
        <f t="shared" ca="1" si="102"/>
        <v>7.4876028900470342E-4</v>
      </c>
      <c r="P64" s="258">
        <f t="shared" ca="1" si="103"/>
        <v>9.8015586138399682E-4</v>
      </c>
      <c r="Q64" s="258">
        <f t="shared" ca="1" si="104"/>
        <v>2.4296037876900076E-3</v>
      </c>
      <c r="R64" s="259">
        <f t="shared" ca="1" si="105"/>
        <v>1.0560519902518277</v>
      </c>
      <c r="S64" s="545">
        <f t="shared" ca="1" si="106"/>
        <v>3.1026252983293552</v>
      </c>
      <c r="T64" s="546">
        <f t="shared" ca="1" si="107"/>
        <v>92362.768496420031</v>
      </c>
      <c r="U64" s="121"/>
      <c r="V64" s="327" t="str">
        <f t="shared" ca="1" si="108"/>
        <v>Low</v>
      </c>
      <c r="W64" s="327" t="str">
        <f t="shared" ca="1" si="109"/>
        <v>Low</v>
      </c>
      <c r="X64" s="328" t="str">
        <f t="shared" ca="1" si="110"/>
        <v>Dog</v>
      </c>
    </row>
    <row r="65" spans="1:39" ht="19.5" customHeight="1" x14ac:dyDescent="0.35">
      <c r="A65" s="366">
        <v>22</v>
      </c>
      <c r="B65" s="628" t="s">
        <v>631</v>
      </c>
      <c r="C65" s="365" t="str">
        <f>VLOOKUP(B65,'SG02'!$B:$E,2,0)</f>
        <v>Xiên Cá Hồi</v>
      </c>
      <c r="D65" s="365"/>
      <c r="E65" s="468" t="str">
        <f>VLOOKUP(B65,'SG01'!$B:$E,4,0)</f>
        <v>Phần</v>
      </c>
      <c r="F65" s="61">
        <f t="shared" ca="1" si="97"/>
        <v>13870.60606060606</v>
      </c>
      <c r="G65" s="61">
        <f t="shared" ca="1" si="98"/>
        <v>85857.142857142855</v>
      </c>
      <c r="H65" s="273">
        <f t="shared" ca="1" si="99"/>
        <v>71986.536796536791</v>
      </c>
      <c r="I65" s="255">
        <f ca="1">(SUMIF('SG01'!$B:$B,$B65,'SG01'!I:I)*SG01_+SUMIF('SG02'!$B:$B,$B65,'SG02'!I:I)*SG02_+SUMIF('SG03'!$B:$B,$B65,'SG03'!I:I)*SG03_+SUMIF('SG04'!$B:$B,$B65,'SG04'!I:I)*SG04_+SUMIF('SG05'!$B:$B,$B65,'SG05'!I:I)*SG05_+SUMIF('SG06'!$B:$B,$B65,'SG06'!I:I)*SG06_+SUMIF('SG07'!$B:$B,$B65,'SG07'!I:I)*SG07_+SUMIF('SG08'!$B:$B,$B65,'SG08'!I:I)*SG08_+SUMIF('SG09'!$B:$B,$B65,'SG09'!I:I)*SG09_+SUMIF('SG10'!$B:$B,$B65,'SG10'!I:I)*SG10_+SUMIF('SG11'!$B:$B,$B65,'SG11'!I:I)*SG11_+SUMIF('SG12'!$B:$B,$B65,'SG12'!I:I)*SG12_+SUMIF('SG13'!$B:$B,$B65,'SG13'!I:I)*SG13_+SUMIF('SG14'!$B:$B,$B65,'SG14'!I:I)*SG14_+SUMIF('SG15'!$B:$B,$B65,'SG15'!I:I)*SG15_)</f>
        <v>35</v>
      </c>
      <c r="J65" s="256"/>
      <c r="K65" s="61">
        <f ca="1">(SUMIF('SG01'!$B:$B,$B65,'SG01'!K:K)*SG01_+SUMIF('SG02'!$B:$B,$B65,'SG02'!K:K)*SG02_+SUMIF('SG03'!$B:$B,$B65,'SG03'!K:K)*SG03_+SUMIF('SG04'!$B:$B,$B65,'SG04'!K:K)*SG04_+SUMIF('SG05'!$B:$B,$B65,'SG05'!K:K)*SG05_+SUMIF('SG06'!$B:$B,$B65,'SG06'!K:K)*SG06_+SUMIF('SG07'!$B:$B,$B65,'SG07'!K:K)*SG07_+SUMIF('SG08'!$B:$B,$B65,'SG08'!K:K)*SG08_+SUMIF('SG09'!$B:$B,$B65,'SG09'!K:K)*SG09_+SUMIF('SG10'!$B:$B,$B65,'SG10'!K:K)*SG10_+SUMIF('SG11'!$B:$B,$B65,'SG11'!K:K)*SG11_+SUMIF('SG12'!$B:$B,$B65,'SG12'!K:K)*SG12_+SUMIF('SG13'!$B:$B,$B65,'SG13'!K:K)*SG13_+SUMIF('SG14'!$B:$B,$B65,'SG14'!K:K)*SG14_+SUMIF('SG15'!$B:$B,$B65,'SG15'!K:K)*SG15_)</f>
        <v>485471.2121212121</v>
      </c>
      <c r="L65" s="61">
        <f ca="1">(SUMIF('SG01'!$B:$B,$B65,'SG01'!L:L)*SG01_+SUMIF('SG02'!$B:$B,$B65,'SG02'!L:L)*SG02_+SUMIF('SG03'!$B:$B,$B65,'SG03'!L:L)*SG03_+SUMIF('SG04'!$B:$B,$B65,'SG04'!L:L)*SG04_+SUMIF('SG05'!$B:$B,$B65,'SG05'!L:L)*SG05_+SUMIF('SG06'!$B:$B,$B65,'SG06'!L:L)*SG06_+SUMIF('SG07'!$B:$B,$B65,'SG07'!L:L)*SG07_+SUMIF('SG08'!$B:$B,$B65,'SG08'!L:L)*SG08_+SUMIF('SG09'!$B:$B,$B65,'SG09'!L:L)*SG09_+SUMIF('SG10'!$B:$B,$B65,'SG10'!L:L)*SG10_+SUMIF('SG11'!$B:$B,$B65,'SG11'!L:L)*SG11_+SUMIF('SG12'!$B:$B,$B65,'SG12'!L:L)*SG12_+SUMIF('SG13'!$B:$B,$B65,'SG13'!L:L)*SG13_+SUMIF('SG14'!$B:$B,$B65,'SG14'!L:L)*SG14_+SUMIF('SG15'!$B:$B,$B65,'SG15'!L:L)*SG15_)</f>
        <v>3005000</v>
      </c>
      <c r="M65" s="253">
        <f t="shared" ca="1" si="100"/>
        <v>2519528.7878787881</v>
      </c>
      <c r="N65" s="257">
        <f t="shared" ca="1" si="101"/>
        <v>0.16155447990722532</v>
      </c>
      <c r="O65" s="258">
        <f t="shared" ca="1" si="102"/>
        <v>1.9380057437201842E-3</v>
      </c>
      <c r="P65" s="258">
        <f t="shared" ca="1" si="103"/>
        <v>2.4488877830490304E-3</v>
      </c>
      <c r="Q65" s="258">
        <f t="shared" ca="1" si="104"/>
        <v>2.1804136556192377E-3</v>
      </c>
      <c r="R65" s="259">
        <f t="shared" ca="1" si="105"/>
        <v>0.94773896561061466</v>
      </c>
      <c r="S65" s="545">
        <f t="shared" ca="1" si="106"/>
        <v>2.7844073190135239</v>
      </c>
      <c r="T65" s="546">
        <f t="shared" ca="1" si="107"/>
        <v>239061.25696101825</v>
      </c>
      <c r="U65" s="121"/>
      <c r="V65" s="327" t="str">
        <f t="shared" ca="1" si="108"/>
        <v>Low</v>
      </c>
      <c r="W65" s="327" t="str">
        <f t="shared" ca="1" si="109"/>
        <v>High</v>
      </c>
      <c r="X65" s="328" t="str">
        <f t="shared" ca="1" si="110"/>
        <v>Puzzle</v>
      </c>
    </row>
    <row r="66" spans="1:39" ht="19.5" customHeight="1" x14ac:dyDescent="0.35">
      <c r="A66" s="366">
        <v>23</v>
      </c>
      <c r="B66" s="628" t="s">
        <v>632</v>
      </c>
      <c r="C66" s="365" t="str">
        <f>VLOOKUP(B66,'SG02'!$B:$E,2,0)</f>
        <v>Cá Thu Đao Nướng Muối</v>
      </c>
      <c r="D66" s="365"/>
      <c r="E66" s="468" t="str">
        <f>VLOOKUP(B66,'SG01'!$B:$E,4,0)</f>
        <v>Phần</v>
      </c>
      <c r="F66" s="61">
        <f t="shared" ca="1" si="97"/>
        <v>14359.820689655175</v>
      </c>
      <c r="G66" s="61">
        <f t="shared" ca="1" si="98"/>
        <v>80764.705882352937</v>
      </c>
      <c r="H66" s="273">
        <f t="shared" ca="1" si="99"/>
        <v>66404.885192697766</v>
      </c>
      <c r="I66" s="255">
        <f ca="1">(SUMIF('SG01'!$B:$B,$B66,'SG01'!I:I)*SG01_+SUMIF('SG02'!$B:$B,$B66,'SG02'!I:I)*SG02_+SUMIF('SG03'!$B:$B,$B66,'SG03'!I:I)*SG03_+SUMIF('SG04'!$B:$B,$B66,'SG04'!I:I)*SG04_+SUMIF('SG05'!$B:$B,$B66,'SG05'!I:I)*SG05_+SUMIF('SG06'!$B:$B,$B66,'SG06'!I:I)*SG06_+SUMIF('SG07'!$B:$B,$B66,'SG07'!I:I)*SG07_+SUMIF('SG08'!$B:$B,$B66,'SG08'!I:I)*SG08_+SUMIF('SG09'!$B:$B,$B66,'SG09'!I:I)*SG09_+SUMIF('SG10'!$B:$B,$B66,'SG10'!I:I)*SG10_+SUMIF('SG11'!$B:$B,$B66,'SG11'!I:I)*SG11_+SUMIF('SG12'!$B:$B,$B66,'SG12'!I:I)*SG12_+SUMIF('SG13'!$B:$B,$B66,'SG13'!I:I)*SG13_+SUMIF('SG14'!$B:$B,$B66,'SG14'!I:I)*SG14_+SUMIF('SG15'!$B:$B,$B66,'SG15'!I:I)*SG15_)</f>
        <v>102</v>
      </c>
      <c r="J66" s="256"/>
      <c r="K66" s="61">
        <f ca="1">(SUMIF('SG01'!$B:$B,$B66,'SG01'!K:K)*SG01_+SUMIF('SG02'!$B:$B,$B66,'SG02'!K:K)*SG02_+SUMIF('SG03'!$B:$B,$B66,'SG03'!K:K)*SG03_+SUMIF('SG04'!$B:$B,$B66,'SG04'!K:K)*SG04_+SUMIF('SG05'!$B:$B,$B66,'SG05'!K:K)*SG05_+SUMIF('SG06'!$B:$B,$B66,'SG06'!K:K)*SG06_+SUMIF('SG07'!$B:$B,$B66,'SG07'!K:K)*SG07_+SUMIF('SG08'!$B:$B,$B66,'SG08'!K:K)*SG08_+SUMIF('SG09'!$B:$B,$B66,'SG09'!K:K)*SG09_+SUMIF('SG10'!$B:$B,$B66,'SG10'!K:K)*SG10_+SUMIF('SG11'!$B:$B,$B66,'SG11'!K:K)*SG11_+SUMIF('SG12'!$B:$B,$B66,'SG12'!K:K)*SG12_+SUMIF('SG13'!$B:$B,$B66,'SG13'!K:K)*SG13_+SUMIF('SG14'!$B:$B,$B66,'SG14'!K:K)*SG14_+SUMIF('SG15'!$B:$B,$B66,'SG15'!K:K)*SG15_)</f>
        <v>1464701.7103448277</v>
      </c>
      <c r="L66" s="61">
        <f ca="1">(SUMIF('SG01'!$B:$B,$B66,'SG01'!L:L)*SG01_+SUMIF('SG02'!$B:$B,$B66,'SG02'!L:L)*SG02_+SUMIF('SG03'!$B:$B,$B66,'SG03'!L:L)*SG03_+SUMIF('SG04'!$B:$B,$B66,'SG04'!L:L)*SG04_+SUMIF('SG05'!$B:$B,$B66,'SG05'!L:L)*SG05_+SUMIF('SG06'!$B:$B,$B66,'SG06'!L:L)*SG06_+SUMIF('SG07'!$B:$B,$B66,'SG07'!L:L)*SG07_+SUMIF('SG08'!$B:$B,$B66,'SG08'!L:L)*SG08_+SUMIF('SG09'!$B:$B,$B66,'SG09'!L:L)*SG09_+SUMIF('SG10'!$B:$B,$B66,'SG10'!L:L)*SG10_+SUMIF('SG11'!$B:$B,$B66,'SG11'!L:L)*SG11_+SUMIF('SG12'!$B:$B,$B66,'SG12'!L:L)*SG12_+SUMIF('SG13'!$B:$B,$B66,'SG13'!L:L)*SG13_+SUMIF('SG14'!$B:$B,$B66,'SG14'!L:L)*SG14_+SUMIF('SG15'!$B:$B,$B66,'SG15'!L:L)*SG15_)</f>
        <v>8238000</v>
      </c>
      <c r="M66" s="253">
        <f t="shared" ca="1" si="100"/>
        <v>6773298.2896551723</v>
      </c>
      <c r="N66" s="257">
        <f t="shared" ca="1" si="101"/>
        <v>0.17779821684205241</v>
      </c>
      <c r="O66" s="258">
        <f t="shared" ca="1" si="102"/>
        <v>5.3129089240488781E-3</v>
      </c>
      <c r="P66" s="258">
        <f t="shared" ca="1" si="103"/>
        <v>6.5833927011598927E-3</v>
      </c>
      <c r="Q66" s="258">
        <f t="shared" ca="1" si="104"/>
        <v>6.354348367804635E-3</v>
      </c>
      <c r="R66" s="259">
        <f t="shared" ca="1" si="105"/>
        <v>2.761982128350934</v>
      </c>
      <c r="S66" s="545">
        <f t="shared" ca="1" si="106"/>
        <v>8.1145584725536981</v>
      </c>
      <c r="T66" s="546">
        <f t="shared" ca="1" si="107"/>
        <v>655369.92840095458</v>
      </c>
      <c r="U66" s="121"/>
      <c r="V66" s="327" t="str">
        <f t="shared" ca="1" si="108"/>
        <v>High</v>
      </c>
      <c r="W66" s="327" t="str">
        <f t="shared" ca="1" si="109"/>
        <v>High</v>
      </c>
      <c r="X66" s="328" t="str">
        <f t="shared" ca="1" si="110"/>
        <v>Star</v>
      </c>
    </row>
    <row r="67" spans="1:39" s="280" customFormat="1" ht="19.5" customHeight="1" x14ac:dyDescent="0.35">
      <c r="A67" s="76"/>
      <c r="B67" s="276"/>
      <c r="C67" s="277"/>
      <c r="D67" s="253"/>
      <c r="E67" s="277"/>
      <c r="F67" s="61"/>
      <c r="G67" s="61"/>
      <c r="H67" s="273"/>
      <c r="I67" s="255"/>
      <c r="J67" s="256"/>
      <c r="K67" s="61"/>
      <c r="L67" s="61"/>
      <c r="M67" s="253"/>
      <c r="N67" s="257"/>
      <c r="O67" s="258"/>
      <c r="P67" s="258"/>
      <c r="Q67" s="258"/>
      <c r="R67" s="259"/>
      <c r="S67" s="545">
        <f t="shared" ca="1" si="30"/>
        <v>0</v>
      </c>
      <c r="T67" s="546">
        <f t="shared" ca="1" si="31"/>
        <v>0</v>
      </c>
      <c r="U67" s="121"/>
      <c r="V67" s="327"/>
      <c r="W67" s="327"/>
      <c r="X67" s="328"/>
      <c r="Y67" s="219"/>
      <c r="AG67" s="346"/>
      <c r="AK67" s="346"/>
      <c r="AL67" s="343"/>
      <c r="AM67" s="344"/>
    </row>
    <row r="68" spans="1:39" ht="19.5" customHeight="1" x14ac:dyDescent="0.35">
      <c r="A68" s="453"/>
      <c r="B68" s="479" t="s">
        <v>479</v>
      </c>
      <c r="C68" s="480" t="s">
        <v>480</v>
      </c>
      <c r="D68" s="480"/>
      <c r="E68" s="480"/>
      <c r="F68" s="306"/>
      <c r="G68" s="305"/>
      <c r="H68" s="305"/>
      <c r="I68" s="307">
        <f ca="1">SUBTOTAL(9,I69:I83)</f>
        <v>1717</v>
      </c>
      <c r="J68" s="308"/>
      <c r="K68" s="304">
        <f ca="1">SUBTOTAL(9,K69:K83)</f>
        <v>114541540.85602421</v>
      </c>
      <c r="L68" s="304">
        <f ca="1">SUBTOTAL(9,L69:L83)</f>
        <v>346497000</v>
      </c>
      <c r="M68" s="304">
        <f ca="1">SUBTOTAL(9,M69:M83)</f>
        <v>231955459.14397576</v>
      </c>
      <c r="N68" s="309">
        <f t="shared" ca="1" si="93"/>
        <v>0.33057007955631423</v>
      </c>
      <c r="O68" s="310">
        <f t="shared" ca="1" si="94"/>
        <v>0.22346528325517892</v>
      </c>
      <c r="P68" s="310">
        <f t="shared" ca="1" si="95"/>
        <v>0.22545203406365613</v>
      </c>
      <c r="Q68" s="310">
        <f t="shared" ca="1" si="13"/>
        <v>0.10696486419137802</v>
      </c>
      <c r="R68" s="311">
        <f t="shared" ca="1" si="96"/>
        <v>46.493365827240723</v>
      </c>
      <c r="S68" s="311">
        <f t="shared" ca="1" si="30"/>
        <v>136.5950676213206</v>
      </c>
      <c r="T68" s="311">
        <f t="shared" ca="1" si="31"/>
        <v>0</v>
      </c>
      <c r="U68" s="121"/>
      <c r="V68" s="327"/>
      <c r="W68" s="327"/>
      <c r="X68" s="328"/>
    </row>
    <row r="69" spans="1:39" ht="19.5" customHeight="1" x14ac:dyDescent="0.35">
      <c r="A69" s="366">
        <v>1</v>
      </c>
      <c r="B69" s="467" t="s">
        <v>494</v>
      </c>
      <c r="C69" s="365" t="str">
        <f>VLOOKUP(B69,'SG01'!$B:$E,2,0)</f>
        <v>Sườn Bò Wagyu Nhật A4</v>
      </c>
      <c r="D69" s="365"/>
      <c r="E69" s="468" t="str">
        <f>VLOOKUP(B69,'SG01'!$B:$E,4,0)</f>
        <v>Phần</v>
      </c>
      <c r="F69" s="61">
        <f t="shared" ref="F69:F82" ca="1" si="111">K69/I69</f>
        <v>172221.14563106795</v>
      </c>
      <c r="G69" s="61">
        <f t="shared" ref="G69:G82" ca="1" si="112">L69/I69</f>
        <v>511796.11650485435</v>
      </c>
      <c r="H69" s="273">
        <f t="shared" ref="H69:H82" ca="1" si="113">G69-F69</f>
        <v>339574.97087378637</v>
      </c>
      <c r="I69" s="255">
        <f ca="1">(SUMIF('SG01'!$B:$B,$B69,'SG01'!I:I)*SG01_+SUMIF('SG02'!$B:$B,$B69,'SG02'!I:I)*SG02_+SUMIF('SG03'!$B:$B,$B69,'SG03'!I:I)*SG03_+SUMIF('SG04'!$B:$B,$B69,'SG04'!I:I)*SG04_+SUMIF('SG05'!$B:$B,$B69,'SG05'!I:I)*SG05_+SUMIF('SG06'!$B:$B,$B69,'SG06'!I:I)*SG06_+SUMIF('SG07'!$B:$B,$B69,'SG07'!I:I)*SG07_+SUMIF('SG08'!$B:$B,$B69,'SG08'!I:I)*SG08_+SUMIF('SG09'!$B:$B,$B69,'SG09'!I:I)*SG09_+SUMIF('SG10'!$B:$B,$B69,'SG10'!I:I)*SG10_+SUMIF('SG11'!$B:$B,$B69,'SG11'!I:I)*SG11_+SUMIF('SG12'!$B:$B,$B69,'SG12'!I:I)*SG12_+SUMIF('SG13'!$B:$B,$B69,'SG13'!I:I)*SG13_+SUMIF('SG14'!$B:$B,$B69,'SG14'!I:I)*SG14_+SUMIF('SG15'!$B:$B,$B69,'SG15'!I:I)*SG15_)</f>
        <v>103</v>
      </c>
      <c r="J69" s="256"/>
      <c r="K69" s="61">
        <f ca="1">(SUMIF('SG01'!$B:$B,$B69,'SG01'!K:K)*SG01_+SUMIF('SG02'!$B:$B,$B69,'SG02'!K:K)*SG02_+SUMIF('SG03'!$B:$B,$B69,'SG03'!K:K)*SG03_+SUMIF('SG04'!$B:$B,$B69,'SG04'!K:K)*SG04_+SUMIF('SG05'!$B:$B,$B69,'SG05'!K:K)*SG05_+SUMIF('SG06'!$B:$B,$B69,'SG06'!K:K)*SG06_+SUMIF('SG07'!$B:$B,$B69,'SG07'!K:K)*SG07_+SUMIF('SG08'!$B:$B,$B69,'SG08'!K:K)*SG08_+SUMIF('SG09'!$B:$B,$B69,'SG09'!K:K)*SG09_+SUMIF('SG10'!$B:$B,$B69,'SG10'!K:K)*SG10_+SUMIF('SG11'!$B:$B,$B69,'SG11'!K:K)*SG11_+SUMIF('SG12'!$B:$B,$B69,'SG12'!K:K)*SG12_+SUMIF('SG13'!$B:$B,$B69,'SG13'!K:K)*SG13_+SUMIF('SG14'!$B:$B,$B69,'SG14'!K:K)*SG14_+SUMIF('SG15'!$B:$B,$B69,'SG15'!K:K)*SG15_)</f>
        <v>17738778</v>
      </c>
      <c r="L69" s="61">
        <f ca="1">(SUMIF('SG01'!$B:$B,$B69,'SG01'!L:L)*SG01_+SUMIF('SG02'!$B:$B,$B69,'SG02'!L:L)*SG02_+SUMIF('SG03'!$B:$B,$B69,'SG03'!L:L)*SG03_+SUMIF('SG04'!$B:$B,$B69,'SG04'!L:L)*SG04_+SUMIF('SG05'!$B:$B,$B69,'SG05'!L:L)*SG05_+SUMIF('SG06'!$B:$B,$B69,'SG06'!L:L)*SG06_+SUMIF('SG07'!$B:$B,$B69,'SG07'!L:L)*SG07_+SUMIF('SG08'!$B:$B,$B69,'SG08'!L:L)*SG08_+SUMIF('SG09'!$B:$B,$B69,'SG09'!L:L)*SG09_+SUMIF('SG10'!$B:$B,$B69,'SG10'!L:L)*SG10_+SUMIF('SG11'!$B:$B,$B69,'SG11'!L:L)*SG11_+SUMIF('SG12'!$B:$B,$B69,'SG12'!L:L)*SG12_+SUMIF('SG13'!$B:$B,$B69,'SG13'!L:L)*SG13_+SUMIF('SG14'!$B:$B,$B69,'SG14'!L:L)*SG14_+SUMIF('SG15'!$B:$B,$B69,'SG15'!L:L)*SG15_)</f>
        <v>52715000</v>
      </c>
      <c r="M69" s="253">
        <f t="shared" ref="M69:M82" ca="1" si="114">L69-K69</f>
        <v>34976222</v>
      </c>
      <c r="N69" s="257">
        <f t="shared" ca="1" si="93"/>
        <v>0.33650342407284456</v>
      </c>
      <c r="O69" s="258">
        <f t="shared" ca="1" si="94"/>
        <v>3.3997328712216141E-2</v>
      </c>
      <c r="P69" s="258">
        <f t="shared" ca="1" si="95"/>
        <v>3.3995580112074271E-2</v>
      </c>
      <c r="Q69" s="258">
        <f t="shared" ca="1" si="13"/>
        <v>6.4166459008223277E-3</v>
      </c>
      <c r="R69" s="259">
        <f t="shared" ca="1" si="96"/>
        <v>2.7890603845112376</v>
      </c>
      <c r="S69" s="545">
        <f t="shared" ca="1" si="30"/>
        <v>8.1941129673826563</v>
      </c>
      <c r="T69" s="546">
        <f t="shared" ca="1" si="31"/>
        <v>4193715.1949085118</v>
      </c>
      <c r="U69" s="121"/>
      <c r="V69" s="327" t="str">
        <f t="shared" ref="V69:V98" ca="1" si="115">IF(B69&lt;&gt;"",IFERROR(IF($I69&gt;=$X$10,"High","Low"),""),"")</f>
        <v>High</v>
      </c>
      <c r="W69" s="327" t="str">
        <f t="shared" ref="W69:W98" ca="1" si="116">IF(B69&lt;&gt;"",IFERROR(IF($L69&gt;=$X$12,"High","Low"),""),"")</f>
        <v>High</v>
      </c>
      <c r="X69" s="328" t="str">
        <f t="shared" ref="X69:X98" ca="1" si="117">IF(B69&lt;&gt;"",IFERROR(IF(AND(V69="high",W69="high"),"Star",IF(AND(V69="low",W69="high"),"Puzzle",(IF(AND(V69="high",W69="low"),"Horse","Dog")))),""),"")</f>
        <v>Star</v>
      </c>
    </row>
    <row r="70" spans="1:39" ht="19.149999999999999" customHeight="1" x14ac:dyDescent="0.35">
      <c r="A70" s="366">
        <v>2</v>
      </c>
      <c r="B70" s="467" t="s">
        <v>495</v>
      </c>
      <c r="C70" s="365" t="str">
        <f>VLOOKUP(B70,'SG01'!$B:$E,2,0)</f>
        <v>Sườn Bò Hoàng Đế Xốt G.Master</v>
      </c>
      <c r="D70" s="365"/>
      <c r="E70" s="468" t="str">
        <f>VLOOKUP(B70,'SG01'!$B:$E,4,0)</f>
        <v>Phần</v>
      </c>
      <c r="F70" s="61">
        <f t="shared" ca="1" si="111"/>
        <v>72787.68456375839</v>
      </c>
      <c r="G70" s="61">
        <f t="shared" ca="1" si="112"/>
        <v>208050.84745762713</v>
      </c>
      <c r="H70" s="273">
        <f t="shared" ca="1" si="113"/>
        <v>135263.16289386875</v>
      </c>
      <c r="I70" s="255">
        <f ca="1">(SUMIF('SG01'!$B:$B,$B70,'SG01'!I:I)*SG01_+SUMIF('SG02'!$B:$B,$B70,'SG02'!I:I)*SG02_+SUMIF('SG03'!$B:$B,$B70,'SG03'!I:I)*SG03_+SUMIF('SG04'!$B:$B,$B70,'SG04'!I:I)*SG04_+SUMIF('SG05'!$B:$B,$B70,'SG05'!I:I)*SG05_+SUMIF('SG06'!$B:$B,$B70,'SG06'!I:I)*SG06_+SUMIF('SG07'!$B:$B,$B70,'SG07'!I:I)*SG07_+SUMIF('SG08'!$B:$B,$B70,'SG08'!I:I)*SG08_+SUMIF('SG09'!$B:$B,$B70,'SG09'!I:I)*SG09_+SUMIF('SG10'!$B:$B,$B70,'SG10'!I:I)*SG10_+SUMIF('SG11'!$B:$B,$B70,'SG11'!I:I)*SG11_+SUMIF('SG12'!$B:$B,$B70,'SG12'!I:I)*SG12_+SUMIF('SG13'!$B:$B,$B70,'SG13'!I:I)*SG13_+SUMIF('SG14'!$B:$B,$B70,'SG14'!I:I)*SG14_+SUMIF('SG15'!$B:$B,$B70,'SG15'!I:I)*SG15_)</f>
        <v>236</v>
      </c>
      <c r="J70" s="256"/>
      <c r="K70" s="61">
        <f ca="1">(SUMIF('SG01'!$B:$B,$B70,'SG01'!K:K)*SG01_+SUMIF('SG02'!$B:$B,$B70,'SG02'!K:K)*SG02_+SUMIF('SG03'!$B:$B,$B70,'SG03'!K:K)*SG03_+SUMIF('SG04'!$B:$B,$B70,'SG04'!K:K)*SG04_+SUMIF('SG05'!$B:$B,$B70,'SG05'!K:K)*SG05_+SUMIF('SG06'!$B:$B,$B70,'SG06'!K:K)*SG06_+SUMIF('SG07'!$B:$B,$B70,'SG07'!K:K)*SG07_+SUMIF('SG08'!$B:$B,$B70,'SG08'!K:K)*SG08_+SUMIF('SG09'!$B:$B,$B70,'SG09'!K:K)*SG09_+SUMIF('SG10'!$B:$B,$B70,'SG10'!K:K)*SG10_+SUMIF('SG11'!$B:$B,$B70,'SG11'!K:K)*SG11_+SUMIF('SG12'!$B:$B,$B70,'SG12'!K:K)*SG12_+SUMIF('SG13'!$B:$B,$B70,'SG13'!K:K)*SG13_+SUMIF('SG14'!$B:$B,$B70,'SG14'!K:K)*SG14_+SUMIF('SG15'!$B:$B,$B70,'SG15'!K:K)*SG15_)</f>
        <v>17177893.55704698</v>
      </c>
      <c r="L70" s="61">
        <f ca="1">(SUMIF('SG01'!$B:$B,$B70,'SG01'!L:L)*SG01_+SUMIF('SG02'!$B:$B,$B70,'SG02'!L:L)*SG02_+SUMIF('SG03'!$B:$B,$B70,'SG03'!L:L)*SG03_+SUMIF('SG04'!$B:$B,$B70,'SG04'!L:L)*SG04_+SUMIF('SG05'!$B:$B,$B70,'SG05'!L:L)*SG05_+SUMIF('SG06'!$B:$B,$B70,'SG06'!L:L)*SG06_+SUMIF('SG07'!$B:$B,$B70,'SG07'!L:L)*SG07_+SUMIF('SG08'!$B:$B,$B70,'SG08'!L:L)*SG08_+SUMIF('SG09'!$B:$B,$B70,'SG09'!L:L)*SG09_+SUMIF('SG10'!$B:$B,$B70,'SG10'!L:L)*SG10_+SUMIF('SG11'!$B:$B,$B70,'SG11'!L:L)*SG11_+SUMIF('SG12'!$B:$B,$B70,'SG12'!L:L)*SG12_+SUMIF('SG13'!$B:$B,$B70,'SG13'!L:L)*SG13_+SUMIF('SG14'!$B:$B,$B70,'SG14'!L:L)*SG14_+SUMIF('SG15'!$B:$B,$B70,'SG15'!L:L)*SG15_)</f>
        <v>49100000</v>
      </c>
      <c r="M70" s="253">
        <f t="shared" ca="1" si="114"/>
        <v>31922106.44295302</v>
      </c>
      <c r="N70" s="257">
        <f t="shared" ca="1" si="93"/>
        <v>0.34985526592763705</v>
      </c>
      <c r="O70" s="258">
        <f t="shared" ca="1" si="94"/>
        <v>3.1665917476426303E-2</v>
      </c>
      <c r="P70" s="258">
        <f t="shared" ca="1" si="95"/>
        <v>3.1027093976232531E-2</v>
      </c>
      <c r="Q70" s="258">
        <f t="shared" ca="1" si="13"/>
        <v>1.4702217792175429E-2</v>
      </c>
      <c r="R70" s="259">
        <f t="shared" ca="1" si="96"/>
        <v>6.3904684538315726</v>
      </c>
      <c r="S70" s="545">
        <f t="shared" ca="1" si="30"/>
        <v>18.774860779634047</v>
      </c>
      <c r="T70" s="546">
        <f t="shared" ca="1" si="31"/>
        <v>3906125.6961018294</v>
      </c>
      <c r="U70" s="121"/>
      <c r="V70" s="327" t="str">
        <f t="shared" ca="1" si="115"/>
        <v>High</v>
      </c>
      <c r="W70" s="327" t="str">
        <f t="shared" ca="1" si="116"/>
        <v>High</v>
      </c>
      <c r="X70" s="328" t="str">
        <f t="shared" ca="1" si="117"/>
        <v>Star</v>
      </c>
    </row>
    <row r="71" spans="1:39" ht="19.149999999999999" customHeight="1" x14ac:dyDescent="0.35">
      <c r="A71" s="366">
        <v>3</v>
      </c>
      <c r="B71" s="467" t="s">
        <v>496</v>
      </c>
      <c r="C71" s="365" t="str">
        <f>VLOOKUP(B71,'SG01'!$B:$E,2,0)</f>
        <v>Sườn Bò Hoàng Đế Xốt Tare</v>
      </c>
      <c r="D71" s="365"/>
      <c r="E71" s="468" t="str">
        <f>VLOOKUP(B71,'SG01'!$B:$E,4,0)</f>
        <v>Phần</v>
      </c>
      <c r="F71" s="61">
        <f t="shared" ca="1" si="111"/>
        <v>60851.005617977527</v>
      </c>
      <c r="G71" s="61">
        <f t="shared" ca="1" si="112"/>
        <v>187804.42804428044</v>
      </c>
      <c r="H71" s="273">
        <f t="shared" ca="1" si="113"/>
        <v>126953.42242630292</v>
      </c>
      <c r="I71" s="255">
        <f ca="1">(SUMIF('SG01'!$B:$B,$B71,'SG01'!I:I)*SG01_+SUMIF('SG02'!$B:$B,$B71,'SG02'!I:I)*SG02_+SUMIF('SG03'!$B:$B,$B71,'SG03'!I:I)*SG03_+SUMIF('SG04'!$B:$B,$B71,'SG04'!I:I)*SG04_+SUMIF('SG05'!$B:$B,$B71,'SG05'!I:I)*SG05_+SUMIF('SG06'!$B:$B,$B71,'SG06'!I:I)*SG06_+SUMIF('SG07'!$B:$B,$B71,'SG07'!I:I)*SG07_+SUMIF('SG08'!$B:$B,$B71,'SG08'!I:I)*SG08_+SUMIF('SG09'!$B:$B,$B71,'SG09'!I:I)*SG09_+SUMIF('SG10'!$B:$B,$B71,'SG10'!I:I)*SG10_+SUMIF('SG11'!$B:$B,$B71,'SG11'!I:I)*SG11_+SUMIF('SG12'!$B:$B,$B71,'SG12'!I:I)*SG12_+SUMIF('SG13'!$B:$B,$B71,'SG13'!I:I)*SG13_+SUMIF('SG14'!$B:$B,$B71,'SG14'!I:I)*SG14_+SUMIF('SG15'!$B:$B,$B71,'SG15'!I:I)*SG15_)</f>
        <v>271</v>
      </c>
      <c r="J71" s="256"/>
      <c r="K71" s="61">
        <f ca="1">(SUMIF('SG01'!$B:$B,$B71,'SG01'!K:K)*SG01_+SUMIF('SG02'!$B:$B,$B71,'SG02'!K:K)*SG02_+SUMIF('SG03'!$B:$B,$B71,'SG03'!K:K)*SG03_+SUMIF('SG04'!$B:$B,$B71,'SG04'!K:K)*SG04_+SUMIF('SG05'!$B:$B,$B71,'SG05'!K:K)*SG05_+SUMIF('SG06'!$B:$B,$B71,'SG06'!K:K)*SG06_+SUMIF('SG07'!$B:$B,$B71,'SG07'!K:K)*SG07_+SUMIF('SG08'!$B:$B,$B71,'SG08'!K:K)*SG08_+SUMIF('SG09'!$B:$B,$B71,'SG09'!K:K)*SG09_+SUMIF('SG10'!$B:$B,$B71,'SG10'!K:K)*SG10_+SUMIF('SG11'!$B:$B,$B71,'SG11'!K:K)*SG11_+SUMIF('SG12'!$B:$B,$B71,'SG12'!K:K)*SG12_+SUMIF('SG13'!$B:$B,$B71,'SG13'!K:K)*SG13_+SUMIF('SG14'!$B:$B,$B71,'SG14'!K:K)*SG14_+SUMIF('SG15'!$B:$B,$B71,'SG15'!K:K)*SG15_)</f>
        <v>16490622.52247191</v>
      </c>
      <c r="L71" s="61">
        <f ca="1">(SUMIF('SG01'!$B:$B,$B71,'SG01'!L:L)*SG01_+SUMIF('SG02'!$B:$B,$B71,'SG02'!L:L)*SG02_+SUMIF('SG03'!$B:$B,$B71,'SG03'!L:L)*SG03_+SUMIF('SG04'!$B:$B,$B71,'SG04'!L:L)*SG04_+SUMIF('SG05'!$B:$B,$B71,'SG05'!L:L)*SG05_+SUMIF('SG06'!$B:$B,$B71,'SG06'!L:L)*SG06_+SUMIF('SG07'!$B:$B,$B71,'SG07'!L:L)*SG07_+SUMIF('SG08'!$B:$B,$B71,'SG08'!L:L)*SG08_+SUMIF('SG09'!$B:$B,$B71,'SG09'!L:L)*SG09_+SUMIF('SG10'!$B:$B,$B71,'SG10'!L:L)*SG10_+SUMIF('SG11'!$B:$B,$B71,'SG11'!L:L)*SG11_+SUMIF('SG12'!$B:$B,$B71,'SG12'!L:L)*SG12_+SUMIF('SG13'!$B:$B,$B71,'SG13'!L:L)*SG13_+SUMIF('SG14'!$B:$B,$B71,'SG14'!L:L)*SG14_+SUMIF('SG15'!$B:$B,$B71,'SG15'!L:L)*SG15_)</f>
        <v>50895000</v>
      </c>
      <c r="M71" s="253">
        <f t="shared" ca="1" si="114"/>
        <v>34404377.477528088</v>
      </c>
      <c r="N71" s="257">
        <f t="shared" ca="1" si="93"/>
        <v>0.32401262447140017</v>
      </c>
      <c r="O71" s="258">
        <f t="shared" ca="1" si="94"/>
        <v>3.2823561506368976E-2</v>
      </c>
      <c r="P71" s="258">
        <f t="shared" ca="1" si="95"/>
        <v>3.343976861604292E-2</v>
      </c>
      <c r="Q71" s="258">
        <f t="shared" ca="1" si="13"/>
        <v>1.6882631447794668E-2</v>
      </c>
      <c r="R71" s="259">
        <f t="shared" ca="1" si="96"/>
        <v>7.3382074194421874</v>
      </c>
      <c r="S71" s="545">
        <f t="shared" ca="1" si="30"/>
        <v>21.559268098647571</v>
      </c>
      <c r="T71" s="546">
        <f t="shared" ca="1" si="31"/>
        <v>4048926.0143198087</v>
      </c>
      <c r="U71" s="121"/>
      <c r="V71" s="364" t="str">
        <f t="shared" ca="1" si="115"/>
        <v>High</v>
      </c>
      <c r="W71" s="364" t="str">
        <f t="shared" ca="1" si="116"/>
        <v>High</v>
      </c>
      <c r="X71" s="328" t="str">
        <f t="shared" ca="1" si="117"/>
        <v>Star</v>
      </c>
    </row>
    <row r="72" spans="1:39" ht="19.149999999999999" customHeight="1" x14ac:dyDescent="0.35">
      <c r="A72" s="366">
        <v>4</v>
      </c>
      <c r="B72" s="467" t="s">
        <v>497</v>
      </c>
      <c r="C72" s="365" t="str">
        <f>VLOOKUP(B72,'SG01'!$B:$E,2,0)</f>
        <v>Thăn Ngoại Bò Hoàng Đế Nguyên Vị</v>
      </c>
      <c r="D72" s="365"/>
      <c r="E72" s="468" t="str">
        <f>VLOOKUP(B72,'SG01'!$B:$E,4,0)</f>
        <v>Phần</v>
      </c>
      <c r="F72" s="61">
        <f t="shared" ca="1" si="111"/>
        <v>54833.034653465344</v>
      </c>
      <c r="G72" s="61">
        <f t="shared" ca="1" si="112"/>
        <v>167586.20689655171</v>
      </c>
      <c r="H72" s="273">
        <f t="shared" ca="1" si="113"/>
        <v>112753.17224308636</v>
      </c>
      <c r="I72" s="255">
        <f ca="1">(SUMIF('SG01'!$B:$B,$B72,'SG01'!I:I)*SG01_+SUMIF('SG02'!$B:$B,$B72,'SG02'!I:I)*SG02_+SUMIF('SG03'!$B:$B,$B72,'SG03'!I:I)*SG03_+SUMIF('SG04'!$B:$B,$B72,'SG04'!I:I)*SG04_+SUMIF('SG05'!$B:$B,$B72,'SG05'!I:I)*SG05_+SUMIF('SG06'!$B:$B,$B72,'SG06'!I:I)*SG06_+SUMIF('SG07'!$B:$B,$B72,'SG07'!I:I)*SG07_+SUMIF('SG08'!$B:$B,$B72,'SG08'!I:I)*SG08_+SUMIF('SG09'!$B:$B,$B72,'SG09'!I:I)*SG09_+SUMIF('SG10'!$B:$B,$B72,'SG10'!I:I)*SG10_+SUMIF('SG11'!$B:$B,$B72,'SG11'!I:I)*SG11_+SUMIF('SG12'!$B:$B,$B72,'SG12'!I:I)*SG12_+SUMIF('SG13'!$B:$B,$B72,'SG13'!I:I)*SG13_+SUMIF('SG14'!$B:$B,$B72,'SG14'!I:I)*SG14_+SUMIF('SG15'!$B:$B,$B72,'SG15'!I:I)*SG15_)</f>
        <v>145</v>
      </c>
      <c r="J72" s="256"/>
      <c r="K72" s="61">
        <f ca="1">(SUMIF('SG01'!$B:$B,$B72,'SG01'!K:K)*SG01_+SUMIF('SG02'!$B:$B,$B72,'SG02'!K:K)*SG02_+SUMIF('SG03'!$B:$B,$B72,'SG03'!K:K)*SG03_+SUMIF('SG04'!$B:$B,$B72,'SG04'!K:K)*SG04_+SUMIF('SG05'!$B:$B,$B72,'SG05'!K:K)*SG05_+SUMIF('SG06'!$B:$B,$B72,'SG06'!K:K)*SG06_+SUMIF('SG07'!$B:$B,$B72,'SG07'!K:K)*SG07_+SUMIF('SG08'!$B:$B,$B72,'SG08'!K:K)*SG08_+SUMIF('SG09'!$B:$B,$B72,'SG09'!K:K)*SG09_+SUMIF('SG10'!$B:$B,$B72,'SG10'!K:K)*SG10_+SUMIF('SG11'!$B:$B,$B72,'SG11'!K:K)*SG11_+SUMIF('SG12'!$B:$B,$B72,'SG12'!K:K)*SG12_+SUMIF('SG13'!$B:$B,$B72,'SG13'!K:K)*SG13_+SUMIF('SG14'!$B:$B,$B72,'SG14'!K:K)*SG14_+SUMIF('SG15'!$B:$B,$B72,'SG15'!K:K)*SG15_)</f>
        <v>7950790.0247524744</v>
      </c>
      <c r="L72" s="61">
        <f ca="1">(SUMIF('SG01'!$B:$B,$B72,'SG01'!L:L)*SG01_+SUMIF('SG02'!$B:$B,$B72,'SG02'!L:L)*SG02_+SUMIF('SG03'!$B:$B,$B72,'SG03'!L:L)*SG03_+SUMIF('SG04'!$B:$B,$B72,'SG04'!L:L)*SG04_+SUMIF('SG05'!$B:$B,$B72,'SG05'!L:L)*SG05_+SUMIF('SG06'!$B:$B,$B72,'SG06'!L:L)*SG06_+SUMIF('SG07'!$B:$B,$B72,'SG07'!L:L)*SG07_+SUMIF('SG08'!$B:$B,$B72,'SG08'!L:L)*SG08_+SUMIF('SG09'!$B:$B,$B72,'SG09'!L:L)*SG09_+SUMIF('SG10'!$B:$B,$B72,'SG10'!L:L)*SG10_+SUMIF('SG11'!$B:$B,$B72,'SG11'!L:L)*SG11_+SUMIF('SG12'!$B:$B,$B72,'SG12'!L:L)*SG12_+SUMIF('SG13'!$B:$B,$B72,'SG13'!L:L)*SG13_+SUMIF('SG14'!$B:$B,$B72,'SG14'!L:L)*SG14_+SUMIF('SG15'!$B:$B,$B72,'SG15'!L:L)*SG15_)</f>
        <v>24299999.999999996</v>
      </c>
      <c r="M72" s="253">
        <f t="shared" ca="1" si="114"/>
        <v>16349209.975247521</v>
      </c>
      <c r="N72" s="257">
        <f t="shared" ca="1" si="93"/>
        <v>0.32719300513384675</v>
      </c>
      <c r="O72" s="258">
        <f t="shared" ca="1" si="94"/>
        <v>1.5671726979168209E-2</v>
      </c>
      <c r="P72" s="258">
        <f t="shared" ca="1" si="95"/>
        <v>1.5890820840588526E-2</v>
      </c>
      <c r="Q72" s="258">
        <f t="shared" ca="1" si="13"/>
        <v>9.0331422875654117E-3</v>
      </c>
      <c r="R72" s="259">
        <f t="shared" ca="1" si="96"/>
        <v>3.9263471432439752</v>
      </c>
      <c r="S72" s="545">
        <f t="shared" ca="1" si="30"/>
        <v>11.535401750198886</v>
      </c>
      <c r="T72" s="546">
        <f t="shared" ca="1" si="31"/>
        <v>1933174.2243436752</v>
      </c>
      <c r="U72" s="121"/>
      <c r="V72" s="364" t="str">
        <f t="shared" ca="1" si="115"/>
        <v>High</v>
      </c>
      <c r="W72" s="364" t="str">
        <f t="shared" ca="1" si="116"/>
        <v>High</v>
      </c>
      <c r="X72" s="328" t="str">
        <f t="shared" ca="1" si="117"/>
        <v>Star</v>
      </c>
    </row>
    <row r="73" spans="1:39" ht="19.149999999999999" customHeight="1" x14ac:dyDescent="0.35">
      <c r="A73" s="366">
        <v>5</v>
      </c>
      <c r="B73" s="467" t="s">
        <v>498</v>
      </c>
      <c r="C73" s="365" t="str">
        <f>VLOOKUP(B73,'SG01'!$B:$E,2,0)</f>
        <v>Dẻ Sườn Bò Mỹ Nguyên Vị</v>
      </c>
      <c r="D73" s="365"/>
      <c r="E73" s="468" t="str">
        <f>VLOOKUP(B73,'SG01'!$B:$E,4,0)</f>
        <v>Phần</v>
      </c>
      <c r="F73" s="61">
        <f t="shared" ref="F73:F81" ca="1" si="118">K73/I73</f>
        <v>46317.576763485478</v>
      </c>
      <c r="G73" s="61">
        <f t="shared" ref="G73:G81" ca="1" si="119">L73/I73</f>
        <v>168251.23152709359</v>
      </c>
      <c r="H73" s="273">
        <f t="shared" ref="H73:H81" ca="1" si="120">G73-F73</f>
        <v>121933.65476360812</v>
      </c>
      <c r="I73" s="255">
        <f ca="1">(SUMIF('SG01'!$B:$B,$B73,'SG01'!I:I)*SG01_+SUMIF('SG02'!$B:$B,$B73,'SG02'!I:I)*SG02_+SUMIF('SG03'!$B:$B,$B73,'SG03'!I:I)*SG03_+SUMIF('SG04'!$B:$B,$B73,'SG04'!I:I)*SG04_+SUMIF('SG05'!$B:$B,$B73,'SG05'!I:I)*SG05_+SUMIF('SG06'!$B:$B,$B73,'SG06'!I:I)*SG06_+SUMIF('SG07'!$B:$B,$B73,'SG07'!I:I)*SG07_+SUMIF('SG08'!$B:$B,$B73,'SG08'!I:I)*SG08_+SUMIF('SG09'!$B:$B,$B73,'SG09'!I:I)*SG09_+SUMIF('SG10'!$B:$B,$B73,'SG10'!I:I)*SG10_+SUMIF('SG11'!$B:$B,$B73,'SG11'!I:I)*SG11_+SUMIF('SG12'!$B:$B,$B73,'SG12'!I:I)*SG12_+SUMIF('SG13'!$B:$B,$B73,'SG13'!I:I)*SG13_+SUMIF('SG14'!$B:$B,$B73,'SG14'!I:I)*SG14_+SUMIF('SG15'!$B:$B,$B73,'SG15'!I:I)*SG15_)</f>
        <v>203</v>
      </c>
      <c r="J73" s="256"/>
      <c r="K73" s="61">
        <f ca="1">(SUMIF('SG01'!$B:$B,$B73,'SG01'!K:K)*SG01_+SUMIF('SG02'!$B:$B,$B73,'SG02'!K:K)*SG02_+SUMIF('SG03'!$B:$B,$B73,'SG03'!K:K)*SG03_+SUMIF('SG04'!$B:$B,$B73,'SG04'!K:K)*SG04_+SUMIF('SG05'!$B:$B,$B73,'SG05'!K:K)*SG05_+SUMIF('SG06'!$B:$B,$B73,'SG06'!K:K)*SG06_+SUMIF('SG07'!$B:$B,$B73,'SG07'!K:K)*SG07_+SUMIF('SG08'!$B:$B,$B73,'SG08'!K:K)*SG08_+SUMIF('SG09'!$B:$B,$B73,'SG09'!K:K)*SG09_+SUMIF('SG10'!$B:$B,$B73,'SG10'!K:K)*SG10_+SUMIF('SG11'!$B:$B,$B73,'SG11'!K:K)*SG11_+SUMIF('SG12'!$B:$B,$B73,'SG12'!K:K)*SG12_+SUMIF('SG13'!$B:$B,$B73,'SG13'!K:K)*SG13_+SUMIF('SG14'!$B:$B,$B73,'SG14'!K:K)*SG14_+SUMIF('SG15'!$B:$B,$B73,'SG15'!K:K)*SG15_)</f>
        <v>9402468.0829875525</v>
      </c>
      <c r="L73" s="61">
        <f ca="1">(SUMIF('SG01'!$B:$B,$B73,'SG01'!L:L)*SG01_+SUMIF('SG02'!$B:$B,$B73,'SG02'!L:L)*SG02_+SUMIF('SG03'!$B:$B,$B73,'SG03'!L:L)*SG03_+SUMIF('SG04'!$B:$B,$B73,'SG04'!L:L)*SG04_+SUMIF('SG05'!$B:$B,$B73,'SG05'!L:L)*SG05_+SUMIF('SG06'!$B:$B,$B73,'SG06'!L:L)*SG06_+SUMIF('SG07'!$B:$B,$B73,'SG07'!L:L)*SG07_+SUMIF('SG08'!$B:$B,$B73,'SG08'!L:L)*SG08_+SUMIF('SG09'!$B:$B,$B73,'SG09'!L:L)*SG09_+SUMIF('SG10'!$B:$B,$B73,'SG10'!L:L)*SG10_+SUMIF('SG11'!$B:$B,$B73,'SG11'!L:L)*SG11_+SUMIF('SG12'!$B:$B,$B73,'SG12'!L:L)*SG12_+SUMIF('SG13'!$B:$B,$B73,'SG13'!L:L)*SG13_+SUMIF('SG14'!$B:$B,$B73,'SG14'!L:L)*SG14_+SUMIF('SG15'!$B:$B,$B73,'SG15'!L:L)*SG15_)</f>
        <v>34155000</v>
      </c>
      <c r="M73" s="253">
        <f t="shared" ref="M73:M81" ca="1" si="121">L73-K73</f>
        <v>24752531.917012446</v>
      </c>
      <c r="N73" s="257">
        <f t="shared" ref="N73:N81" ca="1" si="122">K73/L73</f>
        <v>0.27528818863965898</v>
      </c>
      <c r="O73" s="258">
        <f t="shared" ref="O73:O81" ca="1" si="123">L73/L$10</f>
        <v>2.2027482920719765E-2</v>
      </c>
      <c r="P73" s="258">
        <f t="shared" ref="P73:P81" ca="1" si="124">M73/M$10</f>
        <v>2.4058535589163172E-2</v>
      </c>
      <c r="Q73" s="258">
        <f t="shared" ref="Q73:Q81" ca="1" si="125">I73/I$10</f>
        <v>1.2646399202591578E-2</v>
      </c>
      <c r="R73" s="259">
        <f t="shared" ref="R73:R81" ca="1" si="126">I73/$K$5*100</f>
        <v>5.496886000541565</v>
      </c>
      <c r="S73" s="545">
        <f t="shared" ref="S73:S81" ca="1" si="127">R73*T$5</f>
        <v>16.149562450278438</v>
      </c>
      <c r="T73" s="546">
        <f t="shared" ref="T73:T81" ca="1" si="128">IFERROR(S73*G73,0)</f>
        <v>2717183.7708830545</v>
      </c>
      <c r="U73" s="121"/>
      <c r="V73" s="364" t="str">
        <f t="shared" ref="V73:V81" ca="1" si="129">IF(B73&lt;&gt;"",IFERROR(IF($I73&gt;=$X$10,"High","Low"),""),"")</f>
        <v>High</v>
      </c>
      <c r="W73" s="364" t="str">
        <f t="shared" ref="W73:W81" ca="1" si="130">IF(B73&lt;&gt;"",IFERROR(IF($L73&gt;=$X$12,"High","Low"),""),"")</f>
        <v>High</v>
      </c>
      <c r="X73" s="328" t="str">
        <f t="shared" ref="X73:X81" ca="1" si="131">IF(B73&lt;&gt;"",IFERROR(IF(AND(V73="high",W73="high"),"Star",IF(AND(V73="low",W73="high"),"Puzzle",(IF(AND(V73="high",W73="low"),"Horse","Dog")))),""),"")</f>
        <v>Star</v>
      </c>
    </row>
    <row r="74" spans="1:39" ht="19.149999999999999" customHeight="1" x14ac:dyDescent="0.35">
      <c r="A74" s="366">
        <v>6</v>
      </c>
      <c r="B74" s="467" t="s">
        <v>499</v>
      </c>
      <c r="C74" s="365" t="str">
        <f>VLOOKUP(B74,'SG01'!$B:$E,2,0)</f>
        <v>Thăn Vai Bò Mỹ Nguyên Vị</v>
      </c>
      <c r="D74" s="365"/>
      <c r="E74" s="468" t="str">
        <f>VLOOKUP(B74,'SG01'!$B:$E,4,0)</f>
        <v>Phần</v>
      </c>
      <c r="F74" s="61">
        <f t="shared" ca="1" si="118"/>
        <v>52609.250980392164</v>
      </c>
      <c r="G74" s="61">
        <f t="shared" ca="1" si="119"/>
        <v>147333.33333333334</v>
      </c>
      <c r="H74" s="273">
        <f t="shared" ca="1" si="120"/>
        <v>94724.082352941186</v>
      </c>
      <c r="I74" s="255">
        <f ca="1">(SUMIF('SG01'!$B:$B,$B74,'SG01'!I:I)*SG01_+SUMIF('SG02'!$B:$B,$B74,'SG02'!I:I)*SG02_+SUMIF('SG03'!$B:$B,$B74,'SG03'!I:I)*SG03_+SUMIF('SG04'!$B:$B,$B74,'SG04'!I:I)*SG04_+SUMIF('SG05'!$B:$B,$B74,'SG05'!I:I)*SG05_+SUMIF('SG06'!$B:$B,$B74,'SG06'!I:I)*SG06_+SUMIF('SG07'!$B:$B,$B74,'SG07'!I:I)*SG07_+SUMIF('SG08'!$B:$B,$B74,'SG08'!I:I)*SG08_+SUMIF('SG09'!$B:$B,$B74,'SG09'!I:I)*SG09_+SUMIF('SG10'!$B:$B,$B74,'SG10'!I:I)*SG10_+SUMIF('SG11'!$B:$B,$B74,'SG11'!I:I)*SG11_+SUMIF('SG12'!$B:$B,$B74,'SG12'!I:I)*SG12_+SUMIF('SG13'!$B:$B,$B74,'SG13'!I:I)*SG13_+SUMIF('SG14'!$B:$B,$B74,'SG14'!I:I)*SG14_+SUMIF('SG15'!$B:$B,$B74,'SG15'!I:I)*SG15_)</f>
        <v>180</v>
      </c>
      <c r="J74" s="256"/>
      <c r="K74" s="61">
        <f ca="1">(SUMIF('SG01'!$B:$B,$B74,'SG01'!K:K)*SG01_+SUMIF('SG02'!$B:$B,$B74,'SG02'!K:K)*SG02_+SUMIF('SG03'!$B:$B,$B74,'SG03'!K:K)*SG03_+SUMIF('SG04'!$B:$B,$B74,'SG04'!K:K)*SG04_+SUMIF('SG05'!$B:$B,$B74,'SG05'!K:K)*SG05_+SUMIF('SG06'!$B:$B,$B74,'SG06'!K:K)*SG06_+SUMIF('SG07'!$B:$B,$B74,'SG07'!K:K)*SG07_+SUMIF('SG08'!$B:$B,$B74,'SG08'!K:K)*SG08_+SUMIF('SG09'!$B:$B,$B74,'SG09'!K:K)*SG09_+SUMIF('SG10'!$B:$B,$B74,'SG10'!K:K)*SG10_+SUMIF('SG11'!$B:$B,$B74,'SG11'!K:K)*SG11_+SUMIF('SG12'!$B:$B,$B74,'SG12'!K:K)*SG12_+SUMIF('SG13'!$B:$B,$B74,'SG13'!K:K)*SG13_+SUMIF('SG14'!$B:$B,$B74,'SG14'!K:K)*SG14_+SUMIF('SG15'!$B:$B,$B74,'SG15'!K:K)*SG15_)</f>
        <v>9469665.1764705889</v>
      </c>
      <c r="L74" s="61">
        <f ca="1">(SUMIF('SG01'!$B:$B,$B74,'SG01'!L:L)*SG01_+SUMIF('SG02'!$B:$B,$B74,'SG02'!L:L)*SG02_+SUMIF('SG03'!$B:$B,$B74,'SG03'!L:L)*SG03_+SUMIF('SG04'!$B:$B,$B74,'SG04'!L:L)*SG04_+SUMIF('SG05'!$B:$B,$B74,'SG05'!L:L)*SG05_+SUMIF('SG06'!$B:$B,$B74,'SG06'!L:L)*SG06_+SUMIF('SG07'!$B:$B,$B74,'SG07'!L:L)*SG07_+SUMIF('SG08'!$B:$B,$B74,'SG08'!L:L)*SG08_+SUMIF('SG09'!$B:$B,$B74,'SG09'!L:L)*SG09_+SUMIF('SG10'!$B:$B,$B74,'SG10'!L:L)*SG10_+SUMIF('SG11'!$B:$B,$B74,'SG11'!L:L)*SG11_+SUMIF('SG12'!$B:$B,$B74,'SG12'!L:L)*SG12_+SUMIF('SG13'!$B:$B,$B74,'SG13'!L:L)*SG13_+SUMIF('SG14'!$B:$B,$B74,'SG14'!L:L)*SG14_+SUMIF('SG15'!$B:$B,$B74,'SG15'!L:L)*SG15_)</f>
        <v>26520000</v>
      </c>
      <c r="M74" s="253">
        <f t="shared" ca="1" si="121"/>
        <v>17050334.823529411</v>
      </c>
      <c r="N74" s="257">
        <f t="shared" ca="1" si="122"/>
        <v>0.3570763641203088</v>
      </c>
      <c r="O74" s="258">
        <f t="shared" ca="1" si="123"/>
        <v>1.7103464999487283E-2</v>
      </c>
      <c r="P74" s="258">
        <f t="shared" ca="1" si="124"/>
        <v>1.6572287979844818E-2</v>
      </c>
      <c r="Q74" s="258">
        <f t="shared" ca="1" si="125"/>
        <v>1.121355594318465E-2</v>
      </c>
      <c r="R74" s="259">
        <f t="shared" ca="1" si="126"/>
        <v>4.8740861088545895</v>
      </c>
      <c r="S74" s="545">
        <f t="shared" ca="1" si="127"/>
        <v>14.319809069212409</v>
      </c>
      <c r="T74" s="546">
        <f t="shared" ca="1" si="128"/>
        <v>2109785.2028639619</v>
      </c>
      <c r="U74" s="121"/>
      <c r="V74" s="364" t="str">
        <f t="shared" ca="1" si="129"/>
        <v>High</v>
      </c>
      <c r="W74" s="364" t="str">
        <f t="shared" ca="1" si="130"/>
        <v>High</v>
      </c>
      <c r="X74" s="328" t="str">
        <f t="shared" ca="1" si="131"/>
        <v>Star</v>
      </c>
    </row>
    <row r="75" spans="1:39" ht="19.149999999999999" customHeight="1" x14ac:dyDescent="0.35">
      <c r="A75" s="366">
        <v>7</v>
      </c>
      <c r="B75" s="467" t="s">
        <v>500</v>
      </c>
      <c r="C75" s="365" t="str">
        <f>VLOOKUP(B75,'SG01'!$B:$E,2,0)</f>
        <v>Thăn Vai Bò Mỹ Xốt G.Master</v>
      </c>
      <c r="D75" s="365"/>
      <c r="E75" s="468" t="str">
        <f>VLOOKUP(B75,'SG01'!$B:$E,4,0)</f>
        <v>Phần</v>
      </c>
      <c r="F75" s="61">
        <f t="shared" ca="1" si="118"/>
        <v>52901.080717488789</v>
      </c>
      <c r="G75" s="61">
        <f t="shared" ca="1" si="119"/>
        <v>148036.80981595092</v>
      </c>
      <c r="H75" s="273">
        <f t="shared" ca="1" si="120"/>
        <v>95135.729098462136</v>
      </c>
      <c r="I75" s="255">
        <f ca="1">(SUMIF('SG01'!$B:$B,$B75,'SG01'!I:I)*SG01_+SUMIF('SG02'!$B:$B,$B75,'SG02'!I:I)*SG02_+SUMIF('SG03'!$B:$B,$B75,'SG03'!I:I)*SG03_+SUMIF('SG04'!$B:$B,$B75,'SG04'!I:I)*SG04_+SUMIF('SG05'!$B:$B,$B75,'SG05'!I:I)*SG05_+SUMIF('SG06'!$B:$B,$B75,'SG06'!I:I)*SG06_+SUMIF('SG07'!$B:$B,$B75,'SG07'!I:I)*SG07_+SUMIF('SG08'!$B:$B,$B75,'SG08'!I:I)*SG08_+SUMIF('SG09'!$B:$B,$B75,'SG09'!I:I)*SG09_+SUMIF('SG10'!$B:$B,$B75,'SG10'!I:I)*SG10_+SUMIF('SG11'!$B:$B,$B75,'SG11'!I:I)*SG11_+SUMIF('SG12'!$B:$B,$B75,'SG12'!I:I)*SG12_+SUMIF('SG13'!$B:$B,$B75,'SG13'!I:I)*SG13_+SUMIF('SG14'!$B:$B,$B75,'SG14'!I:I)*SG14_+SUMIF('SG15'!$B:$B,$B75,'SG15'!I:I)*SG15_)</f>
        <v>163</v>
      </c>
      <c r="J75" s="256"/>
      <c r="K75" s="61">
        <f ca="1">(SUMIF('SG01'!$B:$B,$B75,'SG01'!K:K)*SG01_+SUMIF('SG02'!$B:$B,$B75,'SG02'!K:K)*SG02_+SUMIF('SG03'!$B:$B,$B75,'SG03'!K:K)*SG03_+SUMIF('SG04'!$B:$B,$B75,'SG04'!K:K)*SG04_+SUMIF('SG05'!$B:$B,$B75,'SG05'!K:K)*SG05_+SUMIF('SG06'!$B:$B,$B75,'SG06'!K:K)*SG06_+SUMIF('SG07'!$B:$B,$B75,'SG07'!K:K)*SG07_+SUMIF('SG08'!$B:$B,$B75,'SG08'!K:K)*SG08_+SUMIF('SG09'!$B:$B,$B75,'SG09'!K:K)*SG09_+SUMIF('SG10'!$B:$B,$B75,'SG10'!K:K)*SG10_+SUMIF('SG11'!$B:$B,$B75,'SG11'!K:K)*SG11_+SUMIF('SG12'!$B:$B,$B75,'SG12'!K:K)*SG12_+SUMIF('SG13'!$B:$B,$B75,'SG13'!K:K)*SG13_+SUMIF('SG14'!$B:$B,$B75,'SG14'!K:K)*SG14_+SUMIF('SG15'!$B:$B,$B75,'SG15'!K:K)*SG15_)</f>
        <v>8622876.1569506731</v>
      </c>
      <c r="L75" s="61">
        <f ca="1">(SUMIF('SG01'!$B:$B,$B75,'SG01'!L:L)*SG01_+SUMIF('SG02'!$B:$B,$B75,'SG02'!L:L)*SG02_+SUMIF('SG03'!$B:$B,$B75,'SG03'!L:L)*SG03_+SUMIF('SG04'!$B:$B,$B75,'SG04'!L:L)*SG04_+SUMIF('SG05'!$B:$B,$B75,'SG05'!L:L)*SG05_+SUMIF('SG06'!$B:$B,$B75,'SG06'!L:L)*SG06_+SUMIF('SG07'!$B:$B,$B75,'SG07'!L:L)*SG07_+SUMIF('SG08'!$B:$B,$B75,'SG08'!L:L)*SG08_+SUMIF('SG09'!$B:$B,$B75,'SG09'!L:L)*SG09_+SUMIF('SG10'!$B:$B,$B75,'SG10'!L:L)*SG10_+SUMIF('SG11'!$B:$B,$B75,'SG11'!L:L)*SG11_+SUMIF('SG12'!$B:$B,$B75,'SG12'!L:L)*SG12_+SUMIF('SG13'!$B:$B,$B75,'SG13'!L:L)*SG13_+SUMIF('SG14'!$B:$B,$B75,'SG14'!L:L)*SG14_+SUMIF('SG15'!$B:$B,$B75,'SG15'!L:L)*SG15_)</f>
        <v>24130000</v>
      </c>
      <c r="M75" s="253">
        <f t="shared" ca="1" si="121"/>
        <v>15507123.843049327</v>
      </c>
      <c r="N75" s="257">
        <f t="shared" ca="1" si="122"/>
        <v>0.35735085606923633</v>
      </c>
      <c r="O75" s="258">
        <f t="shared" ca="1" si="123"/>
        <v>1.5562089383017652E-2</v>
      </c>
      <c r="P75" s="258">
        <f t="shared" ca="1" si="124"/>
        <v>1.5072344603549247E-2</v>
      </c>
      <c r="Q75" s="258">
        <f t="shared" ca="1" si="125"/>
        <v>1.0154497881883877E-2</v>
      </c>
      <c r="R75" s="259">
        <f t="shared" ca="1" si="126"/>
        <v>4.4137557541294345</v>
      </c>
      <c r="S75" s="545">
        <f t="shared" ca="1" si="127"/>
        <v>12.967382657120128</v>
      </c>
      <c r="T75" s="546">
        <f t="shared" ca="1" si="128"/>
        <v>1919649.9602227528</v>
      </c>
      <c r="U75" s="121"/>
      <c r="V75" s="364" t="str">
        <f t="shared" ca="1" si="129"/>
        <v>High</v>
      </c>
      <c r="W75" s="364" t="str">
        <f t="shared" ca="1" si="130"/>
        <v>High</v>
      </c>
      <c r="X75" s="328" t="str">
        <f t="shared" ca="1" si="131"/>
        <v>Star</v>
      </c>
    </row>
    <row r="76" spans="1:39" ht="19.149999999999999" customHeight="1" x14ac:dyDescent="0.35">
      <c r="A76" s="366">
        <v>8</v>
      </c>
      <c r="B76" s="467" t="s">
        <v>501</v>
      </c>
      <c r="C76" s="365" t="str">
        <f>VLOOKUP(B76,'SG01'!$B:$E,2,0)</f>
        <v>Lưỡi Bò Mỹ Nguyên Vị</v>
      </c>
      <c r="D76" s="365"/>
      <c r="E76" s="468" t="str">
        <f>VLOOKUP(B76,'SG01'!$B:$E,4,0)</f>
        <v>Phần</v>
      </c>
      <c r="F76" s="61">
        <f t="shared" ca="1" si="118"/>
        <v>38015.491666666669</v>
      </c>
      <c r="G76" s="61">
        <f t="shared" ca="1" si="119"/>
        <v>111416.66666666667</v>
      </c>
      <c r="H76" s="273">
        <f t="shared" ca="1" si="120"/>
        <v>73401.175000000003</v>
      </c>
      <c r="I76" s="255">
        <f ca="1">(SUMIF('SG01'!$B:$B,$B76,'SG01'!I:I)*SG01_+SUMIF('SG02'!$B:$B,$B76,'SG02'!I:I)*SG02_+SUMIF('SG03'!$B:$B,$B76,'SG03'!I:I)*SG03_+SUMIF('SG04'!$B:$B,$B76,'SG04'!I:I)*SG04_+SUMIF('SG05'!$B:$B,$B76,'SG05'!I:I)*SG05_+SUMIF('SG06'!$B:$B,$B76,'SG06'!I:I)*SG06_+SUMIF('SG07'!$B:$B,$B76,'SG07'!I:I)*SG07_+SUMIF('SG08'!$B:$B,$B76,'SG08'!I:I)*SG08_+SUMIF('SG09'!$B:$B,$B76,'SG09'!I:I)*SG09_+SUMIF('SG10'!$B:$B,$B76,'SG10'!I:I)*SG10_+SUMIF('SG11'!$B:$B,$B76,'SG11'!I:I)*SG11_+SUMIF('SG12'!$B:$B,$B76,'SG12'!I:I)*SG12_+SUMIF('SG13'!$B:$B,$B76,'SG13'!I:I)*SG13_+SUMIF('SG14'!$B:$B,$B76,'SG14'!I:I)*SG14_+SUMIF('SG15'!$B:$B,$B76,'SG15'!I:I)*SG15_)</f>
        <v>120</v>
      </c>
      <c r="J76" s="256"/>
      <c r="K76" s="61">
        <f ca="1">(SUMIF('SG01'!$B:$B,$B76,'SG01'!K:K)*SG01_+SUMIF('SG02'!$B:$B,$B76,'SG02'!K:K)*SG02_+SUMIF('SG03'!$B:$B,$B76,'SG03'!K:K)*SG03_+SUMIF('SG04'!$B:$B,$B76,'SG04'!K:K)*SG04_+SUMIF('SG05'!$B:$B,$B76,'SG05'!K:K)*SG05_+SUMIF('SG06'!$B:$B,$B76,'SG06'!K:K)*SG06_+SUMIF('SG07'!$B:$B,$B76,'SG07'!K:K)*SG07_+SUMIF('SG08'!$B:$B,$B76,'SG08'!K:K)*SG08_+SUMIF('SG09'!$B:$B,$B76,'SG09'!K:K)*SG09_+SUMIF('SG10'!$B:$B,$B76,'SG10'!K:K)*SG10_+SUMIF('SG11'!$B:$B,$B76,'SG11'!K:K)*SG11_+SUMIF('SG12'!$B:$B,$B76,'SG12'!K:K)*SG12_+SUMIF('SG13'!$B:$B,$B76,'SG13'!K:K)*SG13_+SUMIF('SG14'!$B:$B,$B76,'SG14'!K:K)*SG14_+SUMIF('SG15'!$B:$B,$B76,'SG15'!K:K)*SG15_)</f>
        <v>4561859</v>
      </c>
      <c r="L76" s="61">
        <f ca="1">(SUMIF('SG01'!$B:$B,$B76,'SG01'!L:L)*SG01_+SUMIF('SG02'!$B:$B,$B76,'SG02'!L:L)*SG02_+SUMIF('SG03'!$B:$B,$B76,'SG03'!L:L)*SG03_+SUMIF('SG04'!$B:$B,$B76,'SG04'!L:L)*SG04_+SUMIF('SG05'!$B:$B,$B76,'SG05'!L:L)*SG05_+SUMIF('SG06'!$B:$B,$B76,'SG06'!L:L)*SG06_+SUMIF('SG07'!$B:$B,$B76,'SG07'!L:L)*SG07_+SUMIF('SG08'!$B:$B,$B76,'SG08'!L:L)*SG08_+SUMIF('SG09'!$B:$B,$B76,'SG09'!L:L)*SG09_+SUMIF('SG10'!$B:$B,$B76,'SG10'!L:L)*SG10_+SUMIF('SG11'!$B:$B,$B76,'SG11'!L:L)*SG11_+SUMIF('SG12'!$B:$B,$B76,'SG12'!L:L)*SG12_+SUMIF('SG13'!$B:$B,$B76,'SG13'!L:L)*SG13_+SUMIF('SG14'!$B:$B,$B76,'SG14'!L:L)*SG14_+SUMIF('SG15'!$B:$B,$B76,'SG15'!L:L)*SG15_)</f>
        <v>13370000</v>
      </c>
      <c r="M76" s="253">
        <f t="shared" ca="1" si="121"/>
        <v>8808141</v>
      </c>
      <c r="N76" s="257">
        <f t="shared" ca="1" si="122"/>
        <v>0.34120112191473451</v>
      </c>
      <c r="O76" s="258">
        <f t="shared" ca="1" si="123"/>
        <v>8.622674473723415E-3</v>
      </c>
      <c r="P76" s="258">
        <f t="shared" ca="1" si="124"/>
        <v>8.5611837380248218E-3</v>
      </c>
      <c r="Q76" s="258">
        <f t="shared" ca="1" si="125"/>
        <v>7.4757039621231001E-3</v>
      </c>
      <c r="R76" s="259">
        <f t="shared" ca="1" si="126"/>
        <v>3.249390739236393</v>
      </c>
      <c r="S76" s="545">
        <f t="shared" ca="1" si="127"/>
        <v>9.5465393794749396</v>
      </c>
      <c r="T76" s="546">
        <f t="shared" ca="1" si="128"/>
        <v>1063643.5958631663</v>
      </c>
      <c r="U76" s="121"/>
      <c r="V76" s="364" t="str">
        <f t="shared" ca="1" si="129"/>
        <v>High</v>
      </c>
      <c r="W76" s="364" t="str">
        <f t="shared" ca="1" si="130"/>
        <v>High</v>
      </c>
      <c r="X76" s="328" t="str">
        <f t="shared" ca="1" si="131"/>
        <v>Star</v>
      </c>
    </row>
    <row r="77" spans="1:39" ht="19.149999999999999" customHeight="1" x14ac:dyDescent="0.35">
      <c r="A77" s="366">
        <v>9</v>
      </c>
      <c r="B77" s="467" t="s">
        <v>503</v>
      </c>
      <c r="C77" s="365" t="str">
        <f>VLOOKUP(B77,'SG01'!$B:$E,2,0)</f>
        <v>Thăn Bò Hoàng Đế Thượng Hạng</v>
      </c>
      <c r="D77" s="365"/>
      <c r="E77" s="468" t="str">
        <f>VLOOKUP(B77,'SG01'!$B:$E,4,0)</f>
        <v>Phần</v>
      </c>
      <c r="F77" s="61" t="e">
        <f t="shared" ref="F77:F79" ca="1" si="132">K77/I77</f>
        <v>#DIV/0!</v>
      </c>
      <c r="G77" s="61" t="e">
        <f t="shared" ref="G77:G79" ca="1" si="133">L77/I77</f>
        <v>#DIV/0!</v>
      </c>
      <c r="H77" s="273" t="e">
        <f t="shared" ref="H77:H79" ca="1" si="134">G77-F77</f>
        <v>#DIV/0!</v>
      </c>
      <c r="I77" s="255">
        <f ca="1">(SUMIF('SG01'!$B:$B,$B77,'SG01'!I:I)*SG01_+SUMIF('SG02'!$B:$B,$B77,'SG02'!I:I)*SG02_+SUMIF('SG03'!$B:$B,$B77,'SG03'!I:I)*SG03_+SUMIF('SG04'!$B:$B,$B77,'SG04'!I:I)*SG04_+SUMIF('SG05'!$B:$B,$B77,'SG05'!I:I)*SG05_+SUMIF('SG06'!$B:$B,$B77,'SG06'!I:I)*SG06_+SUMIF('SG07'!$B:$B,$B77,'SG07'!I:I)*SG07_+SUMIF('SG08'!$B:$B,$B77,'SG08'!I:I)*SG08_+SUMIF('SG09'!$B:$B,$B77,'SG09'!I:I)*SG09_+SUMIF('SG10'!$B:$B,$B77,'SG10'!I:I)*SG10_+SUMIF('SG11'!$B:$B,$B77,'SG11'!I:I)*SG11_+SUMIF('SG12'!$B:$B,$B77,'SG12'!I:I)*SG12_+SUMIF('SG13'!$B:$B,$B77,'SG13'!I:I)*SG13_+SUMIF('SG14'!$B:$B,$B77,'SG14'!I:I)*SG14_+SUMIF('SG15'!$B:$B,$B77,'SG15'!I:I)*SG15_)</f>
        <v>0</v>
      </c>
      <c r="J77" s="256"/>
      <c r="K77" s="61">
        <f ca="1">(SUMIF('SG01'!$B:$B,$B77,'SG01'!K:K)*SG01_+SUMIF('SG02'!$B:$B,$B77,'SG02'!K:K)*SG02_+SUMIF('SG03'!$B:$B,$B77,'SG03'!K:K)*SG03_+SUMIF('SG04'!$B:$B,$B77,'SG04'!K:K)*SG04_+SUMIF('SG05'!$B:$B,$B77,'SG05'!K:K)*SG05_+SUMIF('SG06'!$B:$B,$B77,'SG06'!K:K)*SG06_+SUMIF('SG07'!$B:$B,$B77,'SG07'!K:K)*SG07_+SUMIF('SG08'!$B:$B,$B77,'SG08'!K:K)*SG08_+SUMIF('SG09'!$B:$B,$B77,'SG09'!K:K)*SG09_+SUMIF('SG10'!$B:$B,$B77,'SG10'!K:K)*SG10_+SUMIF('SG11'!$B:$B,$B77,'SG11'!K:K)*SG11_+SUMIF('SG12'!$B:$B,$B77,'SG12'!K:K)*SG12_+SUMIF('SG13'!$B:$B,$B77,'SG13'!K:K)*SG13_+SUMIF('SG14'!$B:$B,$B77,'SG14'!K:K)*SG14_+SUMIF('SG15'!$B:$B,$B77,'SG15'!K:K)*SG15_)</f>
        <v>0</v>
      </c>
      <c r="L77" s="61">
        <f ca="1">(SUMIF('SG01'!$B:$B,$B77,'SG01'!L:L)*SG01_+SUMIF('SG02'!$B:$B,$B77,'SG02'!L:L)*SG02_+SUMIF('SG03'!$B:$B,$B77,'SG03'!L:L)*SG03_+SUMIF('SG04'!$B:$B,$B77,'SG04'!L:L)*SG04_+SUMIF('SG05'!$B:$B,$B77,'SG05'!L:L)*SG05_+SUMIF('SG06'!$B:$B,$B77,'SG06'!L:L)*SG06_+SUMIF('SG07'!$B:$B,$B77,'SG07'!L:L)*SG07_+SUMIF('SG08'!$B:$B,$B77,'SG08'!L:L)*SG08_+SUMIF('SG09'!$B:$B,$B77,'SG09'!L:L)*SG09_+SUMIF('SG10'!$B:$B,$B77,'SG10'!L:L)*SG10_+SUMIF('SG11'!$B:$B,$B77,'SG11'!L:L)*SG11_+SUMIF('SG12'!$B:$B,$B77,'SG12'!L:L)*SG12_+SUMIF('SG13'!$B:$B,$B77,'SG13'!L:L)*SG13_+SUMIF('SG14'!$B:$B,$B77,'SG14'!L:L)*SG14_+SUMIF('SG15'!$B:$B,$B77,'SG15'!L:L)*SG15_)</f>
        <v>0</v>
      </c>
      <c r="M77" s="253">
        <f t="shared" ref="M77:M79" ca="1" si="135">L77-K77</f>
        <v>0</v>
      </c>
      <c r="N77" s="257" t="e">
        <f t="shared" ref="N77:N79" ca="1" si="136">K77/L77</f>
        <v>#DIV/0!</v>
      </c>
      <c r="O77" s="258">
        <f t="shared" ref="O77:O79" ca="1" si="137">L77/L$10</f>
        <v>0</v>
      </c>
      <c r="P77" s="258">
        <f t="shared" ref="P77:P79" ca="1" si="138">M77/M$10</f>
        <v>0</v>
      </c>
      <c r="Q77" s="258">
        <f t="shared" ref="Q77:Q79" ca="1" si="139">I77/I$10</f>
        <v>0</v>
      </c>
      <c r="R77" s="259">
        <f t="shared" ref="R77:R79" ca="1" si="140">I77/$K$5*100</f>
        <v>0</v>
      </c>
      <c r="S77" s="545">
        <f t="shared" ref="S77:S79" ca="1" si="141">R77*T$5</f>
        <v>0</v>
      </c>
      <c r="T77" s="546">
        <f t="shared" ref="T77:T79" ca="1" si="142">IFERROR(S77*G77,0)</f>
        <v>0</v>
      </c>
      <c r="U77" s="121"/>
      <c r="V77" s="364" t="str">
        <f t="shared" ref="V77:V79" ca="1" si="143">IF(B77&lt;&gt;"",IFERROR(IF($I77&gt;=$X$10,"High","Low"),""),"")</f>
        <v>Low</v>
      </c>
      <c r="W77" s="364" t="str">
        <f t="shared" ref="W77:W79" ca="1" si="144">IF(B77&lt;&gt;"",IFERROR(IF($L77&gt;=$X$12,"High","Low"),""),"")</f>
        <v>Low</v>
      </c>
      <c r="X77" s="328" t="str">
        <f t="shared" ref="X77:X79" ca="1" si="145">IF(B77&lt;&gt;"",IFERROR(IF(AND(V77="high",W77="high"),"Star",IF(AND(V77="low",W77="high"),"Puzzle",(IF(AND(V77="high",W77="low"),"Horse","Dog")))),""),"")</f>
        <v>Dog</v>
      </c>
    </row>
    <row r="78" spans="1:39" ht="19.149999999999999" customHeight="1" x14ac:dyDescent="0.35">
      <c r="A78" s="366">
        <v>10</v>
      </c>
      <c r="B78" s="467" t="s">
        <v>555</v>
      </c>
      <c r="C78" s="365" t="str">
        <f>VLOOKUP(B78,'SG01'!$B:$E,2,0)</f>
        <v>Sườn Bò Wagyu Nhật Thượng Hạng Otoro A5</v>
      </c>
      <c r="D78" s="365"/>
      <c r="E78" s="468" t="str">
        <f>VLOOKUP(B78,'SG01'!$B:$E,4,0)</f>
        <v>Phần</v>
      </c>
      <c r="F78" s="61">
        <f t="shared" ca="1" si="132"/>
        <v>172221.1573033708</v>
      </c>
      <c r="G78" s="61">
        <f t="shared" ca="1" si="133"/>
        <v>622309.09090909094</v>
      </c>
      <c r="H78" s="273">
        <f t="shared" ca="1" si="134"/>
        <v>450087.93360572017</v>
      </c>
      <c r="I78" s="255">
        <f ca="1">(SUMIF('SG01'!$B:$B,$B78,'SG01'!I:I)*SG01_+SUMIF('SG02'!$B:$B,$B78,'SG02'!I:I)*SG02_+SUMIF('SG03'!$B:$B,$B78,'SG03'!I:I)*SG03_+SUMIF('SG04'!$B:$B,$B78,'SG04'!I:I)*SG04_+SUMIF('SG05'!$B:$B,$B78,'SG05'!I:I)*SG05_+SUMIF('SG06'!$B:$B,$B78,'SG06'!I:I)*SG06_+SUMIF('SG07'!$B:$B,$B78,'SG07'!I:I)*SG07_+SUMIF('SG08'!$B:$B,$B78,'SG08'!I:I)*SG08_+SUMIF('SG09'!$B:$B,$B78,'SG09'!I:I)*SG09_+SUMIF('SG10'!$B:$B,$B78,'SG10'!I:I)*SG10_+SUMIF('SG11'!$B:$B,$B78,'SG11'!I:I)*SG11_+SUMIF('SG12'!$B:$B,$B78,'SG12'!I:I)*SG12_+SUMIF('SG13'!$B:$B,$B78,'SG13'!I:I)*SG13_+SUMIF('SG14'!$B:$B,$B78,'SG14'!I:I)*SG14_+SUMIF('SG15'!$B:$B,$B78,'SG15'!I:I)*SG15_)</f>
        <v>55</v>
      </c>
      <c r="J78" s="256"/>
      <c r="K78" s="61">
        <f ca="1">(SUMIF('SG01'!$B:$B,$B78,'SG01'!K:K)*SG01_+SUMIF('SG02'!$B:$B,$B78,'SG02'!K:K)*SG02_+SUMIF('SG03'!$B:$B,$B78,'SG03'!K:K)*SG03_+SUMIF('SG04'!$B:$B,$B78,'SG04'!K:K)*SG04_+SUMIF('SG05'!$B:$B,$B78,'SG05'!K:K)*SG05_+SUMIF('SG06'!$B:$B,$B78,'SG06'!K:K)*SG06_+SUMIF('SG07'!$B:$B,$B78,'SG07'!K:K)*SG07_+SUMIF('SG08'!$B:$B,$B78,'SG08'!K:K)*SG08_+SUMIF('SG09'!$B:$B,$B78,'SG09'!K:K)*SG09_+SUMIF('SG10'!$B:$B,$B78,'SG10'!K:K)*SG10_+SUMIF('SG11'!$B:$B,$B78,'SG11'!K:K)*SG11_+SUMIF('SG12'!$B:$B,$B78,'SG12'!K:K)*SG12_+SUMIF('SG13'!$B:$B,$B78,'SG13'!K:K)*SG13_+SUMIF('SG14'!$B:$B,$B78,'SG14'!K:K)*SG14_+SUMIF('SG15'!$B:$B,$B78,'SG15'!K:K)*SG15_)</f>
        <v>9472163.6516853943</v>
      </c>
      <c r="L78" s="61">
        <f ca="1">(SUMIF('SG01'!$B:$B,$B78,'SG01'!L:L)*SG01_+SUMIF('SG02'!$B:$B,$B78,'SG02'!L:L)*SG02_+SUMIF('SG03'!$B:$B,$B78,'SG03'!L:L)*SG03_+SUMIF('SG04'!$B:$B,$B78,'SG04'!L:L)*SG04_+SUMIF('SG05'!$B:$B,$B78,'SG05'!L:L)*SG05_+SUMIF('SG06'!$B:$B,$B78,'SG06'!L:L)*SG06_+SUMIF('SG07'!$B:$B,$B78,'SG07'!L:L)*SG07_+SUMIF('SG08'!$B:$B,$B78,'SG08'!L:L)*SG08_+SUMIF('SG09'!$B:$B,$B78,'SG09'!L:L)*SG09_+SUMIF('SG10'!$B:$B,$B78,'SG10'!L:L)*SG10_+SUMIF('SG11'!$B:$B,$B78,'SG11'!L:L)*SG11_+SUMIF('SG12'!$B:$B,$B78,'SG12'!L:L)*SG12_+SUMIF('SG13'!$B:$B,$B78,'SG13'!L:L)*SG13_+SUMIF('SG14'!$B:$B,$B78,'SG14'!L:L)*SG14_+SUMIF('SG15'!$B:$B,$B78,'SG15'!L:L)*SG15_)</f>
        <v>34227000</v>
      </c>
      <c r="M78" s="253">
        <f t="shared" ca="1" si="135"/>
        <v>24754836.348314606</v>
      </c>
      <c r="N78" s="257">
        <f t="shared" ca="1" si="136"/>
        <v>0.2767453662805795</v>
      </c>
      <c r="O78" s="258">
        <f t="shared" ca="1" si="137"/>
        <v>2.2073917667324708E-2</v>
      </c>
      <c r="P78" s="258">
        <f t="shared" ca="1" si="138"/>
        <v>2.4060775410232053E-2</v>
      </c>
      <c r="Q78" s="258">
        <f t="shared" ca="1" si="139"/>
        <v>3.4263643159730874E-3</v>
      </c>
      <c r="R78" s="259">
        <f t="shared" ca="1" si="140"/>
        <v>1.4893040888166802</v>
      </c>
      <c r="S78" s="545">
        <f t="shared" ca="1" si="141"/>
        <v>4.3754972155926808</v>
      </c>
      <c r="T78" s="546">
        <f t="shared" ca="1" si="142"/>
        <v>2722911.6945107398</v>
      </c>
      <c r="U78" s="121"/>
      <c r="V78" s="364" t="str">
        <f t="shared" ca="1" si="143"/>
        <v>Low</v>
      </c>
      <c r="W78" s="364" t="str">
        <f t="shared" ca="1" si="144"/>
        <v>High</v>
      </c>
      <c r="X78" s="328" t="str">
        <f t="shared" ca="1" si="145"/>
        <v>Puzzle</v>
      </c>
    </row>
    <row r="79" spans="1:39" ht="19.149999999999999" customHeight="1" x14ac:dyDescent="0.35">
      <c r="A79" s="366">
        <v>11</v>
      </c>
      <c r="B79" s="467" t="s">
        <v>570</v>
      </c>
      <c r="C79" s="365" t="str">
        <f>VLOOKUP(B79,'SG01'!$B:$E,2,0)</f>
        <v>Sườn Bò Nướng Thượng Hạng</v>
      </c>
      <c r="D79" s="365"/>
      <c r="E79" s="468" t="str">
        <f>VLOOKUP(B79,'SG01'!$B:$E,4,0)</f>
        <v>Phần</v>
      </c>
      <c r="F79" s="61" t="e">
        <f t="shared" ca="1" si="132"/>
        <v>#DIV/0!</v>
      </c>
      <c r="G79" s="61" t="e">
        <f t="shared" ca="1" si="133"/>
        <v>#DIV/0!</v>
      </c>
      <c r="H79" s="273" t="e">
        <f t="shared" ca="1" si="134"/>
        <v>#DIV/0!</v>
      </c>
      <c r="I79" s="255">
        <f ca="1">(SUMIF('SG01'!$B:$B,$B79,'SG01'!I:I)*SG01_+SUMIF('SG02'!$B:$B,$B79,'SG02'!I:I)*SG02_+SUMIF('SG03'!$B:$B,$B79,'SG03'!I:I)*SG03_+SUMIF('SG04'!$B:$B,$B79,'SG04'!I:I)*SG04_+SUMIF('SG05'!$B:$B,$B79,'SG05'!I:I)*SG05_+SUMIF('SG06'!$B:$B,$B79,'SG06'!I:I)*SG06_+SUMIF('SG07'!$B:$B,$B79,'SG07'!I:I)*SG07_+SUMIF('SG08'!$B:$B,$B79,'SG08'!I:I)*SG08_+SUMIF('SG09'!$B:$B,$B79,'SG09'!I:I)*SG09_+SUMIF('SG10'!$B:$B,$B79,'SG10'!I:I)*SG10_+SUMIF('SG11'!$B:$B,$B79,'SG11'!I:I)*SG11_+SUMIF('SG12'!$B:$B,$B79,'SG12'!I:I)*SG12_+SUMIF('SG13'!$B:$B,$B79,'SG13'!I:I)*SG13_+SUMIF('SG14'!$B:$B,$B79,'SG14'!I:I)*SG14_+SUMIF('SG15'!$B:$B,$B79,'SG15'!I:I)*SG15_)</f>
        <v>0</v>
      </c>
      <c r="J79" s="256"/>
      <c r="K79" s="61">
        <f ca="1">(SUMIF('SG01'!$B:$B,$B79,'SG01'!K:K)*SG01_+SUMIF('SG02'!$B:$B,$B79,'SG02'!K:K)*SG02_+SUMIF('SG03'!$B:$B,$B79,'SG03'!K:K)*SG03_+SUMIF('SG04'!$B:$B,$B79,'SG04'!K:K)*SG04_+SUMIF('SG05'!$B:$B,$B79,'SG05'!K:K)*SG05_+SUMIF('SG06'!$B:$B,$B79,'SG06'!K:K)*SG06_+SUMIF('SG07'!$B:$B,$B79,'SG07'!K:K)*SG07_+SUMIF('SG08'!$B:$B,$B79,'SG08'!K:K)*SG08_+SUMIF('SG09'!$B:$B,$B79,'SG09'!K:K)*SG09_+SUMIF('SG10'!$B:$B,$B79,'SG10'!K:K)*SG10_+SUMIF('SG11'!$B:$B,$B79,'SG11'!K:K)*SG11_+SUMIF('SG12'!$B:$B,$B79,'SG12'!K:K)*SG12_+SUMIF('SG13'!$B:$B,$B79,'SG13'!K:K)*SG13_+SUMIF('SG14'!$B:$B,$B79,'SG14'!K:K)*SG14_+SUMIF('SG15'!$B:$B,$B79,'SG15'!K:K)*SG15_)</f>
        <v>0</v>
      </c>
      <c r="L79" s="61">
        <f ca="1">(SUMIF('SG01'!$B:$B,$B79,'SG01'!L:L)*SG01_+SUMIF('SG02'!$B:$B,$B79,'SG02'!L:L)*SG02_+SUMIF('SG03'!$B:$B,$B79,'SG03'!L:L)*SG03_+SUMIF('SG04'!$B:$B,$B79,'SG04'!L:L)*SG04_+SUMIF('SG05'!$B:$B,$B79,'SG05'!L:L)*SG05_+SUMIF('SG06'!$B:$B,$B79,'SG06'!L:L)*SG06_+SUMIF('SG07'!$B:$B,$B79,'SG07'!L:L)*SG07_+SUMIF('SG08'!$B:$B,$B79,'SG08'!L:L)*SG08_+SUMIF('SG09'!$B:$B,$B79,'SG09'!L:L)*SG09_+SUMIF('SG10'!$B:$B,$B79,'SG10'!L:L)*SG10_+SUMIF('SG11'!$B:$B,$B79,'SG11'!L:L)*SG11_+SUMIF('SG12'!$B:$B,$B79,'SG12'!L:L)*SG12_+SUMIF('SG13'!$B:$B,$B79,'SG13'!L:L)*SG13_+SUMIF('SG14'!$B:$B,$B79,'SG14'!L:L)*SG14_+SUMIF('SG15'!$B:$B,$B79,'SG15'!L:L)*SG15_)</f>
        <v>0</v>
      </c>
      <c r="M79" s="253">
        <f t="shared" ca="1" si="135"/>
        <v>0</v>
      </c>
      <c r="N79" s="257" t="e">
        <f t="shared" ca="1" si="136"/>
        <v>#DIV/0!</v>
      </c>
      <c r="O79" s="258">
        <f t="shared" ca="1" si="137"/>
        <v>0</v>
      </c>
      <c r="P79" s="258">
        <f t="shared" ca="1" si="138"/>
        <v>0</v>
      </c>
      <c r="Q79" s="258">
        <f t="shared" ca="1" si="139"/>
        <v>0</v>
      </c>
      <c r="R79" s="259">
        <f t="shared" ca="1" si="140"/>
        <v>0</v>
      </c>
      <c r="S79" s="545">
        <f t="shared" ca="1" si="141"/>
        <v>0</v>
      </c>
      <c r="T79" s="546">
        <f t="shared" ca="1" si="142"/>
        <v>0</v>
      </c>
      <c r="U79" s="121"/>
      <c r="V79" s="364" t="str">
        <f t="shared" ca="1" si="143"/>
        <v>Low</v>
      </c>
      <c r="W79" s="364" t="str">
        <f t="shared" ca="1" si="144"/>
        <v>Low</v>
      </c>
      <c r="X79" s="328" t="str">
        <f t="shared" ca="1" si="145"/>
        <v>Dog</v>
      </c>
    </row>
    <row r="80" spans="1:39" ht="19.149999999999999" customHeight="1" x14ac:dyDescent="0.35">
      <c r="A80" s="366">
        <v>12</v>
      </c>
      <c r="B80" s="467" t="s">
        <v>502</v>
      </c>
      <c r="C80" s="365" t="str">
        <f>VLOOKUP(B80,'SG01'!$B:$E,2,0)</f>
        <v>Lưỡi Bò Xốt Hành Baro</v>
      </c>
      <c r="D80" s="365"/>
      <c r="E80" s="468" t="str">
        <f>VLOOKUP(B80,'SG01'!$B:$E,4,0)</f>
        <v>Phần</v>
      </c>
      <c r="F80" s="61">
        <f t="shared" ca="1" si="118"/>
        <v>42556.128205128203</v>
      </c>
      <c r="G80" s="61">
        <f t="shared" ca="1" si="119"/>
        <v>122142.85714285714</v>
      </c>
      <c r="H80" s="273">
        <f t="shared" ca="1" si="120"/>
        <v>79586.728937728942</v>
      </c>
      <c r="I80" s="255">
        <f ca="1">(SUMIF('SG01'!$B:$B,$B80,'SG01'!I:I)*SG01_+SUMIF('SG02'!$B:$B,$B80,'SG02'!I:I)*SG02_+SUMIF('SG03'!$B:$B,$B80,'SG03'!I:I)*SG03_+SUMIF('SG04'!$B:$B,$B80,'SG04'!I:I)*SG04_+SUMIF('SG05'!$B:$B,$B80,'SG05'!I:I)*SG05_+SUMIF('SG06'!$B:$B,$B80,'SG06'!I:I)*SG06_+SUMIF('SG07'!$B:$B,$B80,'SG07'!I:I)*SG07_+SUMIF('SG08'!$B:$B,$B80,'SG08'!I:I)*SG08_+SUMIF('SG09'!$B:$B,$B80,'SG09'!I:I)*SG09_+SUMIF('SG10'!$B:$B,$B80,'SG10'!I:I)*SG10_+SUMIF('SG11'!$B:$B,$B80,'SG11'!I:I)*SG11_+SUMIF('SG12'!$B:$B,$B80,'SG12'!I:I)*SG12_+SUMIF('SG13'!$B:$B,$B80,'SG13'!I:I)*SG13_+SUMIF('SG14'!$B:$B,$B80,'SG14'!I:I)*SG14_+SUMIF('SG15'!$B:$B,$B80,'SG15'!I:I)*SG15_)</f>
        <v>84</v>
      </c>
      <c r="J80" s="256"/>
      <c r="K80" s="61">
        <f ca="1">(SUMIF('SG01'!$B:$B,$B80,'SG01'!K:K)*SG01_+SUMIF('SG02'!$B:$B,$B80,'SG02'!K:K)*SG02_+SUMIF('SG03'!$B:$B,$B80,'SG03'!K:K)*SG03_+SUMIF('SG04'!$B:$B,$B80,'SG04'!K:K)*SG04_+SUMIF('SG05'!$B:$B,$B80,'SG05'!K:K)*SG05_+SUMIF('SG06'!$B:$B,$B80,'SG06'!K:K)*SG06_+SUMIF('SG07'!$B:$B,$B80,'SG07'!K:K)*SG07_+SUMIF('SG08'!$B:$B,$B80,'SG08'!K:K)*SG08_+SUMIF('SG09'!$B:$B,$B80,'SG09'!K:K)*SG09_+SUMIF('SG10'!$B:$B,$B80,'SG10'!K:K)*SG10_+SUMIF('SG11'!$B:$B,$B80,'SG11'!K:K)*SG11_+SUMIF('SG12'!$B:$B,$B80,'SG12'!K:K)*SG12_+SUMIF('SG13'!$B:$B,$B80,'SG13'!K:K)*SG13_+SUMIF('SG14'!$B:$B,$B80,'SG14'!K:K)*SG14_+SUMIF('SG15'!$B:$B,$B80,'SG15'!K:K)*SG15_)</f>
        <v>3574714.769230769</v>
      </c>
      <c r="L80" s="61">
        <f ca="1">(SUMIF('SG01'!$B:$B,$B80,'SG01'!L:L)*SG01_+SUMIF('SG02'!$B:$B,$B80,'SG02'!L:L)*SG02_+SUMIF('SG03'!$B:$B,$B80,'SG03'!L:L)*SG03_+SUMIF('SG04'!$B:$B,$B80,'SG04'!L:L)*SG04_+SUMIF('SG05'!$B:$B,$B80,'SG05'!L:L)*SG05_+SUMIF('SG06'!$B:$B,$B80,'SG06'!L:L)*SG06_+SUMIF('SG07'!$B:$B,$B80,'SG07'!L:L)*SG07_+SUMIF('SG08'!$B:$B,$B80,'SG08'!L:L)*SG08_+SUMIF('SG09'!$B:$B,$B80,'SG09'!L:L)*SG09_+SUMIF('SG10'!$B:$B,$B80,'SG10'!L:L)*SG10_+SUMIF('SG11'!$B:$B,$B80,'SG11'!L:L)*SG11_+SUMIF('SG12'!$B:$B,$B80,'SG12'!L:L)*SG12_+SUMIF('SG13'!$B:$B,$B80,'SG13'!L:L)*SG13_+SUMIF('SG14'!$B:$B,$B80,'SG14'!L:L)*SG14_+SUMIF('SG15'!$B:$B,$B80,'SG15'!L:L)*SG15_)</f>
        <v>10260000</v>
      </c>
      <c r="M80" s="253">
        <f t="shared" ca="1" si="121"/>
        <v>6685285.230769231</v>
      </c>
      <c r="N80" s="257">
        <f t="shared" ca="1" si="122"/>
        <v>0.34841274553906132</v>
      </c>
      <c r="O80" s="258">
        <f t="shared" ca="1" si="123"/>
        <v>6.6169513912043565E-3</v>
      </c>
      <c r="P80" s="258">
        <f t="shared" ca="1" si="124"/>
        <v>6.4978472985070352E-3</v>
      </c>
      <c r="Q80" s="258">
        <f t="shared" ca="1" si="125"/>
        <v>5.2329927734861698E-3</v>
      </c>
      <c r="R80" s="259">
        <f t="shared" ca="1" si="126"/>
        <v>2.2745735174654751</v>
      </c>
      <c r="S80" s="545">
        <f t="shared" ca="1" si="127"/>
        <v>6.6825775656324575</v>
      </c>
      <c r="T80" s="546">
        <f t="shared" ca="1" si="128"/>
        <v>816229.11694510735</v>
      </c>
      <c r="U80" s="121"/>
      <c r="V80" s="364" t="str">
        <f t="shared" ca="1" si="129"/>
        <v>Low</v>
      </c>
      <c r="W80" s="364" t="str">
        <f t="shared" ca="1" si="130"/>
        <v>High</v>
      </c>
      <c r="X80" s="328" t="str">
        <f t="shared" ca="1" si="131"/>
        <v>Puzzle</v>
      </c>
    </row>
    <row r="81" spans="1:39" ht="19.149999999999999" customHeight="1" x14ac:dyDescent="0.35">
      <c r="A81" s="366">
        <v>13</v>
      </c>
      <c r="B81" s="467" t="s">
        <v>571</v>
      </c>
      <c r="C81" s="365" t="str">
        <f>VLOOKUP(B81,'SG01'!$B:$E,2,0)</f>
        <v>Lõi Vai Xốt BBQ</v>
      </c>
      <c r="D81" s="365"/>
      <c r="E81" s="468" t="str">
        <f>VLOOKUP(B81,'SG01'!$B:$E,4,0)</f>
        <v>Phần</v>
      </c>
      <c r="F81" s="61">
        <f t="shared" ca="1" si="118"/>
        <v>64104.23134328358</v>
      </c>
      <c r="G81" s="61">
        <f t="shared" ca="1" si="119"/>
        <v>167727.27272727274</v>
      </c>
      <c r="H81" s="273">
        <f t="shared" ca="1" si="120"/>
        <v>103623.04138398916</v>
      </c>
      <c r="I81" s="255">
        <f ca="1">(SUMIF('SG01'!$B:$B,$B81,'SG01'!I:I)*SG01_+SUMIF('SG02'!$B:$B,$B81,'SG02'!I:I)*SG02_+SUMIF('SG03'!$B:$B,$B81,'SG03'!I:I)*SG03_+SUMIF('SG04'!$B:$B,$B81,'SG04'!I:I)*SG04_+SUMIF('SG05'!$B:$B,$B81,'SG05'!I:I)*SG05_+SUMIF('SG06'!$B:$B,$B81,'SG06'!I:I)*SG06_+SUMIF('SG07'!$B:$B,$B81,'SG07'!I:I)*SG07_+SUMIF('SG08'!$B:$B,$B81,'SG08'!I:I)*SG08_+SUMIF('SG09'!$B:$B,$B81,'SG09'!I:I)*SG09_+SUMIF('SG10'!$B:$B,$B81,'SG10'!I:I)*SG10_+SUMIF('SG11'!$B:$B,$B81,'SG11'!I:I)*SG11_+SUMIF('SG12'!$B:$B,$B81,'SG12'!I:I)*SG12_+SUMIF('SG13'!$B:$B,$B81,'SG13'!I:I)*SG13_+SUMIF('SG14'!$B:$B,$B81,'SG14'!I:I)*SG14_+SUMIF('SG15'!$B:$B,$B81,'SG15'!I:I)*SG15_)</f>
        <v>110</v>
      </c>
      <c r="J81" s="256"/>
      <c r="K81" s="61">
        <f ca="1">(SUMIF('SG01'!$B:$B,$B81,'SG01'!K:K)*SG01_+SUMIF('SG02'!$B:$B,$B81,'SG02'!K:K)*SG02_+SUMIF('SG03'!$B:$B,$B81,'SG03'!K:K)*SG03_+SUMIF('SG04'!$B:$B,$B81,'SG04'!K:K)*SG04_+SUMIF('SG05'!$B:$B,$B81,'SG05'!K:K)*SG05_+SUMIF('SG06'!$B:$B,$B81,'SG06'!K:K)*SG06_+SUMIF('SG07'!$B:$B,$B81,'SG07'!K:K)*SG07_+SUMIF('SG08'!$B:$B,$B81,'SG08'!K:K)*SG08_+SUMIF('SG09'!$B:$B,$B81,'SG09'!K:K)*SG09_+SUMIF('SG10'!$B:$B,$B81,'SG10'!K:K)*SG10_+SUMIF('SG11'!$B:$B,$B81,'SG11'!K:K)*SG11_+SUMIF('SG12'!$B:$B,$B81,'SG12'!K:K)*SG12_+SUMIF('SG13'!$B:$B,$B81,'SG13'!K:K)*SG13_+SUMIF('SG14'!$B:$B,$B81,'SG14'!K:K)*SG14_+SUMIF('SG15'!$B:$B,$B81,'SG15'!K:K)*SG15_)</f>
        <v>7051465.4477611938</v>
      </c>
      <c r="L81" s="61">
        <f ca="1">(SUMIF('SG01'!$B:$B,$B81,'SG01'!L:L)*SG01_+SUMIF('SG02'!$B:$B,$B81,'SG02'!L:L)*SG02_+SUMIF('SG03'!$B:$B,$B81,'SG03'!L:L)*SG03_+SUMIF('SG04'!$B:$B,$B81,'SG04'!L:L)*SG04_+SUMIF('SG05'!$B:$B,$B81,'SG05'!L:L)*SG05_+SUMIF('SG06'!$B:$B,$B81,'SG06'!L:L)*SG06_+SUMIF('SG07'!$B:$B,$B81,'SG07'!L:L)*SG07_+SUMIF('SG08'!$B:$B,$B81,'SG08'!L:L)*SG08_+SUMIF('SG09'!$B:$B,$B81,'SG09'!L:L)*SG09_+SUMIF('SG10'!$B:$B,$B81,'SG10'!L:L)*SG10_+SUMIF('SG11'!$B:$B,$B81,'SG11'!L:L)*SG11_+SUMIF('SG12'!$B:$B,$B81,'SG12'!L:L)*SG12_+SUMIF('SG13'!$B:$B,$B81,'SG13'!L:L)*SG13_+SUMIF('SG14'!$B:$B,$B81,'SG14'!L:L)*SG14_+SUMIF('SG15'!$B:$B,$B81,'SG15'!L:L)*SG15_)</f>
        <v>18450000</v>
      </c>
      <c r="M81" s="253">
        <f t="shared" ca="1" si="121"/>
        <v>11398534.552238807</v>
      </c>
      <c r="N81" s="257">
        <f t="shared" ca="1" si="122"/>
        <v>0.38219324920114872</v>
      </c>
      <c r="O81" s="258">
        <f t="shared" ca="1" si="123"/>
        <v>1.1898903817516605E-2</v>
      </c>
      <c r="P81" s="258">
        <f t="shared" ca="1" si="124"/>
        <v>1.1078949422578602E-2</v>
      </c>
      <c r="Q81" s="258">
        <f t="shared" ca="1" si="125"/>
        <v>6.8527286319461748E-3</v>
      </c>
      <c r="R81" s="259">
        <f t="shared" ca="1" si="126"/>
        <v>2.9786081776333604</v>
      </c>
      <c r="S81" s="545">
        <f t="shared" ca="1" si="127"/>
        <v>8.7509944311853616</v>
      </c>
      <c r="T81" s="546">
        <f t="shared" ca="1" si="128"/>
        <v>1467780.429594272</v>
      </c>
      <c r="U81" s="121"/>
      <c r="V81" s="364" t="str">
        <f t="shared" ca="1" si="129"/>
        <v>High</v>
      </c>
      <c r="W81" s="364" t="str">
        <f t="shared" ca="1" si="130"/>
        <v>High</v>
      </c>
      <c r="X81" s="328" t="str">
        <f t="shared" ca="1" si="131"/>
        <v>Star</v>
      </c>
    </row>
    <row r="82" spans="1:39" ht="19.5" customHeight="1" x14ac:dyDescent="0.35">
      <c r="A82" s="366">
        <v>14</v>
      </c>
      <c r="B82" s="467" t="s">
        <v>572</v>
      </c>
      <c r="C82" s="365" t="str">
        <f>VLOOKUP(B82,'SG01'!$B:$E,2,0)</f>
        <v>Lõi Vai Xốt Trái Cây</v>
      </c>
      <c r="D82" s="365"/>
      <c r="E82" s="468" t="str">
        <f>VLOOKUP(B82,'SG01'!$B:$E,4,0)</f>
        <v>Phần</v>
      </c>
      <c r="F82" s="61">
        <f t="shared" ca="1" si="111"/>
        <v>64430.733333333323</v>
      </c>
      <c r="G82" s="61">
        <f t="shared" ca="1" si="112"/>
        <v>178191.48936170212</v>
      </c>
      <c r="H82" s="273">
        <f t="shared" ca="1" si="113"/>
        <v>113760.75602836879</v>
      </c>
      <c r="I82" s="255">
        <f ca="1">(SUMIF('SG01'!$B:$B,$B82,'SG01'!I:I)*SG01_+SUMIF('SG02'!$B:$B,$B82,'SG02'!I:I)*SG02_+SUMIF('SG03'!$B:$B,$B82,'SG03'!I:I)*SG03_+SUMIF('SG04'!$B:$B,$B82,'SG04'!I:I)*SG04_+SUMIF('SG05'!$B:$B,$B82,'SG05'!I:I)*SG05_+SUMIF('SG06'!$B:$B,$B82,'SG06'!I:I)*SG06_+SUMIF('SG07'!$B:$B,$B82,'SG07'!I:I)*SG07_+SUMIF('SG08'!$B:$B,$B82,'SG08'!I:I)*SG08_+SUMIF('SG09'!$B:$B,$B82,'SG09'!I:I)*SG09_+SUMIF('SG10'!$B:$B,$B82,'SG10'!I:I)*SG10_+SUMIF('SG11'!$B:$B,$B82,'SG11'!I:I)*SG11_+SUMIF('SG12'!$B:$B,$B82,'SG12'!I:I)*SG12_+SUMIF('SG13'!$B:$B,$B82,'SG13'!I:I)*SG13_+SUMIF('SG14'!$B:$B,$B82,'SG14'!I:I)*SG14_+SUMIF('SG15'!$B:$B,$B82,'SG15'!I:I)*SG15_)</f>
        <v>47</v>
      </c>
      <c r="J82" s="256"/>
      <c r="K82" s="61">
        <f ca="1">(SUMIF('SG01'!$B:$B,$B82,'SG01'!K:K)*SG01_+SUMIF('SG02'!$B:$B,$B82,'SG02'!K:K)*SG02_+SUMIF('SG03'!$B:$B,$B82,'SG03'!K:K)*SG03_+SUMIF('SG04'!$B:$B,$B82,'SG04'!K:K)*SG04_+SUMIF('SG05'!$B:$B,$B82,'SG05'!K:K)*SG05_+SUMIF('SG06'!$B:$B,$B82,'SG06'!K:K)*SG06_+SUMIF('SG07'!$B:$B,$B82,'SG07'!K:K)*SG07_+SUMIF('SG08'!$B:$B,$B82,'SG08'!K:K)*SG08_+SUMIF('SG09'!$B:$B,$B82,'SG09'!K:K)*SG09_+SUMIF('SG10'!$B:$B,$B82,'SG10'!K:K)*SG10_+SUMIF('SG11'!$B:$B,$B82,'SG11'!K:K)*SG11_+SUMIF('SG12'!$B:$B,$B82,'SG12'!K:K)*SG12_+SUMIF('SG13'!$B:$B,$B82,'SG13'!K:K)*SG13_+SUMIF('SG14'!$B:$B,$B82,'SG14'!K:K)*SG14_+SUMIF('SG15'!$B:$B,$B82,'SG15'!K:K)*SG15_)</f>
        <v>3028244.4666666663</v>
      </c>
      <c r="L82" s="61">
        <f ca="1">(SUMIF('SG01'!$B:$B,$B82,'SG01'!L:L)*SG01_+SUMIF('SG02'!$B:$B,$B82,'SG02'!L:L)*SG02_+SUMIF('SG03'!$B:$B,$B82,'SG03'!L:L)*SG03_+SUMIF('SG04'!$B:$B,$B82,'SG04'!L:L)*SG04_+SUMIF('SG05'!$B:$B,$B82,'SG05'!L:L)*SG05_+SUMIF('SG06'!$B:$B,$B82,'SG06'!L:L)*SG06_+SUMIF('SG07'!$B:$B,$B82,'SG07'!L:L)*SG07_+SUMIF('SG08'!$B:$B,$B82,'SG08'!L:L)*SG08_+SUMIF('SG09'!$B:$B,$B82,'SG09'!L:L)*SG09_+SUMIF('SG10'!$B:$B,$B82,'SG10'!L:L)*SG10_+SUMIF('SG11'!$B:$B,$B82,'SG11'!L:L)*SG11_+SUMIF('SG12'!$B:$B,$B82,'SG12'!L:L)*SG12_+SUMIF('SG13'!$B:$B,$B82,'SG13'!L:L)*SG13_+SUMIF('SG14'!$B:$B,$B82,'SG14'!L:L)*SG14_+SUMIF('SG15'!$B:$B,$B82,'SG15'!L:L)*SG15_)</f>
        <v>8374999.9999999991</v>
      </c>
      <c r="M82" s="253">
        <f t="shared" ca="1" si="114"/>
        <v>5346755.5333333332</v>
      </c>
      <c r="N82" s="257">
        <f t="shared" ca="1" si="93"/>
        <v>0.36158142885572137</v>
      </c>
      <c r="O82" s="258">
        <f t="shared" ca="1" si="94"/>
        <v>5.4012639280055048E-3</v>
      </c>
      <c r="P82" s="258">
        <f t="shared" ca="1" si="95"/>
        <v>5.1968464768181576E-3</v>
      </c>
      <c r="Q82" s="258">
        <f t="shared" ca="1" si="13"/>
        <v>2.9279840518315475E-3</v>
      </c>
      <c r="R82" s="259">
        <f t="shared" ca="1" si="96"/>
        <v>1.2726780395342541</v>
      </c>
      <c r="S82" s="545">
        <f t="shared" ca="1" si="30"/>
        <v>3.7390612569610182</v>
      </c>
      <c r="T82" s="546">
        <f t="shared" ca="1" si="31"/>
        <v>666268.89419252181</v>
      </c>
      <c r="U82" s="121"/>
      <c r="V82" s="327" t="str">
        <f t="shared" ca="1" si="115"/>
        <v>Low</v>
      </c>
      <c r="W82" s="327" t="str">
        <f t="shared" ca="1" si="116"/>
        <v>High</v>
      </c>
      <c r="X82" s="328" t="str">
        <f t="shared" ca="1" si="117"/>
        <v>Puzzle</v>
      </c>
    </row>
    <row r="83" spans="1:39" ht="19.5" customHeight="1" x14ac:dyDescent="0.35">
      <c r="A83" s="76"/>
      <c r="B83" s="253"/>
      <c r="C83" s="253"/>
      <c r="D83" s="253"/>
      <c r="E83" s="254"/>
      <c r="F83" s="317"/>
      <c r="G83" s="254"/>
      <c r="H83" s="254"/>
      <c r="I83" s="255"/>
      <c r="J83" s="256"/>
      <c r="K83" s="253"/>
      <c r="L83" s="253"/>
      <c r="M83" s="253"/>
      <c r="N83" s="257"/>
      <c r="O83" s="258"/>
      <c r="P83" s="258"/>
      <c r="Q83" s="258"/>
      <c r="R83" s="259"/>
      <c r="S83" s="545">
        <f t="shared" ca="1" si="30"/>
        <v>0</v>
      </c>
      <c r="T83" s="546">
        <f t="shared" ca="1" si="31"/>
        <v>0</v>
      </c>
      <c r="U83" s="121"/>
      <c r="V83" s="327" t="str">
        <f t="shared" si="115"/>
        <v/>
      </c>
      <c r="W83" s="326"/>
      <c r="X83" s="326"/>
    </row>
    <row r="84" spans="1:39" ht="19.5" customHeight="1" x14ac:dyDescent="0.35">
      <c r="A84" s="453"/>
      <c r="B84" s="479" t="s">
        <v>481</v>
      </c>
      <c r="C84" s="484" t="s">
        <v>482</v>
      </c>
      <c r="D84" s="484"/>
      <c r="E84" s="484"/>
      <c r="F84" s="313"/>
      <c r="G84" s="312"/>
      <c r="H84" s="312"/>
      <c r="I84" s="307">
        <f ca="1">SUBTOTAL(9,I85:I90)</f>
        <v>750</v>
      </c>
      <c r="J84" s="308"/>
      <c r="K84" s="304">
        <f ca="1">SUBTOTAL(9,K85:K90)</f>
        <v>23825924.214140385</v>
      </c>
      <c r="L84" s="304">
        <f ca="1">SUBTOTAL(9,L85:L90)</f>
        <v>75740000</v>
      </c>
      <c r="M84" s="304">
        <f ca="1">SUBTOTAL(9,M85:M90)</f>
        <v>51914075.785859615</v>
      </c>
      <c r="N84" s="314">
        <f t="shared" ca="1" si="93"/>
        <v>0.314575181068661</v>
      </c>
      <c r="O84" s="310">
        <f t="shared" ca="1" si="94"/>
        <v>4.8846773720255157E-2</v>
      </c>
      <c r="P84" s="310">
        <f t="shared" ca="1" si="95"/>
        <v>5.0458540728683776E-2</v>
      </c>
      <c r="Q84" s="310">
        <f t="shared" ca="1" si="13"/>
        <v>4.6723149763269377E-2</v>
      </c>
      <c r="R84" s="311">
        <f t="shared" ca="1" si="96"/>
        <v>20.308692120227455</v>
      </c>
      <c r="S84" s="311">
        <f t="shared" ca="1" si="30"/>
        <v>59.665871121718368</v>
      </c>
      <c r="T84" s="311">
        <f t="shared" ca="1" si="31"/>
        <v>0</v>
      </c>
      <c r="U84" s="121"/>
      <c r="V84" s="327" t="str">
        <f t="shared" ca="1" si="115"/>
        <v>High</v>
      </c>
      <c r="W84" s="326"/>
      <c r="X84" s="326"/>
    </row>
    <row r="85" spans="1:39" s="280" customFormat="1" ht="19.5" customHeight="1" x14ac:dyDescent="0.35">
      <c r="A85" s="366">
        <v>1</v>
      </c>
      <c r="B85" s="508" t="s">
        <v>633</v>
      </c>
      <c r="C85" s="365" t="str">
        <f>VLOOKUP(B85,'SG02'!$B:$E,2,0)</f>
        <v>Chẳng Dừng Xốt Shio</v>
      </c>
      <c r="D85" s="365"/>
      <c r="E85" s="468" t="str">
        <f>VLOOKUP(B85,'SG01'!$B:$E,4,0)</f>
        <v>Phần</v>
      </c>
      <c r="F85" s="61">
        <f t="shared" ref="F85" ca="1" si="146">K85/I85</f>
        <v>31568.938271604937</v>
      </c>
      <c r="G85" s="61">
        <f t="shared" ref="G85" ca="1" si="147">L85/I85</f>
        <v>101213.74045801527</v>
      </c>
      <c r="H85" s="273">
        <f t="shared" ref="H85" ca="1" si="148">G85-F85</f>
        <v>69644.802186410321</v>
      </c>
      <c r="I85" s="255">
        <f ca="1">(SUMIF('SG01'!$B:$B,$B85,'SG01'!I:I)*SG01_+SUMIF('SG02'!$B:$B,$B85,'SG02'!I:I)*SG02_+SUMIF('SG03'!$B:$B,$B85,'SG03'!I:I)*SG03_+SUMIF('SG04'!$B:$B,$B85,'SG04'!I:I)*SG04_+SUMIF('SG05'!$B:$B,$B85,'SG05'!I:I)*SG05_+SUMIF('SG06'!$B:$B,$B85,'SG06'!I:I)*SG06_+SUMIF('SG07'!$B:$B,$B85,'SG07'!I:I)*SG07_+SUMIF('SG08'!$B:$B,$B85,'SG08'!I:I)*SG08_+SUMIF('SG09'!$B:$B,$B85,'SG09'!I:I)*SG09_+SUMIF('SG10'!$B:$B,$B85,'SG10'!I:I)*SG10_+SUMIF('SG11'!$B:$B,$B85,'SG11'!I:I)*SG11_+SUMIF('SG12'!$B:$B,$B85,'SG12'!I:I)*SG12_+SUMIF('SG13'!$B:$B,$B85,'SG13'!I:I)*SG13_+SUMIF('SG14'!$B:$B,$B85,'SG14'!I:I)*SG14_+SUMIF('SG15'!$B:$B,$B85,'SG15'!I:I)*SG15_)</f>
        <v>131</v>
      </c>
      <c r="J85" s="256"/>
      <c r="K85" s="61">
        <f ca="1">(SUMIF('SG01'!$B:$B,$B85,'SG01'!K:K)*SG01_+SUMIF('SG02'!$B:$B,$B85,'SG02'!K:K)*SG02_+SUMIF('SG03'!$B:$B,$B85,'SG03'!K:K)*SG03_+SUMIF('SG04'!$B:$B,$B85,'SG04'!K:K)*SG04_+SUMIF('SG05'!$B:$B,$B85,'SG05'!K:K)*SG05_+SUMIF('SG06'!$B:$B,$B85,'SG06'!K:K)*SG06_+SUMIF('SG07'!$B:$B,$B85,'SG07'!K:K)*SG07_+SUMIF('SG08'!$B:$B,$B85,'SG08'!K:K)*SG08_+SUMIF('SG09'!$B:$B,$B85,'SG09'!K:K)*SG09_+SUMIF('SG10'!$B:$B,$B85,'SG10'!K:K)*SG10_+SUMIF('SG11'!$B:$B,$B85,'SG11'!K:K)*SG11_+SUMIF('SG12'!$B:$B,$B85,'SG12'!K:K)*SG12_+SUMIF('SG13'!$B:$B,$B85,'SG13'!K:K)*SG13_+SUMIF('SG14'!$B:$B,$B85,'SG14'!K:K)*SG14_+SUMIF('SG15'!$B:$B,$B85,'SG15'!K:K)*SG15_)</f>
        <v>4135530.9135802467</v>
      </c>
      <c r="L85" s="61">
        <f ca="1">(SUMIF('SG01'!$B:$B,$B85,'SG01'!L:L)*SG01_+SUMIF('SG02'!$B:$B,$B85,'SG02'!L:L)*SG02_+SUMIF('SG03'!$B:$B,$B85,'SG03'!L:L)*SG03_+SUMIF('SG04'!$B:$B,$B85,'SG04'!L:L)*SG04_+SUMIF('SG05'!$B:$B,$B85,'SG05'!L:L)*SG05_+SUMIF('SG06'!$B:$B,$B85,'SG06'!L:L)*SG06_+SUMIF('SG07'!$B:$B,$B85,'SG07'!L:L)*SG07_+SUMIF('SG08'!$B:$B,$B85,'SG08'!L:L)*SG08_+SUMIF('SG09'!$B:$B,$B85,'SG09'!L:L)*SG09_+SUMIF('SG10'!$B:$B,$B85,'SG10'!L:L)*SG10_+SUMIF('SG11'!$B:$B,$B85,'SG11'!L:L)*SG11_+SUMIF('SG12'!$B:$B,$B85,'SG12'!L:L)*SG12_+SUMIF('SG13'!$B:$B,$B85,'SG13'!L:L)*SG13_+SUMIF('SG14'!$B:$B,$B85,'SG14'!L:L)*SG14_+SUMIF('SG15'!$B:$B,$B85,'SG15'!L:L)*SG15_)</f>
        <v>13259000</v>
      </c>
      <c r="M85" s="253">
        <f t="shared" ref="M85" ca="1" si="149">L85-K85</f>
        <v>9123469.0864197537</v>
      </c>
      <c r="N85" s="257">
        <f t="shared" ref="N85" ca="1" si="150">K85/L85</f>
        <v>0.31190368154312142</v>
      </c>
      <c r="O85" s="258">
        <f t="shared" ref="O85" ca="1" si="151">L85/L$10</f>
        <v>8.5510875727074619E-3</v>
      </c>
      <c r="P85" s="258">
        <f t="shared" ref="P85" ca="1" si="152">M85/M$10</f>
        <v>8.8676708487101831E-3</v>
      </c>
      <c r="Q85" s="258">
        <f t="shared" ref="Q85" ca="1" si="153">I85/I$10</f>
        <v>8.1609768253177173E-3</v>
      </c>
      <c r="R85" s="259">
        <f t="shared" ref="R85" ca="1" si="154">I85/$K$5*100</f>
        <v>3.5472515569997296</v>
      </c>
      <c r="S85" s="545">
        <f t="shared" ref="S85" ca="1" si="155">R85*T$5</f>
        <v>10.421638822593478</v>
      </c>
      <c r="T85" s="546">
        <f t="shared" ref="T85" ca="1" si="156">IFERROR(S85*G85,0)</f>
        <v>1054813.046937152</v>
      </c>
      <c r="U85" s="121"/>
      <c r="V85" s="364" t="str">
        <f t="shared" ref="V85" ca="1" si="157">IF(B85&lt;&gt;"",IFERROR(IF($I85&gt;=$X$10,"High","Low"),""),"")</f>
        <v>High</v>
      </c>
      <c r="W85" s="364" t="str">
        <f t="shared" ref="W85" ca="1" si="158">IF(B85&lt;&gt;"",IFERROR(IF($L85&gt;=$X$12,"High","Low"),""),"")</f>
        <v>High</v>
      </c>
      <c r="X85" s="328" t="str">
        <f t="shared" ref="X85" ca="1" si="159">IF(B85&lt;&gt;"",IFERROR(IF(AND(V85="high",W85="high"),"Star",IF(AND(V85="low",W85="high"),"Puzzle",(IF(AND(V85="high",W85="low"),"Horse","Dog")))),""),"")</f>
        <v>Star</v>
      </c>
      <c r="Y85" s="219"/>
      <c r="AG85" s="346"/>
      <c r="AK85" s="346"/>
      <c r="AL85" s="343"/>
      <c r="AM85" s="344"/>
    </row>
    <row r="86" spans="1:39" s="280" customFormat="1" ht="19.5" customHeight="1" x14ac:dyDescent="0.35">
      <c r="A86" s="366">
        <v>2</v>
      </c>
      <c r="B86" s="508" t="s">
        <v>634</v>
      </c>
      <c r="C86" s="365" t="str">
        <f>VLOOKUP(B86,'SG02'!$B:$E,2,0)</f>
        <v>Ba Chỉ Heo Xốt Shio</v>
      </c>
      <c r="D86" s="365"/>
      <c r="E86" s="468" t="str">
        <f>VLOOKUP(B86,'SG01'!$B:$E,4,0)</f>
        <v>Phần</v>
      </c>
      <c r="F86" s="61">
        <f t="shared" ref="F86:F89" ca="1" si="160">K86/I86</f>
        <v>26009.34375</v>
      </c>
      <c r="G86" s="61">
        <f t="shared" ref="G86:G89" ca="1" si="161">L86/I86</f>
        <v>101321.42857142857</v>
      </c>
      <c r="H86" s="273">
        <f t="shared" ref="H86:H89" ca="1" si="162">G86-F86</f>
        <v>75312.084821428565</v>
      </c>
      <c r="I86" s="255">
        <f ca="1">(SUMIF('SG01'!$B:$B,$B86,'SG01'!I:I)*SG01_+SUMIF('SG02'!$B:$B,$B86,'SG02'!I:I)*SG02_+SUMIF('SG03'!$B:$B,$B86,'SG03'!I:I)*SG03_+SUMIF('SG04'!$B:$B,$B86,'SG04'!I:I)*SG04_+SUMIF('SG05'!$B:$B,$B86,'SG05'!I:I)*SG05_+SUMIF('SG06'!$B:$B,$B86,'SG06'!I:I)*SG06_+SUMIF('SG07'!$B:$B,$B86,'SG07'!I:I)*SG07_+SUMIF('SG08'!$B:$B,$B86,'SG08'!I:I)*SG08_+SUMIF('SG09'!$B:$B,$B86,'SG09'!I:I)*SG09_+SUMIF('SG10'!$B:$B,$B86,'SG10'!I:I)*SG10_+SUMIF('SG11'!$B:$B,$B86,'SG11'!I:I)*SG11_+SUMIF('SG12'!$B:$B,$B86,'SG12'!I:I)*SG12_+SUMIF('SG13'!$B:$B,$B86,'SG13'!I:I)*SG13_+SUMIF('SG14'!$B:$B,$B86,'SG14'!I:I)*SG14_+SUMIF('SG15'!$B:$B,$B86,'SG15'!I:I)*SG15_)</f>
        <v>168</v>
      </c>
      <c r="J86" s="256"/>
      <c r="K86" s="61">
        <f ca="1">(SUMIF('SG01'!$B:$B,$B86,'SG01'!K:K)*SG01_+SUMIF('SG02'!$B:$B,$B86,'SG02'!K:K)*SG02_+SUMIF('SG03'!$B:$B,$B86,'SG03'!K:K)*SG03_+SUMIF('SG04'!$B:$B,$B86,'SG04'!K:K)*SG04_+SUMIF('SG05'!$B:$B,$B86,'SG05'!K:K)*SG05_+SUMIF('SG06'!$B:$B,$B86,'SG06'!K:K)*SG06_+SUMIF('SG07'!$B:$B,$B86,'SG07'!K:K)*SG07_+SUMIF('SG08'!$B:$B,$B86,'SG08'!K:K)*SG08_+SUMIF('SG09'!$B:$B,$B86,'SG09'!K:K)*SG09_+SUMIF('SG10'!$B:$B,$B86,'SG10'!K:K)*SG10_+SUMIF('SG11'!$B:$B,$B86,'SG11'!K:K)*SG11_+SUMIF('SG12'!$B:$B,$B86,'SG12'!K:K)*SG12_+SUMIF('SG13'!$B:$B,$B86,'SG13'!K:K)*SG13_+SUMIF('SG14'!$B:$B,$B86,'SG14'!K:K)*SG14_+SUMIF('SG15'!$B:$B,$B86,'SG15'!K:K)*SG15_)</f>
        <v>4369569.75</v>
      </c>
      <c r="L86" s="61">
        <f ca="1">(SUMIF('SG01'!$B:$B,$B86,'SG01'!L:L)*SG01_+SUMIF('SG02'!$B:$B,$B86,'SG02'!L:L)*SG02_+SUMIF('SG03'!$B:$B,$B86,'SG03'!L:L)*SG03_+SUMIF('SG04'!$B:$B,$B86,'SG04'!L:L)*SG04_+SUMIF('SG05'!$B:$B,$B86,'SG05'!L:L)*SG05_+SUMIF('SG06'!$B:$B,$B86,'SG06'!L:L)*SG06_+SUMIF('SG07'!$B:$B,$B86,'SG07'!L:L)*SG07_+SUMIF('SG08'!$B:$B,$B86,'SG08'!L:L)*SG08_+SUMIF('SG09'!$B:$B,$B86,'SG09'!L:L)*SG09_+SUMIF('SG10'!$B:$B,$B86,'SG10'!L:L)*SG10_+SUMIF('SG11'!$B:$B,$B86,'SG11'!L:L)*SG11_+SUMIF('SG12'!$B:$B,$B86,'SG12'!L:L)*SG12_+SUMIF('SG13'!$B:$B,$B86,'SG13'!L:L)*SG13_+SUMIF('SG14'!$B:$B,$B86,'SG14'!L:L)*SG14_+SUMIF('SG15'!$B:$B,$B86,'SG15'!L:L)*SG15_)</f>
        <v>17022000</v>
      </c>
      <c r="M86" s="253">
        <f t="shared" ref="M86:M89" ca="1" si="163">L86-K86</f>
        <v>12652430.25</v>
      </c>
      <c r="N86" s="257">
        <f t="shared" ref="N86:N89" ca="1" si="164">K86/L86</f>
        <v>0.25670131300669724</v>
      </c>
      <c r="O86" s="258">
        <f t="shared" ref="O86:O89" ca="1" si="165">L86/L$10</f>
        <v>1.0977948009851905E-2</v>
      </c>
      <c r="P86" s="258">
        <f t="shared" ref="P86:P89" ca="1" si="166">M86/M$10</f>
        <v>1.2297689160833521E-2</v>
      </c>
      <c r="Q86" s="258">
        <f t="shared" ref="Q86:Q89" ca="1" si="167">I86/I$10</f>
        <v>1.046598554697234E-2</v>
      </c>
      <c r="R86" s="259">
        <f t="shared" ref="R86:R89" ca="1" si="168">I86/$K$5*100</f>
        <v>4.5491470349309502</v>
      </c>
      <c r="S86" s="545">
        <f t="shared" ref="S86:S89" ca="1" si="169">R86*T$5</f>
        <v>13.365155131264915</v>
      </c>
      <c r="T86" s="546">
        <f t="shared" ref="T86:T89" ca="1" si="170">IFERROR(S86*G86,0)</f>
        <v>1354176.61097852</v>
      </c>
      <c r="U86" s="121"/>
      <c r="V86" s="364" t="str">
        <f t="shared" ref="V86:V89" ca="1" si="171">IF(B86&lt;&gt;"",IFERROR(IF($I86&gt;=$X$10,"High","Low"),""),"")</f>
        <v>High</v>
      </c>
      <c r="W86" s="364" t="str">
        <f t="shared" ref="W86:W89" ca="1" si="172">IF(B86&lt;&gt;"",IFERROR(IF($L86&gt;=$X$12,"High","Low"),""),"")</f>
        <v>High</v>
      </c>
      <c r="X86" s="328" t="str">
        <f t="shared" ref="X86:X89" ca="1" si="173">IF(B86&lt;&gt;"",IFERROR(IF(AND(V86="high",W86="high"),"Star",IF(AND(V86="low",W86="high"),"Puzzle",(IF(AND(V86="high",W86="low"),"Horse","Dog")))),""),"")</f>
        <v>Star</v>
      </c>
      <c r="Y86" s="219"/>
      <c r="AG86" s="346"/>
      <c r="AK86" s="346"/>
      <c r="AL86" s="343"/>
      <c r="AM86" s="344"/>
    </row>
    <row r="87" spans="1:39" s="280" customFormat="1" ht="19.5" customHeight="1" x14ac:dyDescent="0.35">
      <c r="A87" s="366">
        <v>3</v>
      </c>
      <c r="B87" s="508" t="s">
        <v>635</v>
      </c>
      <c r="C87" s="365" t="str">
        <f>VLOOKUP(B87,'SG02'!$B:$E,2,0)</f>
        <v>Ba Chỉ Heo Xốt Trái Cây</v>
      </c>
      <c r="D87" s="365"/>
      <c r="E87" s="468" t="str">
        <f>VLOOKUP(B87,'SG01'!$B:$E,4,0)</f>
        <v>Phần</v>
      </c>
      <c r="F87" s="61">
        <f t="shared" ca="1" si="160"/>
        <v>27040.044117647059</v>
      </c>
      <c r="G87" s="61">
        <f t="shared" ca="1" si="161"/>
        <v>100666.66666666667</v>
      </c>
      <c r="H87" s="273">
        <f t="shared" ca="1" si="162"/>
        <v>73626.622549019608</v>
      </c>
      <c r="I87" s="255">
        <f ca="1">(SUMIF('SG01'!$B:$B,$B87,'SG01'!I:I)*SG01_+SUMIF('SG02'!$B:$B,$B87,'SG02'!I:I)*SG02_+SUMIF('SG03'!$B:$B,$B87,'SG03'!I:I)*SG03_+SUMIF('SG04'!$B:$B,$B87,'SG04'!I:I)*SG04_+SUMIF('SG05'!$B:$B,$B87,'SG05'!I:I)*SG05_+SUMIF('SG06'!$B:$B,$B87,'SG06'!I:I)*SG06_+SUMIF('SG07'!$B:$B,$B87,'SG07'!I:I)*SG07_+SUMIF('SG08'!$B:$B,$B87,'SG08'!I:I)*SG08_+SUMIF('SG09'!$B:$B,$B87,'SG09'!I:I)*SG09_+SUMIF('SG10'!$B:$B,$B87,'SG10'!I:I)*SG10_+SUMIF('SG11'!$B:$B,$B87,'SG11'!I:I)*SG11_+SUMIF('SG12'!$B:$B,$B87,'SG12'!I:I)*SG12_+SUMIF('SG13'!$B:$B,$B87,'SG13'!I:I)*SG13_+SUMIF('SG14'!$B:$B,$B87,'SG14'!I:I)*SG14_+SUMIF('SG15'!$B:$B,$B87,'SG15'!I:I)*SG15_)</f>
        <v>120</v>
      </c>
      <c r="J87" s="256"/>
      <c r="K87" s="61">
        <f ca="1">(SUMIF('SG01'!$B:$B,$B87,'SG01'!K:K)*SG01_+SUMIF('SG02'!$B:$B,$B87,'SG02'!K:K)*SG02_+SUMIF('SG03'!$B:$B,$B87,'SG03'!K:K)*SG03_+SUMIF('SG04'!$B:$B,$B87,'SG04'!K:K)*SG04_+SUMIF('SG05'!$B:$B,$B87,'SG05'!K:K)*SG05_+SUMIF('SG06'!$B:$B,$B87,'SG06'!K:K)*SG06_+SUMIF('SG07'!$B:$B,$B87,'SG07'!K:K)*SG07_+SUMIF('SG08'!$B:$B,$B87,'SG08'!K:K)*SG08_+SUMIF('SG09'!$B:$B,$B87,'SG09'!K:K)*SG09_+SUMIF('SG10'!$B:$B,$B87,'SG10'!K:K)*SG10_+SUMIF('SG11'!$B:$B,$B87,'SG11'!K:K)*SG11_+SUMIF('SG12'!$B:$B,$B87,'SG12'!K:K)*SG12_+SUMIF('SG13'!$B:$B,$B87,'SG13'!K:K)*SG13_+SUMIF('SG14'!$B:$B,$B87,'SG14'!K:K)*SG14_+SUMIF('SG15'!$B:$B,$B87,'SG15'!K:K)*SG15_)</f>
        <v>3244805.2941176472</v>
      </c>
      <c r="L87" s="61">
        <f ca="1">(SUMIF('SG01'!$B:$B,$B87,'SG01'!L:L)*SG01_+SUMIF('SG02'!$B:$B,$B87,'SG02'!L:L)*SG02_+SUMIF('SG03'!$B:$B,$B87,'SG03'!L:L)*SG03_+SUMIF('SG04'!$B:$B,$B87,'SG04'!L:L)*SG04_+SUMIF('SG05'!$B:$B,$B87,'SG05'!L:L)*SG05_+SUMIF('SG06'!$B:$B,$B87,'SG06'!L:L)*SG06_+SUMIF('SG07'!$B:$B,$B87,'SG07'!L:L)*SG07_+SUMIF('SG08'!$B:$B,$B87,'SG08'!L:L)*SG08_+SUMIF('SG09'!$B:$B,$B87,'SG09'!L:L)*SG09_+SUMIF('SG10'!$B:$B,$B87,'SG10'!L:L)*SG10_+SUMIF('SG11'!$B:$B,$B87,'SG11'!L:L)*SG11_+SUMIF('SG12'!$B:$B,$B87,'SG12'!L:L)*SG12_+SUMIF('SG13'!$B:$B,$B87,'SG13'!L:L)*SG13_+SUMIF('SG14'!$B:$B,$B87,'SG14'!L:L)*SG14_+SUMIF('SG15'!$B:$B,$B87,'SG15'!L:L)*SG15_)</f>
        <v>12080000</v>
      </c>
      <c r="M87" s="253">
        <f t="shared" ca="1" si="163"/>
        <v>8835194.7058823518</v>
      </c>
      <c r="N87" s="257">
        <f t="shared" ca="1" si="164"/>
        <v>0.26860970977795096</v>
      </c>
      <c r="O87" s="258">
        <f t="shared" ca="1" si="165"/>
        <v>7.7907185970515222E-3</v>
      </c>
      <c r="P87" s="258">
        <f t="shared" ca="1" si="166"/>
        <v>8.5874789286732554E-3</v>
      </c>
      <c r="Q87" s="258">
        <f t="shared" ca="1" si="167"/>
        <v>7.4757039621231001E-3</v>
      </c>
      <c r="R87" s="259">
        <f t="shared" ca="1" si="168"/>
        <v>3.249390739236393</v>
      </c>
      <c r="S87" s="545">
        <f t="shared" ca="1" si="169"/>
        <v>9.5465393794749396</v>
      </c>
      <c r="T87" s="546">
        <f t="shared" ca="1" si="170"/>
        <v>961018.2975338106</v>
      </c>
      <c r="U87" s="121"/>
      <c r="V87" s="364" t="str">
        <f t="shared" ca="1" si="171"/>
        <v>High</v>
      </c>
      <c r="W87" s="364" t="str">
        <f t="shared" ca="1" si="172"/>
        <v>High</v>
      </c>
      <c r="X87" s="328" t="str">
        <f t="shared" ca="1" si="173"/>
        <v>Star</v>
      </c>
      <c r="Y87" s="219"/>
      <c r="AG87" s="346"/>
      <c r="AK87" s="346"/>
      <c r="AL87" s="343"/>
      <c r="AM87" s="344"/>
    </row>
    <row r="88" spans="1:39" s="280" customFormat="1" ht="19.5" customHeight="1" x14ac:dyDescent="0.35">
      <c r="A88" s="366">
        <v>4</v>
      </c>
      <c r="B88" s="508" t="s">
        <v>636</v>
      </c>
      <c r="C88" s="365" t="str">
        <f>VLOOKUP(B88,'SG02'!$B:$E,2,0)</f>
        <v>Má Heo Xốt Trái Cây</v>
      </c>
      <c r="D88" s="365"/>
      <c r="E88" s="468" t="str">
        <f>VLOOKUP(B88,'SG01'!$B:$E,4,0)</f>
        <v>Phần</v>
      </c>
      <c r="F88" s="61">
        <f t="shared" ca="1" si="160"/>
        <v>36727.953488372099</v>
      </c>
      <c r="G88" s="61">
        <f t="shared" ca="1" si="161"/>
        <v>100583.33333333333</v>
      </c>
      <c r="H88" s="273">
        <f t="shared" ca="1" si="162"/>
        <v>63855.37984496123</v>
      </c>
      <c r="I88" s="255">
        <f ca="1">(SUMIF('SG01'!$B:$B,$B88,'SG01'!I:I)*SG01_+SUMIF('SG02'!$B:$B,$B88,'SG02'!I:I)*SG02_+SUMIF('SG03'!$B:$B,$B88,'SG03'!I:I)*SG03_+SUMIF('SG04'!$B:$B,$B88,'SG04'!I:I)*SG04_+SUMIF('SG05'!$B:$B,$B88,'SG05'!I:I)*SG05_+SUMIF('SG06'!$B:$B,$B88,'SG06'!I:I)*SG06_+SUMIF('SG07'!$B:$B,$B88,'SG07'!I:I)*SG07_+SUMIF('SG08'!$B:$B,$B88,'SG08'!I:I)*SG08_+SUMIF('SG09'!$B:$B,$B88,'SG09'!I:I)*SG09_+SUMIF('SG10'!$B:$B,$B88,'SG10'!I:I)*SG10_+SUMIF('SG11'!$B:$B,$B88,'SG11'!I:I)*SG11_+SUMIF('SG12'!$B:$B,$B88,'SG12'!I:I)*SG12_+SUMIF('SG13'!$B:$B,$B88,'SG13'!I:I)*SG13_+SUMIF('SG14'!$B:$B,$B88,'SG14'!I:I)*SG14_+SUMIF('SG15'!$B:$B,$B88,'SG15'!I:I)*SG15_)</f>
        <v>120</v>
      </c>
      <c r="J88" s="256"/>
      <c r="K88" s="61">
        <f ca="1">(SUMIF('SG01'!$B:$B,$B88,'SG01'!K:K)*SG01_+SUMIF('SG02'!$B:$B,$B88,'SG02'!K:K)*SG02_+SUMIF('SG03'!$B:$B,$B88,'SG03'!K:K)*SG03_+SUMIF('SG04'!$B:$B,$B88,'SG04'!K:K)*SG04_+SUMIF('SG05'!$B:$B,$B88,'SG05'!K:K)*SG05_+SUMIF('SG06'!$B:$B,$B88,'SG06'!K:K)*SG06_+SUMIF('SG07'!$B:$B,$B88,'SG07'!K:K)*SG07_+SUMIF('SG08'!$B:$B,$B88,'SG08'!K:K)*SG08_+SUMIF('SG09'!$B:$B,$B88,'SG09'!K:K)*SG09_+SUMIF('SG10'!$B:$B,$B88,'SG10'!K:K)*SG10_+SUMIF('SG11'!$B:$B,$B88,'SG11'!K:K)*SG11_+SUMIF('SG12'!$B:$B,$B88,'SG12'!K:K)*SG12_+SUMIF('SG13'!$B:$B,$B88,'SG13'!K:K)*SG13_+SUMIF('SG14'!$B:$B,$B88,'SG14'!K:K)*SG14_+SUMIF('SG15'!$B:$B,$B88,'SG15'!K:K)*SG15_)</f>
        <v>4407354.4186046515</v>
      </c>
      <c r="L88" s="61">
        <f ca="1">(SUMIF('SG01'!$B:$B,$B88,'SG01'!L:L)*SG01_+SUMIF('SG02'!$B:$B,$B88,'SG02'!L:L)*SG02_+SUMIF('SG03'!$B:$B,$B88,'SG03'!L:L)*SG03_+SUMIF('SG04'!$B:$B,$B88,'SG04'!L:L)*SG04_+SUMIF('SG05'!$B:$B,$B88,'SG05'!L:L)*SG05_+SUMIF('SG06'!$B:$B,$B88,'SG06'!L:L)*SG06_+SUMIF('SG07'!$B:$B,$B88,'SG07'!L:L)*SG07_+SUMIF('SG08'!$B:$B,$B88,'SG08'!L:L)*SG08_+SUMIF('SG09'!$B:$B,$B88,'SG09'!L:L)*SG09_+SUMIF('SG10'!$B:$B,$B88,'SG10'!L:L)*SG10_+SUMIF('SG11'!$B:$B,$B88,'SG11'!L:L)*SG11_+SUMIF('SG12'!$B:$B,$B88,'SG12'!L:L)*SG12_+SUMIF('SG13'!$B:$B,$B88,'SG13'!L:L)*SG13_+SUMIF('SG14'!$B:$B,$B88,'SG14'!L:L)*SG14_+SUMIF('SG15'!$B:$B,$B88,'SG15'!L:L)*SG15_)</f>
        <v>12070000</v>
      </c>
      <c r="M88" s="253">
        <f t="shared" ca="1" si="163"/>
        <v>7662645.5813953485</v>
      </c>
      <c r="N88" s="257">
        <f t="shared" ca="1" si="164"/>
        <v>0.36514949615614345</v>
      </c>
      <c r="O88" s="258">
        <f t="shared" ca="1" si="165"/>
        <v>7.7842693266897247E-3</v>
      </c>
      <c r="P88" s="258">
        <f t="shared" ca="1" si="166"/>
        <v>7.4478050182995035E-3</v>
      </c>
      <c r="Q88" s="258">
        <f t="shared" ca="1" si="167"/>
        <v>7.4757039621231001E-3</v>
      </c>
      <c r="R88" s="259">
        <f t="shared" ca="1" si="168"/>
        <v>3.249390739236393</v>
      </c>
      <c r="S88" s="545">
        <f t="shared" ca="1" si="169"/>
        <v>9.5465393794749396</v>
      </c>
      <c r="T88" s="546">
        <f t="shared" ca="1" si="170"/>
        <v>960222.75258552097</v>
      </c>
      <c r="U88" s="121"/>
      <c r="V88" s="364" t="str">
        <f t="shared" ca="1" si="171"/>
        <v>High</v>
      </c>
      <c r="W88" s="364" t="str">
        <f t="shared" ca="1" si="172"/>
        <v>High</v>
      </c>
      <c r="X88" s="328" t="str">
        <f t="shared" ca="1" si="173"/>
        <v>Star</v>
      </c>
      <c r="Y88" s="219"/>
      <c r="AG88" s="346"/>
      <c r="AK88" s="346"/>
      <c r="AL88" s="343"/>
      <c r="AM88" s="344"/>
    </row>
    <row r="89" spans="1:39" s="280" customFormat="1" ht="19.5" customHeight="1" x14ac:dyDescent="0.35">
      <c r="A89" s="366">
        <v>5</v>
      </c>
      <c r="B89" s="508" t="s">
        <v>637</v>
      </c>
      <c r="C89" s="365" t="str">
        <f>VLOOKUP(B89,'SG02'!$B:$E,2,0)</f>
        <v>Má Heo Xốt BBQ</v>
      </c>
      <c r="D89" s="365"/>
      <c r="E89" s="468" t="str">
        <f>VLOOKUP(B89,'SG01'!$B:$E,4,0)</f>
        <v>Phần</v>
      </c>
      <c r="F89" s="61">
        <f t="shared" ca="1" si="160"/>
        <v>36344.37837837838</v>
      </c>
      <c r="G89" s="61">
        <f t="shared" ca="1" si="161"/>
        <v>100990.52132701421</v>
      </c>
      <c r="H89" s="273">
        <f t="shared" ca="1" si="162"/>
        <v>64646.142948635832</v>
      </c>
      <c r="I89" s="255">
        <f ca="1">(SUMIF('SG01'!$B:$B,$B89,'SG01'!I:I)*SG01_+SUMIF('SG02'!$B:$B,$B89,'SG02'!I:I)*SG02_+SUMIF('SG03'!$B:$B,$B89,'SG03'!I:I)*SG03_+SUMIF('SG04'!$B:$B,$B89,'SG04'!I:I)*SG04_+SUMIF('SG05'!$B:$B,$B89,'SG05'!I:I)*SG05_+SUMIF('SG06'!$B:$B,$B89,'SG06'!I:I)*SG06_+SUMIF('SG07'!$B:$B,$B89,'SG07'!I:I)*SG07_+SUMIF('SG08'!$B:$B,$B89,'SG08'!I:I)*SG08_+SUMIF('SG09'!$B:$B,$B89,'SG09'!I:I)*SG09_+SUMIF('SG10'!$B:$B,$B89,'SG10'!I:I)*SG10_+SUMIF('SG11'!$B:$B,$B89,'SG11'!I:I)*SG11_+SUMIF('SG12'!$B:$B,$B89,'SG12'!I:I)*SG12_+SUMIF('SG13'!$B:$B,$B89,'SG13'!I:I)*SG13_+SUMIF('SG14'!$B:$B,$B89,'SG14'!I:I)*SG14_+SUMIF('SG15'!$B:$B,$B89,'SG15'!I:I)*SG15_)</f>
        <v>211</v>
      </c>
      <c r="J89" s="256"/>
      <c r="K89" s="61">
        <f ca="1">(SUMIF('SG01'!$B:$B,$B89,'SG01'!K:K)*SG01_+SUMIF('SG02'!$B:$B,$B89,'SG02'!K:K)*SG02_+SUMIF('SG03'!$B:$B,$B89,'SG03'!K:K)*SG03_+SUMIF('SG04'!$B:$B,$B89,'SG04'!K:K)*SG04_+SUMIF('SG05'!$B:$B,$B89,'SG05'!K:K)*SG05_+SUMIF('SG06'!$B:$B,$B89,'SG06'!K:K)*SG06_+SUMIF('SG07'!$B:$B,$B89,'SG07'!K:K)*SG07_+SUMIF('SG08'!$B:$B,$B89,'SG08'!K:K)*SG08_+SUMIF('SG09'!$B:$B,$B89,'SG09'!K:K)*SG09_+SUMIF('SG10'!$B:$B,$B89,'SG10'!K:K)*SG10_+SUMIF('SG11'!$B:$B,$B89,'SG11'!K:K)*SG11_+SUMIF('SG12'!$B:$B,$B89,'SG12'!K:K)*SG12_+SUMIF('SG13'!$B:$B,$B89,'SG13'!K:K)*SG13_+SUMIF('SG14'!$B:$B,$B89,'SG14'!K:K)*SG14_+SUMIF('SG15'!$B:$B,$B89,'SG15'!K:K)*SG15_)</f>
        <v>7668663.8378378386</v>
      </c>
      <c r="L89" s="61">
        <f ca="1">(SUMIF('SG01'!$B:$B,$B89,'SG01'!L:L)*SG01_+SUMIF('SG02'!$B:$B,$B89,'SG02'!L:L)*SG02_+SUMIF('SG03'!$B:$B,$B89,'SG03'!L:L)*SG03_+SUMIF('SG04'!$B:$B,$B89,'SG04'!L:L)*SG04_+SUMIF('SG05'!$B:$B,$B89,'SG05'!L:L)*SG05_+SUMIF('SG06'!$B:$B,$B89,'SG06'!L:L)*SG06_+SUMIF('SG07'!$B:$B,$B89,'SG07'!L:L)*SG07_+SUMIF('SG08'!$B:$B,$B89,'SG08'!L:L)*SG08_+SUMIF('SG09'!$B:$B,$B89,'SG09'!L:L)*SG09_+SUMIF('SG10'!$B:$B,$B89,'SG10'!L:L)*SG10_+SUMIF('SG11'!$B:$B,$B89,'SG11'!L:L)*SG11_+SUMIF('SG12'!$B:$B,$B89,'SG12'!L:L)*SG12_+SUMIF('SG13'!$B:$B,$B89,'SG13'!L:L)*SG13_+SUMIF('SG14'!$B:$B,$B89,'SG14'!L:L)*SG14_+SUMIF('SG15'!$B:$B,$B89,'SG15'!L:L)*SG15_)</f>
        <v>21309000</v>
      </c>
      <c r="M89" s="253">
        <f t="shared" ca="1" si="163"/>
        <v>13640336.162162162</v>
      </c>
      <c r="N89" s="257">
        <f t="shared" ca="1" si="164"/>
        <v>0.35987910450222155</v>
      </c>
      <c r="O89" s="258">
        <f t="shared" ca="1" si="165"/>
        <v>1.3742750213954545E-2</v>
      </c>
      <c r="P89" s="258">
        <f t="shared" ca="1" si="166"/>
        <v>1.3257896772167318E-2</v>
      </c>
      <c r="Q89" s="258">
        <f t="shared" ca="1" si="167"/>
        <v>1.3144779466733118E-2</v>
      </c>
      <c r="R89" s="259">
        <f t="shared" ca="1" si="168"/>
        <v>5.7135120498239909</v>
      </c>
      <c r="S89" s="545">
        <f t="shared" ca="1" si="169"/>
        <v>16.7859984089101</v>
      </c>
      <c r="T89" s="546">
        <f t="shared" ca="1" si="170"/>
        <v>1695226.7303102619</v>
      </c>
      <c r="U89" s="121"/>
      <c r="V89" s="364" t="str">
        <f t="shared" ca="1" si="171"/>
        <v>High</v>
      </c>
      <c r="W89" s="364" t="str">
        <f t="shared" ca="1" si="172"/>
        <v>High</v>
      </c>
      <c r="X89" s="328" t="str">
        <f t="shared" ca="1" si="173"/>
        <v>Star</v>
      </c>
      <c r="Y89" s="219"/>
      <c r="AG89" s="346"/>
      <c r="AK89" s="346"/>
      <c r="AL89" s="343"/>
      <c r="AM89" s="344"/>
    </row>
    <row r="90" spans="1:39" ht="19.5" customHeight="1" x14ac:dyDescent="0.35">
      <c r="A90" s="76"/>
      <c r="B90" s="276"/>
      <c r="C90" s="277"/>
      <c r="D90" s="253"/>
      <c r="E90" s="277"/>
      <c r="F90" s="61"/>
      <c r="G90" s="61"/>
      <c r="H90" s="273"/>
      <c r="I90" s="255"/>
      <c r="J90" s="256"/>
      <c r="K90" s="61"/>
      <c r="L90" s="61"/>
      <c r="M90" s="253"/>
      <c r="N90" s="257"/>
      <c r="O90" s="258"/>
      <c r="P90" s="258"/>
      <c r="Q90" s="258"/>
      <c r="R90" s="259"/>
      <c r="S90" s="545">
        <f t="shared" ca="1" si="30"/>
        <v>0</v>
      </c>
      <c r="T90" s="546">
        <f t="shared" ca="1" si="31"/>
        <v>0</v>
      </c>
      <c r="U90" s="121"/>
      <c r="V90" s="327"/>
      <c r="W90" s="327"/>
      <c r="X90" s="328"/>
    </row>
    <row r="91" spans="1:39" ht="19.5" customHeight="1" x14ac:dyDescent="0.35">
      <c r="A91" s="453"/>
      <c r="B91" s="331" t="s">
        <v>483</v>
      </c>
      <c r="C91" s="332" t="s">
        <v>465</v>
      </c>
      <c r="D91" s="484"/>
      <c r="E91" s="484"/>
      <c r="F91" s="313"/>
      <c r="G91" s="312"/>
      <c r="H91" s="312"/>
      <c r="I91" s="307">
        <f ca="1">SUBTOTAL(9,I92:I98)</f>
        <v>521</v>
      </c>
      <c r="J91" s="308"/>
      <c r="K91" s="304">
        <f ca="1">SUBTOTAL(9,K92:K98)</f>
        <v>21202069.561788898</v>
      </c>
      <c r="L91" s="304">
        <f ca="1">SUBTOTAL(9,L92:L98)</f>
        <v>66870000</v>
      </c>
      <c r="M91" s="304">
        <f ca="1">SUBTOTAL(9,M92:M98)</f>
        <v>45667930.438211098</v>
      </c>
      <c r="N91" s="314">
        <f t="shared" ca="1" si="93"/>
        <v>0.3170639982322252</v>
      </c>
      <c r="O91" s="310">
        <f t="shared" ca="1" si="94"/>
        <v>4.3126270909340673E-2</v>
      </c>
      <c r="P91" s="310">
        <f t="shared" ca="1" si="95"/>
        <v>4.4387520978247462E-2</v>
      </c>
      <c r="Q91" s="310">
        <f t="shared" ca="1" si="13"/>
        <v>3.245701470221779E-2</v>
      </c>
      <c r="R91" s="311">
        <f t="shared" ca="1" si="96"/>
        <v>14.107771459518007</v>
      </c>
      <c r="S91" s="311">
        <f t="shared" ca="1" si="30"/>
        <v>41.447891805887032</v>
      </c>
      <c r="T91" s="311">
        <f t="shared" ca="1" si="31"/>
        <v>0</v>
      </c>
      <c r="U91" s="121"/>
      <c r="V91" s="327"/>
      <c r="W91" s="327"/>
      <c r="X91" s="328"/>
    </row>
    <row r="92" spans="1:39" ht="19.5" customHeight="1" x14ac:dyDescent="0.35">
      <c r="A92" s="366">
        <v>1</v>
      </c>
      <c r="B92" s="276" t="s">
        <v>504</v>
      </c>
      <c r="C92" s="365" t="str">
        <f>VLOOKUP(B92,'SG01'!$B:$E,2,0)</f>
        <v>Tôm Nướng Xốt Bơ Tỏi</v>
      </c>
      <c r="D92" s="365"/>
      <c r="E92" s="468" t="str">
        <f>VLOOKUP(B92,'SG01'!$B:$E,4,0)</f>
        <v>Phần</v>
      </c>
      <c r="F92" s="61">
        <f t="shared" ref="F92:F97" ca="1" si="174">K92/I92</f>
        <v>33913.72</v>
      </c>
      <c r="G92" s="61">
        <f t="shared" ref="G92:G97" ca="1" si="175">L92/I92</f>
        <v>90861.702127659577</v>
      </c>
      <c r="H92" s="273">
        <f ca="1">G92-F92</f>
        <v>56947.982127659576</v>
      </c>
      <c r="I92" s="255">
        <f ca="1">(SUMIF('SG01'!$B:$B,$B92,'SG01'!I:I)*SG01_+SUMIF('SG02'!$B:$B,$B92,'SG02'!I:I)*SG02_+SUMIF('SG03'!$B:$B,$B92,'SG03'!I:I)*SG03_+SUMIF('SG04'!$B:$B,$B92,'SG04'!I:I)*SG04_+SUMIF('SG05'!$B:$B,$B92,'SG05'!I:I)*SG05_+SUMIF('SG06'!$B:$B,$B92,'SG06'!I:I)*SG06_+SUMIF('SG07'!$B:$B,$B92,'SG07'!I:I)*SG07_+SUMIF('SG08'!$B:$B,$B92,'SG08'!I:I)*SG08_+SUMIF('SG09'!$B:$B,$B92,'SG09'!I:I)*SG09_+SUMIF('SG10'!$B:$B,$B92,'SG10'!I:I)*SG10_+SUMIF('SG11'!$B:$B,$B92,'SG11'!I:I)*SG11_+SUMIF('SG12'!$B:$B,$B92,'SG12'!I:I)*SG12_+SUMIF('SG13'!$B:$B,$B92,'SG13'!I:I)*SG13_+SUMIF('SG14'!$B:$B,$B92,'SG14'!I:I)*SG14_+SUMIF('SG15'!$B:$B,$B92,'SG15'!I:I)*SG15_)</f>
        <v>94</v>
      </c>
      <c r="J92" s="256"/>
      <c r="K92" s="61">
        <f ca="1">(SUMIF('SG01'!$B:$B,$B92,'SG01'!K:K)*SG01_+SUMIF('SG02'!$B:$B,$B92,'SG02'!K:K)*SG02_+SUMIF('SG03'!$B:$B,$B92,'SG03'!K:K)*SG03_+SUMIF('SG04'!$B:$B,$B92,'SG04'!K:K)*SG04_+SUMIF('SG05'!$B:$B,$B92,'SG05'!K:K)*SG05_+SUMIF('SG06'!$B:$B,$B92,'SG06'!K:K)*SG06_+SUMIF('SG07'!$B:$B,$B92,'SG07'!K:K)*SG07_+SUMIF('SG08'!$B:$B,$B92,'SG08'!K:K)*SG08_+SUMIF('SG09'!$B:$B,$B92,'SG09'!K:K)*SG09_+SUMIF('SG10'!$B:$B,$B92,'SG10'!K:K)*SG10_+SUMIF('SG11'!$B:$B,$B92,'SG11'!K:K)*SG11_+SUMIF('SG12'!$B:$B,$B92,'SG12'!K:K)*SG12_+SUMIF('SG13'!$B:$B,$B92,'SG13'!K:K)*SG13_+SUMIF('SG14'!$B:$B,$B92,'SG14'!K:K)*SG14_+SUMIF('SG15'!$B:$B,$B92,'SG15'!K:K)*SG15_)</f>
        <v>3187889.68</v>
      </c>
      <c r="L92" s="61">
        <f ca="1">(SUMIF('SG01'!$B:$B,$B92,'SG01'!L:L)*SG01_+SUMIF('SG02'!$B:$B,$B92,'SG02'!L:L)*SG02_+SUMIF('SG03'!$B:$B,$B92,'SG03'!L:L)*SG03_+SUMIF('SG04'!$B:$B,$B92,'SG04'!L:L)*SG04_+SUMIF('SG05'!$B:$B,$B92,'SG05'!L:L)*SG05_+SUMIF('SG06'!$B:$B,$B92,'SG06'!L:L)*SG06_+SUMIF('SG07'!$B:$B,$B92,'SG07'!L:L)*SG07_+SUMIF('SG08'!$B:$B,$B92,'SG08'!L:L)*SG08_+SUMIF('SG09'!$B:$B,$B92,'SG09'!L:L)*SG09_+SUMIF('SG10'!$B:$B,$B92,'SG10'!L:L)*SG10_+SUMIF('SG11'!$B:$B,$B92,'SG11'!L:L)*SG11_+SUMIF('SG12'!$B:$B,$B92,'SG12'!L:L)*SG12_+SUMIF('SG13'!$B:$B,$B92,'SG13'!L:L)*SG13_+SUMIF('SG14'!$B:$B,$B92,'SG14'!L:L)*SG14_+SUMIF('SG15'!$B:$B,$B92,'SG15'!L:L)*SG15_)</f>
        <v>8541000</v>
      </c>
      <c r="M92" s="253">
        <f t="shared" ref="M92:M96" ca="1" si="176">L92-K92</f>
        <v>5353110.32</v>
      </c>
      <c r="N92" s="257">
        <f t="shared" ca="1" si="93"/>
        <v>0.37324548413534719</v>
      </c>
      <c r="O92" s="258">
        <f t="shared" ca="1" si="94"/>
        <v>5.5083218160113454E-3</v>
      </c>
      <c r="P92" s="258">
        <f t="shared" ca="1" si="95"/>
        <v>5.2030230918688573E-3</v>
      </c>
      <c r="Q92" s="258">
        <f ca="1">I92/I$10</f>
        <v>5.8559681036630951E-3</v>
      </c>
      <c r="R92" s="259">
        <f ca="1">I92/$K$5*100</f>
        <v>2.5453560790685081</v>
      </c>
      <c r="S92" s="545">
        <f t="shared" ca="1" si="30"/>
        <v>7.4781225139220364</v>
      </c>
      <c r="T92" s="546">
        <f t="shared" ca="1" si="31"/>
        <v>679474.94033412891</v>
      </c>
      <c r="U92" s="121"/>
      <c r="V92" s="327" t="str">
        <f ca="1">IF(B92&lt;&gt;"",IFERROR(IF($I92&gt;=$X$10,"High","Low"),""),"")</f>
        <v>Low</v>
      </c>
      <c r="W92" s="327" t="str">
        <f t="shared" ca="1" si="116"/>
        <v>High</v>
      </c>
      <c r="X92" s="328" t="str">
        <f t="shared" ca="1" si="117"/>
        <v>Puzzle</v>
      </c>
    </row>
    <row r="93" spans="1:39" ht="19.5" customHeight="1" x14ac:dyDescent="0.35">
      <c r="A93" s="366">
        <v>2</v>
      </c>
      <c r="B93" s="467" t="s">
        <v>505</v>
      </c>
      <c r="C93" s="365" t="str">
        <f>VLOOKUP(B93,'SG01'!$B:$E,2,0)</f>
        <v>Hàu Nướng Mỡ Hành</v>
      </c>
      <c r="D93" s="365"/>
      <c r="E93" s="468" t="str">
        <f>VLOOKUP(B93,'SG01'!$B:$E,4,0)</f>
        <v>Phần</v>
      </c>
      <c r="F93" s="61">
        <f t="shared" ref="F93:F96" ca="1" si="177">K93/I93</f>
        <v>33299.840277777781</v>
      </c>
      <c r="G93" s="61">
        <f t="shared" ref="G93:G96" ca="1" si="178">L93/I93</f>
        <v>106902.25563909774</v>
      </c>
      <c r="H93" s="273">
        <f t="shared" ref="H93:H96" ca="1" si="179">G93-F93</f>
        <v>73602.41536131996</v>
      </c>
      <c r="I93" s="255">
        <f ca="1">(SUMIF('SG01'!$B:$B,$B93,'SG01'!I:I)*SG01_+SUMIF('SG02'!$B:$B,$B93,'SG02'!I:I)*SG02_+SUMIF('SG03'!$B:$B,$B93,'SG03'!I:I)*SG03_+SUMIF('SG04'!$B:$B,$B93,'SG04'!I:I)*SG04_+SUMIF('SG05'!$B:$B,$B93,'SG05'!I:I)*SG05_+SUMIF('SG06'!$B:$B,$B93,'SG06'!I:I)*SG06_+SUMIF('SG07'!$B:$B,$B93,'SG07'!I:I)*SG07_+SUMIF('SG08'!$B:$B,$B93,'SG08'!I:I)*SG08_+SUMIF('SG09'!$B:$B,$B93,'SG09'!I:I)*SG09_+SUMIF('SG10'!$B:$B,$B93,'SG10'!I:I)*SG10_+SUMIF('SG11'!$B:$B,$B93,'SG11'!I:I)*SG11_+SUMIF('SG12'!$B:$B,$B93,'SG12'!I:I)*SG12_+SUMIF('SG13'!$B:$B,$B93,'SG13'!I:I)*SG13_+SUMIF('SG14'!$B:$B,$B93,'SG14'!I:I)*SG14_+SUMIF('SG15'!$B:$B,$B93,'SG15'!I:I)*SG15_)</f>
        <v>133</v>
      </c>
      <c r="J93" s="256"/>
      <c r="K93" s="61">
        <f ca="1">(SUMIF('SG01'!$B:$B,$B93,'SG01'!K:K)*SG01_+SUMIF('SG02'!$B:$B,$B93,'SG02'!K:K)*SG02_+SUMIF('SG03'!$B:$B,$B93,'SG03'!K:K)*SG03_+SUMIF('SG04'!$B:$B,$B93,'SG04'!K:K)*SG04_+SUMIF('SG05'!$B:$B,$B93,'SG05'!K:K)*SG05_+SUMIF('SG06'!$B:$B,$B93,'SG06'!K:K)*SG06_+SUMIF('SG07'!$B:$B,$B93,'SG07'!K:K)*SG07_+SUMIF('SG08'!$B:$B,$B93,'SG08'!K:K)*SG08_+SUMIF('SG09'!$B:$B,$B93,'SG09'!K:K)*SG09_+SUMIF('SG10'!$B:$B,$B93,'SG10'!K:K)*SG10_+SUMIF('SG11'!$B:$B,$B93,'SG11'!K:K)*SG11_+SUMIF('SG12'!$B:$B,$B93,'SG12'!K:K)*SG12_+SUMIF('SG13'!$B:$B,$B93,'SG13'!K:K)*SG13_+SUMIF('SG14'!$B:$B,$B93,'SG14'!K:K)*SG14_+SUMIF('SG15'!$B:$B,$B93,'SG15'!K:K)*SG15_)</f>
        <v>4428878.756944445</v>
      </c>
      <c r="L93" s="61">
        <f ca="1">(SUMIF('SG01'!$B:$B,$B93,'SG01'!L:L)*SG01_+SUMIF('SG02'!$B:$B,$B93,'SG02'!L:L)*SG02_+SUMIF('SG03'!$B:$B,$B93,'SG03'!L:L)*SG03_+SUMIF('SG04'!$B:$B,$B93,'SG04'!L:L)*SG04_+SUMIF('SG05'!$B:$B,$B93,'SG05'!L:L)*SG05_+SUMIF('SG06'!$B:$B,$B93,'SG06'!L:L)*SG06_+SUMIF('SG07'!$B:$B,$B93,'SG07'!L:L)*SG07_+SUMIF('SG08'!$B:$B,$B93,'SG08'!L:L)*SG08_+SUMIF('SG09'!$B:$B,$B93,'SG09'!L:L)*SG09_+SUMIF('SG10'!$B:$B,$B93,'SG10'!L:L)*SG10_+SUMIF('SG11'!$B:$B,$B93,'SG11'!L:L)*SG11_+SUMIF('SG12'!$B:$B,$B93,'SG12'!L:L)*SG12_+SUMIF('SG13'!$B:$B,$B93,'SG13'!L:L)*SG13_+SUMIF('SG14'!$B:$B,$B93,'SG14'!L:L)*SG14_+SUMIF('SG15'!$B:$B,$B93,'SG15'!L:L)*SG15_)</f>
        <v>14218000</v>
      </c>
      <c r="M93" s="253">
        <f t="shared" ca="1" si="176"/>
        <v>9789121.243055556</v>
      </c>
      <c r="N93" s="257">
        <f t="shared" ca="1" si="93"/>
        <v>0.311498013570435</v>
      </c>
      <c r="O93" s="258">
        <f t="shared" ca="1" si="94"/>
        <v>9.1695726004038525E-3</v>
      </c>
      <c r="P93" s="258">
        <f t="shared" ca="1" si="95"/>
        <v>9.5146598579201394E-3</v>
      </c>
      <c r="Q93" s="258">
        <f t="shared" ref="Q93:Q96" ca="1" si="180">I93/I$10</f>
        <v>8.2855718913531027E-3</v>
      </c>
      <c r="R93" s="259">
        <f t="shared" ref="R93:R96" ca="1" si="181">I93/$K$5*100</f>
        <v>3.6014080693203359</v>
      </c>
      <c r="S93" s="545">
        <f t="shared" ref="S93:S96" ca="1" si="182">R93*T$5</f>
        <v>10.580747812251392</v>
      </c>
      <c r="T93" s="546">
        <f t="shared" ref="T93:T96" ca="1" si="183">IFERROR(S93*G93,0)</f>
        <v>1131105.8074781224</v>
      </c>
      <c r="U93" s="121"/>
      <c r="V93" s="327" t="str">
        <f t="shared" ref="V93:V96" ca="1" si="184">IF(B93&lt;&gt;"",IFERROR(IF($I93&gt;=$X$10,"High","Low"),""),"")</f>
        <v>High</v>
      </c>
      <c r="W93" s="327" t="str">
        <f t="shared" ca="1" si="116"/>
        <v>High</v>
      </c>
      <c r="X93" s="328" t="str">
        <f t="shared" ca="1" si="117"/>
        <v>Star</v>
      </c>
    </row>
    <row r="94" spans="1:39" ht="19.5" customHeight="1" x14ac:dyDescent="0.35">
      <c r="A94" s="366">
        <v>3</v>
      </c>
      <c r="B94" s="467" t="s">
        <v>506</v>
      </c>
      <c r="C94" s="365" t="str">
        <f>VLOOKUP(B94,'SG01'!$B:$E,2,0)</f>
        <v>Mực Ống Nướng</v>
      </c>
      <c r="D94" s="365"/>
      <c r="E94" s="468" t="str">
        <f>VLOOKUP(B94,'SG01'!$B:$E,4,0)</f>
        <v>Phần</v>
      </c>
      <c r="F94" s="61">
        <f t="shared" ca="1" si="177"/>
        <v>65910.132653061228</v>
      </c>
      <c r="G94" s="61">
        <f t="shared" ca="1" si="178"/>
        <v>177531.25</v>
      </c>
      <c r="H94" s="273">
        <f t="shared" ca="1" si="179"/>
        <v>111621.11734693877</v>
      </c>
      <c r="I94" s="255">
        <f ca="1">(SUMIF('SG01'!$B:$B,$B94,'SG01'!I:I)*SG01_+SUMIF('SG02'!$B:$B,$B94,'SG02'!I:I)*SG02_+SUMIF('SG03'!$B:$B,$B94,'SG03'!I:I)*SG03_+SUMIF('SG04'!$B:$B,$B94,'SG04'!I:I)*SG04_+SUMIF('SG05'!$B:$B,$B94,'SG05'!I:I)*SG05_+SUMIF('SG06'!$B:$B,$B94,'SG06'!I:I)*SG06_+SUMIF('SG07'!$B:$B,$B94,'SG07'!I:I)*SG07_+SUMIF('SG08'!$B:$B,$B94,'SG08'!I:I)*SG08_+SUMIF('SG09'!$B:$B,$B94,'SG09'!I:I)*SG09_+SUMIF('SG10'!$B:$B,$B94,'SG10'!I:I)*SG10_+SUMIF('SG11'!$B:$B,$B94,'SG11'!I:I)*SG11_+SUMIF('SG12'!$B:$B,$B94,'SG12'!I:I)*SG12_+SUMIF('SG13'!$B:$B,$B94,'SG13'!I:I)*SG13_+SUMIF('SG14'!$B:$B,$B94,'SG14'!I:I)*SG14_+SUMIF('SG15'!$B:$B,$B94,'SG15'!I:I)*SG15_)</f>
        <v>64</v>
      </c>
      <c r="J94" s="256"/>
      <c r="K94" s="61">
        <f ca="1">(SUMIF('SG01'!$B:$B,$B94,'SG01'!K:K)*SG01_+SUMIF('SG02'!$B:$B,$B94,'SG02'!K:K)*SG02_+SUMIF('SG03'!$B:$B,$B94,'SG03'!K:K)*SG03_+SUMIF('SG04'!$B:$B,$B94,'SG04'!K:K)*SG04_+SUMIF('SG05'!$B:$B,$B94,'SG05'!K:K)*SG05_+SUMIF('SG06'!$B:$B,$B94,'SG06'!K:K)*SG06_+SUMIF('SG07'!$B:$B,$B94,'SG07'!K:K)*SG07_+SUMIF('SG08'!$B:$B,$B94,'SG08'!K:K)*SG08_+SUMIF('SG09'!$B:$B,$B94,'SG09'!K:K)*SG09_+SUMIF('SG10'!$B:$B,$B94,'SG10'!K:K)*SG10_+SUMIF('SG11'!$B:$B,$B94,'SG11'!K:K)*SG11_+SUMIF('SG12'!$B:$B,$B94,'SG12'!K:K)*SG12_+SUMIF('SG13'!$B:$B,$B94,'SG13'!K:K)*SG13_+SUMIF('SG14'!$B:$B,$B94,'SG14'!K:K)*SG14_+SUMIF('SG15'!$B:$B,$B94,'SG15'!K:K)*SG15_)</f>
        <v>4218248.4897959186</v>
      </c>
      <c r="L94" s="61">
        <f ca="1">(SUMIF('SG01'!$B:$B,$B94,'SG01'!L:L)*SG01_+SUMIF('SG02'!$B:$B,$B94,'SG02'!L:L)*SG02_+SUMIF('SG03'!$B:$B,$B94,'SG03'!L:L)*SG03_+SUMIF('SG04'!$B:$B,$B94,'SG04'!L:L)*SG04_+SUMIF('SG05'!$B:$B,$B94,'SG05'!L:L)*SG05_+SUMIF('SG06'!$B:$B,$B94,'SG06'!L:L)*SG06_+SUMIF('SG07'!$B:$B,$B94,'SG07'!L:L)*SG07_+SUMIF('SG08'!$B:$B,$B94,'SG08'!L:L)*SG08_+SUMIF('SG09'!$B:$B,$B94,'SG09'!L:L)*SG09_+SUMIF('SG10'!$B:$B,$B94,'SG10'!L:L)*SG10_+SUMIF('SG11'!$B:$B,$B94,'SG11'!L:L)*SG11_+SUMIF('SG12'!$B:$B,$B94,'SG12'!L:L)*SG12_+SUMIF('SG13'!$B:$B,$B94,'SG13'!L:L)*SG13_+SUMIF('SG14'!$B:$B,$B94,'SG14'!L:L)*SG14_+SUMIF('SG15'!$B:$B,$B94,'SG15'!L:L)*SG15_)</f>
        <v>11362000</v>
      </c>
      <c r="M94" s="253">
        <f t="shared" ca="1" si="176"/>
        <v>7143751.5102040814</v>
      </c>
      <c r="N94" s="257">
        <f t="shared" ca="1" si="93"/>
        <v>0.37125932844533699</v>
      </c>
      <c r="O94" s="258">
        <f t="shared" ca="1" si="94"/>
        <v>7.327660985074454E-3</v>
      </c>
      <c r="P94" s="258">
        <f t="shared" ca="1" si="95"/>
        <v>6.9434593812303233E-3</v>
      </c>
      <c r="Q94" s="258">
        <f t="shared" ca="1" si="180"/>
        <v>3.98704211313232E-3</v>
      </c>
      <c r="R94" s="259">
        <f t="shared" ca="1" si="181"/>
        <v>1.7330083942594097</v>
      </c>
      <c r="S94" s="545">
        <f t="shared" ca="1" si="182"/>
        <v>5.0914876690533015</v>
      </c>
      <c r="T94" s="546">
        <f t="shared" ca="1" si="183"/>
        <v>903898.17024661892</v>
      </c>
      <c r="U94" s="121"/>
      <c r="V94" s="327" t="str">
        <f t="shared" ca="1" si="184"/>
        <v>Low</v>
      </c>
      <c r="W94" s="327" t="str">
        <f t="shared" ca="1" si="116"/>
        <v>High</v>
      </c>
      <c r="X94" s="328" t="str">
        <f t="shared" ca="1" si="117"/>
        <v>Puzzle</v>
      </c>
    </row>
    <row r="95" spans="1:39" ht="19.5" customHeight="1" x14ac:dyDescent="0.35">
      <c r="A95" s="366">
        <v>4</v>
      </c>
      <c r="B95" s="467" t="s">
        <v>561</v>
      </c>
      <c r="C95" s="365" t="str">
        <f>VLOOKUP(B95,'SG01'!$B:$E,2,0)</f>
        <v>Cá Hồi Xốt Miso Vang Đỏ</v>
      </c>
      <c r="D95" s="365"/>
      <c r="E95" s="468" t="str">
        <f>VLOOKUP(B95,'SG01'!$B:$E,4,0)</f>
        <v>Phần</v>
      </c>
      <c r="F95" s="61">
        <f t="shared" ca="1" si="177"/>
        <v>31444.901234567897</v>
      </c>
      <c r="G95" s="61">
        <f t="shared" ca="1" si="178"/>
        <v>138200</v>
      </c>
      <c r="H95" s="273">
        <f t="shared" ca="1" si="179"/>
        <v>106755.09876543211</v>
      </c>
      <c r="I95" s="255">
        <f ca="1">(SUMIF('SG01'!$B:$B,$B95,'SG01'!I:I)*SG01_+SUMIF('SG02'!$B:$B,$B95,'SG02'!I:I)*SG02_+SUMIF('SG03'!$B:$B,$B95,'SG03'!I:I)*SG03_+SUMIF('SG04'!$B:$B,$B95,'SG04'!I:I)*SG04_+SUMIF('SG05'!$B:$B,$B95,'SG05'!I:I)*SG05_+SUMIF('SG06'!$B:$B,$B95,'SG06'!I:I)*SG06_+SUMIF('SG07'!$B:$B,$B95,'SG07'!I:I)*SG07_+SUMIF('SG08'!$B:$B,$B95,'SG08'!I:I)*SG08_+SUMIF('SG09'!$B:$B,$B95,'SG09'!I:I)*SG09_+SUMIF('SG10'!$B:$B,$B95,'SG10'!I:I)*SG10_+SUMIF('SG11'!$B:$B,$B95,'SG11'!I:I)*SG11_+SUMIF('SG12'!$B:$B,$B95,'SG12'!I:I)*SG12_+SUMIF('SG13'!$B:$B,$B95,'SG13'!I:I)*SG13_+SUMIF('SG14'!$B:$B,$B95,'SG14'!I:I)*SG14_+SUMIF('SG15'!$B:$B,$B95,'SG15'!I:I)*SG15_)</f>
        <v>70</v>
      </c>
      <c r="J95" s="256"/>
      <c r="K95" s="61">
        <f ca="1">(SUMIF('SG01'!$B:$B,$B95,'SG01'!K:K)*SG01_+SUMIF('SG02'!$B:$B,$B95,'SG02'!K:K)*SG02_+SUMIF('SG03'!$B:$B,$B95,'SG03'!K:K)*SG03_+SUMIF('SG04'!$B:$B,$B95,'SG04'!K:K)*SG04_+SUMIF('SG05'!$B:$B,$B95,'SG05'!K:K)*SG05_+SUMIF('SG06'!$B:$B,$B95,'SG06'!K:K)*SG06_+SUMIF('SG07'!$B:$B,$B95,'SG07'!K:K)*SG07_+SUMIF('SG08'!$B:$B,$B95,'SG08'!K:K)*SG08_+SUMIF('SG09'!$B:$B,$B95,'SG09'!K:K)*SG09_+SUMIF('SG10'!$B:$B,$B95,'SG10'!K:K)*SG10_+SUMIF('SG11'!$B:$B,$B95,'SG11'!K:K)*SG11_+SUMIF('SG12'!$B:$B,$B95,'SG12'!K:K)*SG12_+SUMIF('SG13'!$B:$B,$B95,'SG13'!K:K)*SG13_+SUMIF('SG14'!$B:$B,$B95,'SG14'!K:K)*SG14_+SUMIF('SG15'!$B:$B,$B95,'SG15'!K:K)*SG15_)</f>
        <v>2201143.0864197528</v>
      </c>
      <c r="L95" s="61">
        <f ca="1">(SUMIF('SG01'!$B:$B,$B95,'SG01'!L:L)*SG01_+SUMIF('SG02'!$B:$B,$B95,'SG02'!L:L)*SG02_+SUMIF('SG03'!$B:$B,$B95,'SG03'!L:L)*SG03_+SUMIF('SG04'!$B:$B,$B95,'SG04'!L:L)*SG04_+SUMIF('SG05'!$B:$B,$B95,'SG05'!L:L)*SG05_+SUMIF('SG06'!$B:$B,$B95,'SG06'!L:L)*SG06_+SUMIF('SG07'!$B:$B,$B95,'SG07'!L:L)*SG07_+SUMIF('SG08'!$B:$B,$B95,'SG08'!L:L)*SG08_+SUMIF('SG09'!$B:$B,$B95,'SG09'!L:L)*SG09_+SUMIF('SG10'!$B:$B,$B95,'SG10'!L:L)*SG10_+SUMIF('SG11'!$B:$B,$B95,'SG11'!L:L)*SG11_+SUMIF('SG12'!$B:$B,$B95,'SG12'!L:L)*SG12_+SUMIF('SG13'!$B:$B,$B95,'SG13'!L:L)*SG13_+SUMIF('SG14'!$B:$B,$B95,'SG14'!L:L)*SG14_+SUMIF('SG15'!$B:$B,$B95,'SG15'!L:L)*SG15_)</f>
        <v>9674000</v>
      </c>
      <c r="M95" s="253">
        <f t="shared" ca="1" si="176"/>
        <v>7472856.9135802472</v>
      </c>
      <c r="N95" s="257">
        <f t="shared" ca="1" si="93"/>
        <v>0.2275318468492612</v>
      </c>
      <c r="O95" s="258">
        <f t="shared" ca="1" si="94"/>
        <v>6.2390241480030154E-3</v>
      </c>
      <c r="P95" s="258">
        <f t="shared" ca="1" si="95"/>
        <v>7.2633375288985004E-3</v>
      </c>
      <c r="Q95" s="258">
        <f t="shared" ca="1" si="180"/>
        <v>4.3608273112384754E-3</v>
      </c>
      <c r="R95" s="259">
        <f t="shared" ca="1" si="181"/>
        <v>1.8954779312212293</v>
      </c>
      <c r="S95" s="545">
        <f t="shared" ca="1" si="182"/>
        <v>5.5688146380270478</v>
      </c>
      <c r="T95" s="546">
        <f t="shared" ca="1" si="183"/>
        <v>769610.18297533796</v>
      </c>
      <c r="U95" s="121"/>
      <c r="V95" s="327" t="str">
        <f t="shared" ca="1" si="184"/>
        <v>Low</v>
      </c>
      <c r="W95" s="327" t="str">
        <f t="shared" ca="1" si="116"/>
        <v>High</v>
      </c>
      <c r="X95" s="328" t="str">
        <f t="shared" ca="1" si="117"/>
        <v>Puzzle</v>
      </c>
    </row>
    <row r="96" spans="1:39" ht="19.5" customHeight="1" x14ac:dyDescent="0.35">
      <c r="A96" s="366">
        <v>5</v>
      </c>
      <c r="B96" s="467" t="s">
        <v>573</v>
      </c>
      <c r="C96" s="365" t="str">
        <f>VLOOKUP(B96,'SG01'!$B:$E,2,0)</f>
        <v>Sò Điệp Bơ Tỏi</v>
      </c>
      <c r="D96" s="365"/>
      <c r="E96" s="468" t="str">
        <f>VLOOKUP(B96,'SG01'!$B:$E,4,0)</f>
        <v>Phần</v>
      </c>
      <c r="F96" s="61">
        <f t="shared" ca="1" si="177"/>
        <v>52489.759259259263</v>
      </c>
      <c r="G96" s="61">
        <f t="shared" ca="1" si="178"/>
        <v>173169.01408450704</v>
      </c>
      <c r="H96" s="273">
        <f t="shared" ca="1" si="179"/>
        <v>120679.25482524777</v>
      </c>
      <c r="I96" s="255">
        <f ca="1">(SUMIF('SG01'!$B:$B,$B96,'SG01'!I:I)*SG01_+SUMIF('SG02'!$B:$B,$B96,'SG02'!I:I)*SG02_+SUMIF('SG03'!$B:$B,$B96,'SG03'!I:I)*SG03_+SUMIF('SG04'!$B:$B,$B96,'SG04'!I:I)*SG04_+SUMIF('SG05'!$B:$B,$B96,'SG05'!I:I)*SG05_+SUMIF('SG06'!$B:$B,$B96,'SG06'!I:I)*SG06_+SUMIF('SG07'!$B:$B,$B96,'SG07'!I:I)*SG07_+SUMIF('SG08'!$B:$B,$B96,'SG08'!I:I)*SG08_+SUMIF('SG09'!$B:$B,$B96,'SG09'!I:I)*SG09_+SUMIF('SG10'!$B:$B,$B96,'SG10'!I:I)*SG10_+SUMIF('SG11'!$B:$B,$B96,'SG11'!I:I)*SG11_+SUMIF('SG12'!$B:$B,$B96,'SG12'!I:I)*SG12_+SUMIF('SG13'!$B:$B,$B96,'SG13'!I:I)*SG13_+SUMIF('SG14'!$B:$B,$B96,'SG14'!I:I)*SG14_+SUMIF('SG15'!$B:$B,$B96,'SG15'!I:I)*SG15_)</f>
        <v>71</v>
      </c>
      <c r="J96" s="256"/>
      <c r="K96" s="61">
        <f ca="1">(SUMIF('SG01'!$B:$B,$B96,'SG01'!K:K)*SG01_+SUMIF('SG02'!$B:$B,$B96,'SG02'!K:K)*SG02_+SUMIF('SG03'!$B:$B,$B96,'SG03'!K:K)*SG03_+SUMIF('SG04'!$B:$B,$B96,'SG04'!K:K)*SG04_+SUMIF('SG05'!$B:$B,$B96,'SG05'!K:K)*SG05_+SUMIF('SG06'!$B:$B,$B96,'SG06'!K:K)*SG06_+SUMIF('SG07'!$B:$B,$B96,'SG07'!K:K)*SG07_+SUMIF('SG08'!$B:$B,$B96,'SG08'!K:K)*SG08_+SUMIF('SG09'!$B:$B,$B96,'SG09'!K:K)*SG09_+SUMIF('SG10'!$B:$B,$B96,'SG10'!K:K)*SG10_+SUMIF('SG11'!$B:$B,$B96,'SG11'!K:K)*SG11_+SUMIF('SG12'!$B:$B,$B96,'SG12'!K:K)*SG12_+SUMIF('SG13'!$B:$B,$B96,'SG13'!K:K)*SG13_+SUMIF('SG14'!$B:$B,$B96,'SG14'!K:K)*SG14_+SUMIF('SG15'!$B:$B,$B96,'SG15'!K:K)*SG15_)</f>
        <v>3726772.9074074076</v>
      </c>
      <c r="L96" s="61">
        <f ca="1">(SUMIF('SG01'!$B:$B,$B96,'SG01'!L:L)*SG01_+SUMIF('SG02'!$B:$B,$B96,'SG02'!L:L)*SG02_+SUMIF('SG03'!$B:$B,$B96,'SG03'!L:L)*SG03_+SUMIF('SG04'!$B:$B,$B96,'SG04'!L:L)*SG04_+SUMIF('SG05'!$B:$B,$B96,'SG05'!L:L)*SG05_+SUMIF('SG06'!$B:$B,$B96,'SG06'!L:L)*SG06_+SUMIF('SG07'!$B:$B,$B96,'SG07'!L:L)*SG07_+SUMIF('SG08'!$B:$B,$B96,'SG08'!L:L)*SG08_+SUMIF('SG09'!$B:$B,$B96,'SG09'!L:L)*SG09_+SUMIF('SG10'!$B:$B,$B96,'SG10'!L:L)*SG10_+SUMIF('SG11'!$B:$B,$B96,'SG11'!L:L)*SG11_+SUMIF('SG12'!$B:$B,$B96,'SG12'!L:L)*SG12_+SUMIF('SG13'!$B:$B,$B96,'SG13'!L:L)*SG13_+SUMIF('SG14'!$B:$B,$B96,'SG14'!L:L)*SG14_+SUMIF('SG15'!$B:$B,$B96,'SG15'!L:L)*SG15_)</f>
        <v>12295000</v>
      </c>
      <c r="M96" s="253">
        <f t="shared" ca="1" si="176"/>
        <v>8568227.0925925933</v>
      </c>
      <c r="N96" s="257">
        <f t="shared" ca="1" si="93"/>
        <v>0.30311288388836172</v>
      </c>
      <c r="O96" s="258">
        <f t="shared" ca="1" si="94"/>
        <v>7.9293779098301709E-3</v>
      </c>
      <c r="P96" s="258">
        <f t="shared" ca="1" si="95"/>
        <v>8.3279963897952367E-3</v>
      </c>
      <c r="Q96" s="258">
        <f t="shared" ca="1" si="180"/>
        <v>4.4231248442561672E-3</v>
      </c>
      <c r="R96" s="259">
        <f t="shared" ca="1" si="181"/>
        <v>1.9225561873815327</v>
      </c>
      <c r="S96" s="545">
        <f t="shared" ca="1" si="182"/>
        <v>5.6483691328560059</v>
      </c>
      <c r="T96" s="546">
        <f t="shared" ca="1" si="183"/>
        <v>978122.51392203651</v>
      </c>
      <c r="U96" s="121"/>
      <c r="V96" s="327" t="str">
        <f t="shared" ca="1" si="184"/>
        <v>Low</v>
      </c>
      <c r="W96" s="327" t="str">
        <f t="shared" ca="1" si="116"/>
        <v>High</v>
      </c>
      <c r="X96" s="328" t="str">
        <f t="shared" ca="1" si="117"/>
        <v>Puzzle</v>
      </c>
    </row>
    <row r="97" spans="1:39" ht="19.5" customHeight="1" x14ac:dyDescent="0.35">
      <c r="A97" s="366">
        <v>6</v>
      </c>
      <c r="B97" s="467" t="s">
        <v>638</v>
      </c>
      <c r="C97" s="365" t="str">
        <f>VLOOKUP(B97,'SG02'!$B:$E,2,0)</f>
        <v>Hàu Nướng Giấy Bạc</v>
      </c>
      <c r="D97" s="365"/>
      <c r="E97" s="627" t="s">
        <v>437</v>
      </c>
      <c r="F97" s="61">
        <f t="shared" ca="1" si="174"/>
        <v>38641.984732824429</v>
      </c>
      <c r="G97" s="61">
        <f t="shared" ca="1" si="175"/>
        <v>121123.59550561798</v>
      </c>
      <c r="H97" s="273">
        <f t="shared" ref="H97" ca="1" si="185">G97-F97</f>
        <v>82481.61077279356</v>
      </c>
      <c r="I97" s="255">
        <f ca="1">(SUMIF('SG01'!$B:$B,$B97,'SG01'!I:I)*SG01_+SUMIF('SG02'!$B:$B,$B97,'SG02'!I:I)*SG02_+SUMIF('SG03'!$B:$B,$B97,'SG03'!I:I)*SG03_+SUMIF('SG04'!$B:$B,$B97,'SG04'!I:I)*SG04_+SUMIF('SG05'!$B:$B,$B97,'SG05'!I:I)*SG05_+SUMIF('SG06'!$B:$B,$B97,'SG06'!I:I)*SG06_+SUMIF('SG07'!$B:$B,$B97,'SG07'!I:I)*SG07_+SUMIF('SG08'!$B:$B,$B97,'SG08'!I:I)*SG08_+SUMIF('SG09'!$B:$B,$B97,'SG09'!I:I)*SG09_+SUMIF('SG10'!$B:$B,$B97,'SG10'!I:I)*SG10_+SUMIF('SG11'!$B:$B,$B97,'SG11'!I:I)*SG11_+SUMIF('SG12'!$B:$B,$B97,'SG12'!I:I)*SG12_+SUMIF('SG13'!$B:$B,$B97,'SG13'!I:I)*SG13_+SUMIF('SG14'!$B:$B,$B97,'SG14'!I:I)*SG14_+SUMIF('SG15'!$B:$B,$B97,'SG15'!I:I)*SG15_)</f>
        <v>89</v>
      </c>
      <c r="J97" s="256"/>
      <c r="K97" s="61">
        <f ca="1">(SUMIF('SG01'!$B:$B,$B97,'SG01'!K:K)*SG01_+SUMIF('SG02'!$B:$B,$B97,'SG02'!K:K)*SG02_+SUMIF('SG03'!$B:$B,$B97,'SG03'!K:K)*SG03_+SUMIF('SG04'!$B:$B,$B97,'SG04'!K:K)*SG04_+SUMIF('SG05'!$B:$B,$B97,'SG05'!K:K)*SG05_+SUMIF('SG06'!$B:$B,$B97,'SG06'!K:K)*SG06_+SUMIF('SG07'!$B:$B,$B97,'SG07'!K:K)*SG07_+SUMIF('SG08'!$B:$B,$B97,'SG08'!K:K)*SG08_+SUMIF('SG09'!$B:$B,$B97,'SG09'!K:K)*SG09_+SUMIF('SG10'!$B:$B,$B97,'SG10'!K:K)*SG10_+SUMIF('SG11'!$B:$B,$B97,'SG11'!K:K)*SG11_+SUMIF('SG12'!$B:$B,$B97,'SG12'!K:K)*SG12_+SUMIF('SG13'!$B:$B,$B97,'SG13'!K:K)*SG13_+SUMIF('SG14'!$B:$B,$B97,'SG14'!K:K)*SG14_+SUMIF('SG15'!$B:$B,$B97,'SG15'!K:K)*SG15_)</f>
        <v>3439136.6412213743</v>
      </c>
      <c r="L97" s="61">
        <f ca="1">(SUMIF('SG01'!$B:$B,$B97,'SG01'!L:L)*SG01_+SUMIF('SG02'!$B:$B,$B97,'SG02'!L:L)*SG02_+SUMIF('SG03'!$B:$B,$B97,'SG03'!L:L)*SG03_+SUMIF('SG04'!$B:$B,$B97,'SG04'!L:L)*SG04_+SUMIF('SG05'!$B:$B,$B97,'SG05'!L:L)*SG05_+SUMIF('SG06'!$B:$B,$B97,'SG06'!L:L)*SG06_+SUMIF('SG07'!$B:$B,$B97,'SG07'!L:L)*SG07_+SUMIF('SG08'!$B:$B,$B97,'SG08'!L:L)*SG08_+SUMIF('SG09'!$B:$B,$B97,'SG09'!L:L)*SG09_+SUMIF('SG10'!$B:$B,$B97,'SG10'!L:L)*SG10_+SUMIF('SG11'!$B:$B,$B97,'SG11'!L:L)*SG11_+SUMIF('SG12'!$B:$B,$B97,'SG12'!L:L)*SG12_+SUMIF('SG13'!$B:$B,$B97,'SG13'!L:L)*SG13_+SUMIF('SG14'!$B:$B,$B97,'SG14'!L:L)*SG14_+SUMIF('SG15'!$B:$B,$B97,'SG15'!L:L)*SG15_)</f>
        <v>10780000</v>
      </c>
      <c r="M97" s="253">
        <f t="shared" ref="M97" ca="1" si="186">L97-K97</f>
        <v>7340863.3587786257</v>
      </c>
      <c r="N97" s="257">
        <f t="shared" ref="N97" ca="1" si="187">K97/L97</f>
        <v>0.31902937302610151</v>
      </c>
      <c r="O97" s="258">
        <f t="shared" ref="O97" ca="1" si="188">L97/L$10</f>
        <v>6.9523134500178319E-3</v>
      </c>
      <c r="P97" s="258">
        <f t="shared" ref="P97" ca="1" si="189">M97/M$10</f>
        <v>7.1350447285344135E-3</v>
      </c>
      <c r="Q97" s="258">
        <f t="shared" ref="Q97" ca="1" si="190">I97/I$10</f>
        <v>5.5444804385746324E-3</v>
      </c>
      <c r="R97" s="259">
        <f t="shared" ref="R97" ca="1" si="191">I97/$K$5*100</f>
        <v>2.4099647982669916</v>
      </c>
      <c r="S97" s="545">
        <f t="shared" ca="1" si="30"/>
        <v>7.0803500397772474</v>
      </c>
      <c r="T97" s="546">
        <f t="shared" ca="1" si="31"/>
        <v>857597.45425616554</v>
      </c>
      <c r="U97" s="121"/>
      <c r="V97" s="327" t="str">
        <f t="shared" ref="V97" ca="1" si="192">IF(B97&lt;&gt;"",IFERROR(IF($I97&gt;=$X$10,"High","Low"),""),"")</f>
        <v>Low</v>
      </c>
      <c r="W97" s="327" t="str">
        <f t="shared" ref="W97" ca="1" si="193">IF(B97&lt;&gt;"",IFERROR(IF($L97&gt;=$X$12,"High","Low"),""),"")</f>
        <v>High</v>
      </c>
      <c r="X97" s="328" t="str">
        <f t="shared" ref="X97" ca="1" si="194">IF(B97&lt;&gt;"",IFERROR(IF(AND(V97="high",W97="high"),"Star",IF(AND(V97="low",W97="high"),"Puzzle",(IF(AND(V97="high",W97="low"),"Horse","Dog")))),""),"")</f>
        <v>Puzzle</v>
      </c>
    </row>
    <row r="98" spans="1:39" ht="19.5" customHeight="1" x14ac:dyDescent="0.35">
      <c r="A98" s="76"/>
      <c r="B98" s="253"/>
      <c r="C98" s="253"/>
      <c r="D98" s="253"/>
      <c r="E98" s="254"/>
      <c r="F98" s="317"/>
      <c r="G98" s="254"/>
      <c r="H98" s="254"/>
      <c r="I98" s="255"/>
      <c r="J98" s="256"/>
      <c r="K98" s="253"/>
      <c r="L98" s="253"/>
      <c r="M98" s="253"/>
      <c r="N98" s="257"/>
      <c r="O98" s="258"/>
      <c r="P98" s="258"/>
      <c r="Q98" s="258"/>
      <c r="R98" s="259"/>
      <c r="S98" s="545">
        <f t="shared" ref="S98:S119" ca="1" si="195">R98*T$5</f>
        <v>0</v>
      </c>
      <c r="T98" s="546">
        <f t="shared" ref="T98:T119" ca="1" si="196">IFERROR(S98*G98,0)</f>
        <v>0</v>
      </c>
      <c r="U98" s="121"/>
      <c r="V98" s="327" t="str">
        <f t="shared" si="115"/>
        <v/>
      </c>
      <c r="W98" s="327" t="str">
        <f t="shared" si="116"/>
        <v/>
      </c>
      <c r="X98" s="328" t="str">
        <f t="shared" si="117"/>
        <v/>
      </c>
    </row>
    <row r="99" spans="1:39" s="280" customFormat="1" ht="19.5" customHeight="1" x14ac:dyDescent="0.35">
      <c r="A99" s="453"/>
      <c r="B99" s="479" t="s">
        <v>484</v>
      </c>
      <c r="C99" s="479" t="s">
        <v>485</v>
      </c>
      <c r="D99" s="484"/>
      <c r="E99" s="484"/>
      <c r="F99" s="313"/>
      <c r="G99" s="312"/>
      <c r="H99" s="312"/>
      <c r="I99" s="307">
        <f ca="1">SUBTOTAL(9,I100:I105)</f>
        <v>1369</v>
      </c>
      <c r="J99" s="308"/>
      <c r="K99" s="307">
        <f ca="1">SUBTOTAL(9,K100:K105)</f>
        <v>24412859.795396227</v>
      </c>
      <c r="L99" s="307">
        <f ca="1">SUBTOTAL(9,L100:L105)</f>
        <v>104162000</v>
      </c>
      <c r="M99" s="307">
        <f ca="1">SUBTOTAL(9,M100:M105)</f>
        <v>79749140.204603776</v>
      </c>
      <c r="N99" s="314">
        <f t="shared" ref="N99:N111" ca="1" si="197">K99/L99</f>
        <v>0.23437395398894248</v>
      </c>
      <c r="O99" s="310">
        <f t="shared" ref="O99:O111" ca="1" si="198">L99/L$10</f>
        <v>6.7176889942556342E-2</v>
      </c>
      <c r="P99" s="310">
        <f t="shared" ref="P99:P111" ca="1" si="199">M99/M$10</f>
        <v>7.7513182661485019E-2</v>
      </c>
      <c r="Q99" s="310">
        <f t="shared" ref="Q99:Q106" ca="1" si="200">I99/I$10</f>
        <v>8.5285322701221036E-2</v>
      </c>
      <c r="R99" s="311">
        <f t="shared" ref="R99:R106" ca="1" si="201">I99/$K$5*100</f>
        <v>37.070132683455185</v>
      </c>
      <c r="S99" s="311">
        <f t="shared" ca="1" si="195"/>
        <v>108.91010342084327</v>
      </c>
      <c r="T99" s="311">
        <f t="shared" ca="1" si="196"/>
        <v>0</v>
      </c>
      <c r="U99" s="83"/>
      <c r="V99" s="327"/>
      <c r="W99" s="327"/>
      <c r="X99" s="328"/>
      <c r="Y99" s="219"/>
      <c r="AG99" s="346"/>
      <c r="AK99" s="346"/>
      <c r="AL99" s="343"/>
      <c r="AM99" s="344"/>
    </row>
    <row r="100" spans="1:39" ht="19.5" customHeight="1" x14ac:dyDescent="0.35">
      <c r="A100" s="366">
        <v>1</v>
      </c>
      <c r="B100" s="509" t="s">
        <v>507</v>
      </c>
      <c r="C100" s="365" t="str">
        <f>VLOOKUP(B100,'SG01'!$B:$E,2,0)</f>
        <v>Cơm Trộn G.Master</v>
      </c>
      <c r="D100" s="365"/>
      <c r="E100" s="468" t="str">
        <f>VLOOKUP(B100,'SG01'!$B:$E,4,0)</f>
        <v>Phần</v>
      </c>
      <c r="F100" s="61">
        <f t="shared" ref="F100:F104" ca="1" si="202">K100/I100</f>
        <v>36633.407608695656</v>
      </c>
      <c r="G100" s="61">
        <f t="shared" ref="G100:G104" ca="1" si="203">L100/I100</f>
        <v>121565.83629893238</v>
      </c>
      <c r="H100" s="254">
        <f t="shared" ref="H100:H104" ca="1" si="204">G100-F100</f>
        <v>84932.428690236731</v>
      </c>
      <c r="I100" s="255">
        <f ca="1">(SUMIF('SG01'!$B:$B,$B100,'SG01'!I:I)*SG01_+SUMIF('SG02'!$B:$B,$B100,'SG02'!I:I)*SG02_+SUMIF('SG03'!$B:$B,$B100,'SG03'!I:I)*SG03_+SUMIF('SG04'!$B:$B,$B100,'SG04'!I:I)*SG04_+SUMIF('SG05'!$B:$B,$B100,'SG05'!I:I)*SG05_+SUMIF('SG06'!$B:$B,$B100,'SG06'!I:I)*SG06_+SUMIF('SG07'!$B:$B,$B100,'SG07'!I:I)*SG07_+SUMIF('SG08'!$B:$B,$B100,'SG08'!I:I)*SG08_+SUMIF('SG09'!$B:$B,$B100,'SG09'!I:I)*SG09_+SUMIF('SG10'!$B:$B,$B100,'SG10'!I:I)*SG10_+SUMIF('SG11'!$B:$B,$B100,'SG11'!I:I)*SG11_+SUMIF('SG12'!$B:$B,$B100,'SG12'!I:I)*SG12_+SUMIF('SG13'!$B:$B,$B100,'SG13'!I:I)*SG13_+SUMIF('SG14'!$B:$B,$B100,'SG14'!I:I)*SG14_+SUMIF('SG15'!$B:$B,$B100,'SG15'!I:I)*SG15_)</f>
        <v>281</v>
      </c>
      <c r="J100" s="256"/>
      <c r="K100" s="61">
        <f ca="1">(SUMIF('SG01'!$B:$B,$B100,'SG01'!K:K)*SG01_+SUMIF('SG02'!$B:$B,$B100,'SG02'!K:K)*SG02_+SUMIF('SG03'!$B:$B,$B100,'SG03'!K:K)*SG03_+SUMIF('SG04'!$B:$B,$B100,'SG04'!K:K)*SG04_+SUMIF('SG05'!$B:$B,$B100,'SG05'!K:K)*SG05_+SUMIF('SG06'!$B:$B,$B100,'SG06'!K:K)*SG06_+SUMIF('SG07'!$B:$B,$B100,'SG07'!K:K)*SG07_+SUMIF('SG08'!$B:$B,$B100,'SG08'!K:K)*SG08_+SUMIF('SG09'!$B:$B,$B100,'SG09'!K:K)*SG09_+SUMIF('SG10'!$B:$B,$B100,'SG10'!K:K)*SG10_+SUMIF('SG11'!$B:$B,$B100,'SG11'!K:K)*SG11_+SUMIF('SG12'!$B:$B,$B100,'SG12'!K:K)*SG12_+SUMIF('SG13'!$B:$B,$B100,'SG13'!K:K)*SG13_+SUMIF('SG14'!$B:$B,$B100,'SG14'!K:K)*SG14_+SUMIF('SG15'!$B:$B,$B100,'SG15'!K:K)*SG15_)</f>
        <v>10293987.538043479</v>
      </c>
      <c r="L100" s="61">
        <f ca="1">(SUMIF('SG01'!$B:$B,$B100,'SG01'!L:L)*SG01_+SUMIF('SG02'!$B:$B,$B100,'SG02'!L:L)*SG02_+SUMIF('SG03'!$B:$B,$B100,'SG03'!L:L)*SG03_+SUMIF('SG04'!$B:$B,$B100,'SG04'!L:L)*SG04_+SUMIF('SG05'!$B:$B,$B100,'SG05'!L:L)*SG05_+SUMIF('SG06'!$B:$B,$B100,'SG06'!L:L)*SG06_+SUMIF('SG07'!$B:$B,$B100,'SG07'!L:L)*SG07_+SUMIF('SG08'!$B:$B,$B100,'SG08'!L:L)*SG08_+SUMIF('SG09'!$B:$B,$B100,'SG09'!L:L)*SG09_+SUMIF('SG10'!$B:$B,$B100,'SG10'!L:L)*SG10_+SUMIF('SG11'!$B:$B,$B100,'SG11'!L:L)*SG11_+SUMIF('SG12'!$B:$B,$B100,'SG12'!L:L)*SG12_+SUMIF('SG13'!$B:$B,$B100,'SG13'!L:L)*SG13_+SUMIF('SG14'!$B:$B,$B100,'SG14'!L:L)*SG14_+SUMIF('SG15'!$B:$B,$B100,'SG15'!L:L)*SG15_)</f>
        <v>34160000</v>
      </c>
      <c r="M100" s="253">
        <f t="shared" ref="M100:M104" ca="1" si="205">L100-K100</f>
        <v>23866012.461956523</v>
      </c>
      <c r="N100" s="257">
        <f t="shared" ca="1" si="197"/>
        <v>0.30134623940408312</v>
      </c>
      <c r="O100" s="258">
        <f t="shared" ca="1" si="198"/>
        <v>2.2030707555900662E-2</v>
      </c>
      <c r="P100" s="258">
        <f t="shared" ca="1" si="199"/>
        <v>2.3196871823555041E-2</v>
      </c>
      <c r="Q100" s="258">
        <f t="shared" ca="1" si="200"/>
        <v>1.7505606777971593E-2</v>
      </c>
      <c r="R100" s="259">
        <f t="shared" ca="1" si="201"/>
        <v>7.6089899810452204</v>
      </c>
      <c r="S100" s="545">
        <f t="shared" ca="1" si="195"/>
        <v>22.354813046937149</v>
      </c>
      <c r="T100" s="546">
        <f t="shared" ca="1" si="196"/>
        <v>2717581.5433571991</v>
      </c>
      <c r="U100" s="83"/>
      <c r="V100" s="327" t="str">
        <f t="shared" ref="V100:V112" ca="1" si="206">IF(B100&lt;&gt;"",IFERROR(IF($I100&gt;=$X$10,"High","Low"),""),"")</f>
        <v>High</v>
      </c>
      <c r="W100" s="327" t="str">
        <f t="shared" ref="W100:W112" ca="1" si="207">IF(B100&lt;&gt;"",IFERROR(IF($L100&gt;=$X$12,"High","Low"),""),"")</f>
        <v>High</v>
      </c>
      <c r="X100" s="328" t="str">
        <f t="shared" ref="X100:X112" ca="1" si="208">IF(B100&lt;&gt;"",IFERROR(IF(AND(V100="high",W100="high"),"Star",IF(AND(V100="low",W100="high"),"Puzzle",(IF(AND(V100="high",W100="low"),"Horse","Dog")))),""),"")</f>
        <v>Star</v>
      </c>
    </row>
    <row r="101" spans="1:39" ht="19.5" customHeight="1" x14ac:dyDescent="0.35">
      <c r="A101" s="366">
        <v>2</v>
      </c>
      <c r="B101" s="509" t="s">
        <v>508</v>
      </c>
      <c r="C101" s="365" t="str">
        <f>VLOOKUP(B101,'SG01'!$B:$E,2,0)</f>
        <v>Cơm Trắng</v>
      </c>
      <c r="D101" s="365"/>
      <c r="E101" s="468" t="str">
        <f>VLOOKUP(B101,'SG01'!$B:$E,4,0)</f>
        <v>Phần</v>
      </c>
      <c r="F101" s="61">
        <f t="shared" ca="1" si="202"/>
        <v>4832.4700748129671</v>
      </c>
      <c r="G101" s="61">
        <f t="shared" ca="1" si="203"/>
        <v>15181.512605042017</v>
      </c>
      <c r="H101" s="254">
        <f t="shared" ca="1" si="204"/>
        <v>10349.04253022905</v>
      </c>
      <c r="I101" s="255">
        <f ca="1">(SUMIF('SG01'!$B:$B,$B101,'SG01'!I:I)*SG01_+SUMIF('SG02'!$B:$B,$B101,'SG02'!I:I)*SG02_+SUMIF('SG03'!$B:$B,$B101,'SG03'!I:I)*SG03_+SUMIF('SG04'!$B:$B,$B101,'SG04'!I:I)*SG04_+SUMIF('SG05'!$B:$B,$B101,'SG05'!I:I)*SG05_+SUMIF('SG06'!$B:$B,$B101,'SG06'!I:I)*SG06_+SUMIF('SG07'!$B:$B,$B101,'SG07'!I:I)*SG07_+SUMIF('SG08'!$B:$B,$B101,'SG08'!I:I)*SG08_+SUMIF('SG09'!$B:$B,$B101,'SG09'!I:I)*SG09_+SUMIF('SG10'!$B:$B,$B101,'SG10'!I:I)*SG10_+SUMIF('SG11'!$B:$B,$B101,'SG11'!I:I)*SG11_+SUMIF('SG12'!$B:$B,$B101,'SG12'!I:I)*SG12_+SUMIF('SG13'!$B:$B,$B101,'SG13'!I:I)*SG13_+SUMIF('SG14'!$B:$B,$B101,'SG14'!I:I)*SG14_+SUMIF('SG15'!$B:$B,$B101,'SG15'!I:I)*SG15_)</f>
        <v>595</v>
      </c>
      <c r="J101" s="256"/>
      <c r="K101" s="61">
        <f ca="1">(SUMIF('SG01'!$B:$B,$B101,'SG01'!K:K)*SG01_+SUMIF('SG02'!$B:$B,$B101,'SG02'!K:K)*SG02_+SUMIF('SG03'!$B:$B,$B101,'SG03'!K:K)*SG03_+SUMIF('SG04'!$B:$B,$B101,'SG04'!K:K)*SG04_+SUMIF('SG05'!$B:$B,$B101,'SG05'!K:K)*SG05_+SUMIF('SG06'!$B:$B,$B101,'SG06'!K:K)*SG06_+SUMIF('SG07'!$B:$B,$B101,'SG07'!K:K)*SG07_+SUMIF('SG08'!$B:$B,$B101,'SG08'!K:K)*SG08_+SUMIF('SG09'!$B:$B,$B101,'SG09'!K:K)*SG09_+SUMIF('SG10'!$B:$B,$B101,'SG10'!K:K)*SG10_+SUMIF('SG11'!$B:$B,$B101,'SG11'!K:K)*SG11_+SUMIF('SG12'!$B:$B,$B101,'SG12'!K:K)*SG12_+SUMIF('SG13'!$B:$B,$B101,'SG13'!K:K)*SG13_+SUMIF('SG14'!$B:$B,$B101,'SG14'!K:K)*SG14_+SUMIF('SG15'!$B:$B,$B101,'SG15'!K:K)*SG15_)</f>
        <v>2875319.6945137153</v>
      </c>
      <c r="L101" s="61">
        <f ca="1">(SUMIF('SG01'!$B:$B,$B101,'SG01'!L:L)*SG01_+SUMIF('SG02'!$B:$B,$B101,'SG02'!L:L)*SG02_+SUMIF('SG03'!$B:$B,$B101,'SG03'!L:L)*SG03_+SUMIF('SG04'!$B:$B,$B101,'SG04'!L:L)*SG04_+SUMIF('SG05'!$B:$B,$B101,'SG05'!L:L)*SG05_+SUMIF('SG06'!$B:$B,$B101,'SG06'!L:L)*SG06_+SUMIF('SG07'!$B:$B,$B101,'SG07'!L:L)*SG07_+SUMIF('SG08'!$B:$B,$B101,'SG08'!L:L)*SG08_+SUMIF('SG09'!$B:$B,$B101,'SG09'!L:L)*SG09_+SUMIF('SG10'!$B:$B,$B101,'SG10'!L:L)*SG10_+SUMIF('SG11'!$B:$B,$B101,'SG11'!L:L)*SG11_+SUMIF('SG12'!$B:$B,$B101,'SG12'!L:L)*SG12_+SUMIF('SG13'!$B:$B,$B101,'SG13'!L:L)*SG13_+SUMIF('SG14'!$B:$B,$B101,'SG14'!L:L)*SG14_+SUMIF('SG15'!$B:$B,$B101,'SG15'!L:L)*SG15_)</f>
        <v>9033000</v>
      </c>
      <c r="M101" s="253">
        <f t="shared" ca="1" si="205"/>
        <v>6157680.3054862842</v>
      </c>
      <c r="N101" s="257">
        <f t="shared" ca="1" si="197"/>
        <v>0.31831281905388192</v>
      </c>
      <c r="O101" s="258">
        <f t="shared" ca="1" si="198"/>
        <v>5.8256259178117884E-3</v>
      </c>
      <c r="P101" s="258">
        <f t="shared" ca="1" si="199"/>
        <v>5.9850350369374068E-3</v>
      </c>
      <c r="Q101" s="258">
        <f t="shared" ca="1" si="200"/>
        <v>3.7067032145527035E-2</v>
      </c>
      <c r="R101" s="259">
        <f t="shared" ca="1" si="201"/>
        <v>16.111562415380448</v>
      </c>
      <c r="S101" s="545">
        <f t="shared" ca="1" si="195"/>
        <v>47.334924423229907</v>
      </c>
      <c r="T101" s="546">
        <f t="shared" ca="1" si="196"/>
        <v>718615.75178997603</v>
      </c>
      <c r="U101" s="83"/>
      <c r="V101" s="327" t="str">
        <f t="shared" ca="1" si="206"/>
        <v>High</v>
      </c>
      <c r="W101" s="327" t="str">
        <f t="shared" ca="1" si="207"/>
        <v>High</v>
      </c>
      <c r="X101" s="328" t="str">
        <f t="shared" ca="1" si="208"/>
        <v>Star</v>
      </c>
    </row>
    <row r="102" spans="1:39" ht="19.149999999999999" customHeight="1" x14ac:dyDescent="0.35">
      <c r="A102" s="366">
        <v>3</v>
      </c>
      <c r="B102" s="509" t="s">
        <v>562</v>
      </c>
      <c r="C102" s="365" t="str">
        <f>VLOOKUP(B102,'SG01'!$B:$E,2,0)</f>
        <v>Cơm Trộn Cá Hồi</v>
      </c>
      <c r="D102" s="495"/>
      <c r="E102" s="468" t="str">
        <f>VLOOKUP(B102,'SG01'!$B:$E,4,0)</f>
        <v>Phần</v>
      </c>
      <c r="F102" s="61">
        <f t="shared" ref="F102" ca="1" si="209">K102/I102</f>
        <v>30345.83870967742</v>
      </c>
      <c r="G102" s="61">
        <f t="shared" ref="G102" ca="1" si="210">L102/I102</f>
        <v>131495.32710280374</v>
      </c>
      <c r="H102" s="254">
        <f t="shared" ref="H102" ca="1" si="211">G102-F102</f>
        <v>101149.48839312632</v>
      </c>
      <c r="I102" s="255">
        <f ca="1">(SUMIF('SG01'!$B:$B,$B102,'SG01'!I:I)*SG01_+SUMIF('SG02'!$B:$B,$B102,'SG02'!I:I)*SG02_+SUMIF('SG03'!$B:$B,$B102,'SG03'!I:I)*SG03_+SUMIF('SG04'!$B:$B,$B102,'SG04'!I:I)*SG04_+SUMIF('SG05'!$B:$B,$B102,'SG05'!I:I)*SG05_+SUMIF('SG06'!$B:$B,$B102,'SG06'!I:I)*SG06_+SUMIF('SG07'!$B:$B,$B102,'SG07'!I:I)*SG07_+SUMIF('SG08'!$B:$B,$B102,'SG08'!I:I)*SG08_+SUMIF('SG09'!$B:$B,$B102,'SG09'!I:I)*SG09_+SUMIF('SG10'!$B:$B,$B102,'SG10'!I:I)*SG10_+SUMIF('SG11'!$B:$B,$B102,'SG11'!I:I)*SG11_+SUMIF('SG12'!$B:$B,$B102,'SG12'!I:I)*SG12_+SUMIF('SG13'!$B:$B,$B102,'SG13'!I:I)*SG13_+SUMIF('SG14'!$B:$B,$B102,'SG14'!I:I)*SG14_+SUMIF('SG15'!$B:$B,$B102,'SG15'!I:I)*SG15_)</f>
        <v>214</v>
      </c>
      <c r="J102" s="256"/>
      <c r="K102" s="61">
        <f ca="1">(SUMIF('SG01'!$B:$B,$B102,'SG01'!K:K)*SG01_+SUMIF('SG02'!$B:$B,$B102,'SG02'!K:K)*SG02_+SUMIF('SG03'!$B:$B,$B102,'SG03'!K:K)*SG03_+SUMIF('SG04'!$B:$B,$B102,'SG04'!K:K)*SG04_+SUMIF('SG05'!$B:$B,$B102,'SG05'!K:K)*SG05_+SUMIF('SG06'!$B:$B,$B102,'SG06'!K:K)*SG06_+SUMIF('SG07'!$B:$B,$B102,'SG07'!K:K)*SG07_+SUMIF('SG08'!$B:$B,$B102,'SG08'!K:K)*SG08_+SUMIF('SG09'!$B:$B,$B102,'SG09'!K:K)*SG09_+SUMIF('SG10'!$B:$B,$B102,'SG10'!K:K)*SG10_+SUMIF('SG11'!$B:$B,$B102,'SG11'!K:K)*SG11_+SUMIF('SG12'!$B:$B,$B102,'SG12'!K:K)*SG12_+SUMIF('SG13'!$B:$B,$B102,'SG13'!K:K)*SG13_+SUMIF('SG14'!$B:$B,$B102,'SG14'!K:K)*SG14_+SUMIF('SG15'!$B:$B,$B102,'SG15'!K:K)*SG15_)</f>
        <v>6494009.4838709682</v>
      </c>
      <c r="L102" s="61">
        <f ca="1">(SUMIF('SG01'!$B:$B,$B102,'SG01'!L:L)*SG01_+SUMIF('SG02'!$B:$B,$B102,'SG02'!L:L)*SG02_+SUMIF('SG03'!$B:$B,$B102,'SG03'!L:L)*SG03_+SUMIF('SG04'!$B:$B,$B102,'SG04'!L:L)*SG04_+SUMIF('SG05'!$B:$B,$B102,'SG05'!L:L)*SG05_+SUMIF('SG06'!$B:$B,$B102,'SG06'!L:L)*SG06_+SUMIF('SG07'!$B:$B,$B102,'SG07'!L:L)*SG07_+SUMIF('SG08'!$B:$B,$B102,'SG08'!L:L)*SG08_+SUMIF('SG09'!$B:$B,$B102,'SG09'!L:L)*SG09_+SUMIF('SG10'!$B:$B,$B102,'SG10'!L:L)*SG10_+SUMIF('SG11'!$B:$B,$B102,'SG11'!L:L)*SG11_+SUMIF('SG12'!$B:$B,$B102,'SG12'!L:L)*SG12_+SUMIF('SG13'!$B:$B,$B102,'SG13'!L:L)*SG13_+SUMIF('SG14'!$B:$B,$B102,'SG14'!L:L)*SG14_+SUMIF('SG15'!$B:$B,$B102,'SG15'!L:L)*SG15_)</f>
        <v>28140000</v>
      </c>
      <c r="M102" s="253">
        <f t="shared" ref="M102" ca="1" si="212">L102-K102</f>
        <v>21645990.516129032</v>
      </c>
      <c r="N102" s="257">
        <f t="shared" ref="N102" ca="1" si="213">K102/L102</f>
        <v>0.23077503496343171</v>
      </c>
      <c r="O102" s="258">
        <f t="shared" ref="O102" ca="1" si="214">L102/L$10</f>
        <v>1.8148246798098497E-2</v>
      </c>
      <c r="P102" s="258">
        <f t="shared" ref="P102" ca="1" si="215">M102/M$10</f>
        <v>2.1039093493181293E-2</v>
      </c>
      <c r="Q102" s="258">
        <f t="shared" ref="Q102" ca="1" si="216">I102/I$10</f>
        <v>1.3331672065786195E-2</v>
      </c>
      <c r="R102" s="259">
        <f t="shared" ref="R102" ca="1" si="217">I102/$K$5*100</f>
        <v>5.7947468183049011</v>
      </c>
      <c r="S102" s="545">
        <f t="shared" ref="S102" ca="1" si="218">R102*T$5</f>
        <v>17.024661893396974</v>
      </c>
      <c r="T102" s="546">
        <f t="shared" ref="T102" ca="1" si="219">IFERROR(S102*G102,0)</f>
        <v>2238663.4844868733</v>
      </c>
      <c r="U102" s="121"/>
      <c r="V102" s="327" t="str">
        <f t="shared" ref="V102" ca="1" si="220">IF(B102&lt;&gt;"",IFERROR(IF($I102&gt;=$X$10,"High","Low"),""),"")</f>
        <v>High</v>
      </c>
      <c r="W102" s="327" t="str">
        <f t="shared" ref="W102" ca="1" si="221">IF(B102&lt;&gt;"",IFERROR(IF($L102&gt;=$X$12,"High","Low"),""),"")</f>
        <v>High</v>
      </c>
      <c r="X102" s="328" t="str">
        <f t="shared" ref="X102" ca="1" si="222">IF(B102&lt;&gt;"",IFERROR(IF(AND(V102="high",W102="high"),"Star",IF(AND(V102="low",W102="high"),"Puzzle",(IF(AND(V102="high",W102="low"),"Horse","Dog")))),""),"")</f>
        <v>Star</v>
      </c>
    </row>
    <row r="103" spans="1:39" ht="19.149999999999999" customHeight="1" x14ac:dyDescent="0.35">
      <c r="A103" s="366">
        <v>4</v>
      </c>
      <c r="B103" s="509" t="s">
        <v>563</v>
      </c>
      <c r="C103" s="365" t="str">
        <f>VLOOKUP(B103,'SG01'!$B:$E,2,0)</f>
        <v>Canh Rong Biển</v>
      </c>
      <c r="D103" s="495"/>
      <c r="E103" s="468" t="str">
        <f>VLOOKUP(B103,'SG01'!$B:$E,4,0)</f>
        <v>Phần</v>
      </c>
      <c r="F103" s="61">
        <f t="shared" ref="F103" ca="1" si="223">K103/I103</f>
        <v>20656.006134969324</v>
      </c>
      <c r="G103" s="61">
        <f t="shared" ref="G103" ca="1" si="224">L103/I103</f>
        <v>102293.57798165138</v>
      </c>
      <c r="H103" s="254">
        <f t="shared" ref="H103" ca="1" si="225">G103-F103</f>
        <v>81637.571846682054</v>
      </c>
      <c r="I103" s="255">
        <f ca="1">(SUMIF('SG01'!$B:$B,$B103,'SG01'!I:I)*SG01_+SUMIF('SG02'!$B:$B,$B103,'SG02'!I:I)*SG02_+SUMIF('SG03'!$B:$B,$B103,'SG03'!I:I)*SG03_+SUMIF('SG04'!$B:$B,$B103,'SG04'!I:I)*SG04_+SUMIF('SG05'!$B:$B,$B103,'SG05'!I:I)*SG05_+SUMIF('SG06'!$B:$B,$B103,'SG06'!I:I)*SG06_+SUMIF('SG07'!$B:$B,$B103,'SG07'!I:I)*SG07_+SUMIF('SG08'!$B:$B,$B103,'SG08'!I:I)*SG08_+SUMIF('SG09'!$B:$B,$B103,'SG09'!I:I)*SG09_+SUMIF('SG10'!$B:$B,$B103,'SG10'!I:I)*SG10_+SUMIF('SG11'!$B:$B,$B103,'SG11'!I:I)*SG11_+SUMIF('SG12'!$B:$B,$B103,'SG12'!I:I)*SG12_+SUMIF('SG13'!$B:$B,$B103,'SG13'!I:I)*SG13_+SUMIF('SG14'!$B:$B,$B103,'SG14'!I:I)*SG14_+SUMIF('SG15'!$B:$B,$B103,'SG15'!I:I)*SG15_)</f>
        <v>109</v>
      </c>
      <c r="J103" s="256"/>
      <c r="K103" s="61">
        <f ca="1">(SUMIF('SG01'!$B:$B,$B103,'SG01'!K:K)*SG01_+SUMIF('SG02'!$B:$B,$B103,'SG02'!K:K)*SG02_+SUMIF('SG03'!$B:$B,$B103,'SG03'!K:K)*SG03_+SUMIF('SG04'!$B:$B,$B103,'SG04'!K:K)*SG04_+SUMIF('SG05'!$B:$B,$B103,'SG05'!K:K)*SG05_+SUMIF('SG06'!$B:$B,$B103,'SG06'!K:K)*SG06_+SUMIF('SG07'!$B:$B,$B103,'SG07'!K:K)*SG07_+SUMIF('SG08'!$B:$B,$B103,'SG08'!K:K)*SG08_+SUMIF('SG09'!$B:$B,$B103,'SG09'!K:K)*SG09_+SUMIF('SG10'!$B:$B,$B103,'SG10'!K:K)*SG10_+SUMIF('SG11'!$B:$B,$B103,'SG11'!K:K)*SG11_+SUMIF('SG12'!$B:$B,$B103,'SG12'!K:K)*SG12_+SUMIF('SG13'!$B:$B,$B103,'SG13'!K:K)*SG13_+SUMIF('SG14'!$B:$B,$B103,'SG14'!K:K)*SG14_+SUMIF('SG15'!$B:$B,$B103,'SG15'!K:K)*SG15_)</f>
        <v>2251504.6687116562</v>
      </c>
      <c r="L103" s="61">
        <f ca="1">(SUMIF('SG01'!$B:$B,$B103,'SG01'!L:L)*SG01_+SUMIF('SG02'!$B:$B,$B103,'SG02'!L:L)*SG02_+SUMIF('SG03'!$B:$B,$B103,'SG03'!L:L)*SG03_+SUMIF('SG04'!$B:$B,$B103,'SG04'!L:L)*SG04_+SUMIF('SG05'!$B:$B,$B103,'SG05'!L:L)*SG05_+SUMIF('SG06'!$B:$B,$B103,'SG06'!L:L)*SG06_+SUMIF('SG07'!$B:$B,$B103,'SG07'!L:L)*SG07_+SUMIF('SG08'!$B:$B,$B103,'SG08'!L:L)*SG08_+SUMIF('SG09'!$B:$B,$B103,'SG09'!L:L)*SG09_+SUMIF('SG10'!$B:$B,$B103,'SG10'!L:L)*SG10_+SUMIF('SG11'!$B:$B,$B103,'SG11'!L:L)*SG11_+SUMIF('SG12'!$B:$B,$B103,'SG12'!L:L)*SG12_+SUMIF('SG13'!$B:$B,$B103,'SG13'!L:L)*SG13_+SUMIF('SG14'!$B:$B,$B103,'SG14'!L:L)*SG14_+SUMIF('SG15'!$B:$B,$B103,'SG15'!L:L)*SG15_)</f>
        <v>11150000</v>
      </c>
      <c r="M103" s="253">
        <f t="shared" ref="M103" ca="1" si="226">L103-K103</f>
        <v>8898495.3312883433</v>
      </c>
      <c r="N103" s="257">
        <f t="shared" ref="N103" ca="1" si="227">K103/L103</f>
        <v>0.20192866983961041</v>
      </c>
      <c r="O103" s="258">
        <f t="shared" ref="O103" ca="1" si="228">L103/L$10</f>
        <v>7.1909364534043438E-3</v>
      </c>
      <c r="P103" s="258">
        <f t="shared" ref="P103" ca="1" si="229">M103/M$10</f>
        <v>8.649004769918596E-3</v>
      </c>
      <c r="Q103" s="258">
        <f t="shared" ref="Q103" ca="1" si="230">I103/I$10</f>
        <v>6.7904310989284821E-3</v>
      </c>
      <c r="R103" s="259">
        <f t="shared" ref="R103" ca="1" si="231">I103/$K$5*100</f>
        <v>2.9515299214730573</v>
      </c>
      <c r="S103" s="545">
        <f t="shared" ref="S103" ca="1" si="232">R103*T$5</f>
        <v>8.6714399363564034</v>
      </c>
      <c r="T103" s="546">
        <f t="shared" ref="T103" ca="1" si="233">IFERROR(S103*G103,0)</f>
        <v>887032.61734287988</v>
      </c>
      <c r="U103" s="121"/>
      <c r="V103" s="327" t="str">
        <f t="shared" ref="V103" ca="1" si="234">IF(B103&lt;&gt;"",IFERROR(IF($I103&gt;=$X$10,"High","Low"),""),"")</f>
        <v>High</v>
      </c>
      <c r="W103" s="327" t="str">
        <f t="shared" ref="W103" ca="1" si="235">IF(B103&lt;&gt;"",IFERROR(IF($L103&gt;=$X$12,"High","Low"),""),"")</f>
        <v>High</v>
      </c>
      <c r="X103" s="328" t="str">
        <f t="shared" ref="X103" ca="1" si="236">IF(B103&lt;&gt;"",IFERROR(IF(AND(V103="high",W103="high"),"Star",IF(AND(V103="low",W103="high"),"Puzzle",(IF(AND(V103="high",W103="low"),"Horse","Dog")))),""),"")</f>
        <v>Star</v>
      </c>
    </row>
    <row r="104" spans="1:39" ht="19.149999999999999" customHeight="1" x14ac:dyDescent="0.35">
      <c r="A104" s="366">
        <v>5</v>
      </c>
      <c r="B104" s="629" t="s">
        <v>639</v>
      </c>
      <c r="C104" s="365" t="str">
        <f>VLOOKUP(B104,'SG01'!$B:$E,2,0)</f>
        <v>Mỳ Udon Thịt Bò</v>
      </c>
      <c r="D104" s="495"/>
      <c r="E104" s="468" t="str">
        <f>VLOOKUP(B104,'SG01'!$B:$E,4,0)</f>
        <v>Phần</v>
      </c>
      <c r="F104" s="61">
        <f t="shared" ca="1" si="202"/>
        <v>14694.34358974359</v>
      </c>
      <c r="G104" s="61">
        <f t="shared" ca="1" si="203"/>
        <v>127523.5294117647</v>
      </c>
      <c r="H104" s="254">
        <f t="shared" ca="1" si="204"/>
        <v>112829.18582202111</v>
      </c>
      <c r="I104" s="255">
        <f ca="1">(SUMIF('SG01'!$B:$B,$B104,'SG01'!I:I)*SG01_+SUMIF('SG02'!$B:$B,$B104,'SG02'!I:I)*SG02_+SUMIF('SG03'!$B:$B,$B104,'SG03'!I:I)*SG03_+SUMIF('SG04'!$B:$B,$B104,'SG04'!I:I)*SG04_+SUMIF('SG05'!$B:$B,$B104,'SG05'!I:I)*SG05_+SUMIF('SG06'!$B:$B,$B104,'SG06'!I:I)*SG06_+SUMIF('SG07'!$B:$B,$B104,'SG07'!I:I)*SG07_+SUMIF('SG08'!$B:$B,$B104,'SG08'!I:I)*SG08_+SUMIF('SG09'!$B:$B,$B104,'SG09'!I:I)*SG09_+SUMIF('SG10'!$B:$B,$B104,'SG10'!I:I)*SG10_+SUMIF('SG11'!$B:$B,$B104,'SG11'!I:I)*SG11_+SUMIF('SG12'!$B:$B,$B104,'SG12'!I:I)*SG12_+SUMIF('SG13'!$B:$B,$B104,'SG13'!I:I)*SG13_+SUMIF('SG14'!$B:$B,$B104,'SG14'!I:I)*SG14_+SUMIF('SG15'!$B:$B,$B104,'SG15'!I:I)*SG15_)</f>
        <v>170</v>
      </c>
      <c r="J104" s="256"/>
      <c r="K104" s="61">
        <f ca="1">(SUMIF('SG01'!$B:$B,$B104,'SG01'!K:K)*SG01_+SUMIF('SG02'!$B:$B,$B104,'SG02'!K:K)*SG02_+SUMIF('SG03'!$B:$B,$B104,'SG03'!K:K)*SG03_+SUMIF('SG04'!$B:$B,$B104,'SG04'!K:K)*SG04_+SUMIF('SG05'!$B:$B,$B104,'SG05'!K:K)*SG05_+SUMIF('SG06'!$B:$B,$B104,'SG06'!K:K)*SG06_+SUMIF('SG07'!$B:$B,$B104,'SG07'!K:K)*SG07_+SUMIF('SG08'!$B:$B,$B104,'SG08'!K:K)*SG08_+SUMIF('SG09'!$B:$B,$B104,'SG09'!K:K)*SG09_+SUMIF('SG10'!$B:$B,$B104,'SG10'!K:K)*SG10_+SUMIF('SG11'!$B:$B,$B104,'SG11'!K:K)*SG11_+SUMIF('SG12'!$B:$B,$B104,'SG12'!K:K)*SG12_+SUMIF('SG13'!$B:$B,$B104,'SG13'!K:K)*SG13_+SUMIF('SG14'!$B:$B,$B104,'SG14'!K:K)*SG14_+SUMIF('SG15'!$B:$B,$B104,'SG15'!K:K)*SG15_)</f>
        <v>2498038.4102564105</v>
      </c>
      <c r="L104" s="61">
        <f ca="1">(SUMIF('SG01'!$B:$B,$B104,'SG01'!L:L)*SG01_+SUMIF('SG02'!$B:$B,$B104,'SG02'!L:L)*SG02_+SUMIF('SG03'!$B:$B,$B104,'SG03'!L:L)*SG03_+SUMIF('SG04'!$B:$B,$B104,'SG04'!L:L)*SG04_+SUMIF('SG05'!$B:$B,$B104,'SG05'!L:L)*SG05_+SUMIF('SG06'!$B:$B,$B104,'SG06'!L:L)*SG06_+SUMIF('SG07'!$B:$B,$B104,'SG07'!L:L)*SG07_+SUMIF('SG08'!$B:$B,$B104,'SG08'!L:L)*SG08_+SUMIF('SG09'!$B:$B,$B104,'SG09'!L:L)*SG09_+SUMIF('SG10'!$B:$B,$B104,'SG10'!L:L)*SG10_+SUMIF('SG11'!$B:$B,$B104,'SG11'!L:L)*SG11_+SUMIF('SG12'!$B:$B,$B104,'SG12'!L:L)*SG12_+SUMIF('SG13'!$B:$B,$B104,'SG13'!L:L)*SG13_+SUMIF('SG14'!$B:$B,$B104,'SG14'!L:L)*SG14_+SUMIF('SG15'!$B:$B,$B104,'SG15'!L:L)*SG15_)</f>
        <v>21679000</v>
      </c>
      <c r="M104" s="253">
        <f t="shared" ca="1" si="205"/>
        <v>19180961.589743588</v>
      </c>
      <c r="N104" s="257">
        <f t="shared" ca="1" si="197"/>
        <v>0.11522848887201488</v>
      </c>
      <c r="O104" s="258">
        <f t="shared" ca="1" si="198"/>
        <v>1.3981373217341057E-2</v>
      </c>
      <c r="P104" s="258">
        <f t="shared" ca="1" si="199"/>
        <v>1.8643177537892675E-2</v>
      </c>
      <c r="Q104" s="258">
        <f t="shared" ca="1" si="200"/>
        <v>1.0590580613007725E-2</v>
      </c>
      <c r="R104" s="259">
        <f t="shared" ca="1" si="201"/>
        <v>4.6033035472515564</v>
      </c>
      <c r="S104" s="545">
        <f t="shared" ca="1" si="195"/>
        <v>13.52426412092283</v>
      </c>
      <c r="T104" s="546">
        <f t="shared" ca="1" si="196"/>
        <v>1724661.8933969764</v>
      </c>
      <c r="U104" s="121"/>
      <c r="V104" s="327" t="str">
        <f t="shared" ca="1" si="206"/>
        <v>High</v>
      </c>
      <c r="W104" s="327" t="str">
        <f t="shared" ca="1" si="207"/>
        <v>High</v>
      </c>
      <c r="X104" s="328" t="str">
        <f t="shared" ca="1" si="208"/>
        <v>Star</v>
      </c>
    </row>
    <row r="105" spans="1:39" ht="19.149999999999999" customHeight="1" x14ac:dyDescent="0.35">
      <c r="A105" s="366"/>
      <c r="B105" s="509"/>
      <c r="C105" s="365"/>
      <c r="D105" s="495"/>
      <c r="E105" s="468"/>
      <c r="F105" s="61"/>
      <c r="G105" s="61"/>
      <c r="H105" s="254"/>
      <c r="I105" s="255"/>
      <c r="J105" s="256"/>
      <c r="K105" s="61"/>
      <c r="L105" s="61"/>
      <c r="M105" s="253"/>
      <c r="N105" s="257"/>
      <c r="O105" s="258"/>
      <c r="P105" s="258"/>
      <c r="Q105" s="258"/>
      <c r="R105" s="259"/>
      <c r="S105" s="545"/>
      <c r="T105" s="546"/>
      <c r="U105" s="121"/>
      <c r="V105" s="327"/>
      <c r="W105" s="327"/>
      <c r="X105" s="328"/>
    </row>
    <row r="106" spans="1:39" ht="19.5" customHeight="1" x14ac:dyDescent="0.35">
      <c r="A106" s="453"/>
      <c r="B106" s="331" t="s">
        <v>559</v>
      </c>
      <c r="C106" s="332" t="s">
        <v>560</v>
      </c>
      <c r="D106" s="484"/>
      <c r="E106" s="484"/>
      <c r="F106" s="313"/>
      <c r="G106" s="312"/>
      <c r="H106" s="312"/>
      <c r="I106" s="307">
        <f ca="1">SUBTOTAL(9,I107:I112)</f>
        <v>847</v>
      </c>
      <c r="J106" s="308"/>
      <c r="K106" s="307">
        <f ca="1">SUBTOTAL(9,K107:K112)</f>
        <v>206057626.2210421</v>
      </c>
      <c r="L106" s="307">
        <f ca="1">SUBTOTAL(9,L107:L112)</f>
        <v>677761000</v>
      </c>
      <c r="M106" s="307">
        <f ca="1">SUBTOTAL(9,M107:M112)</f>
        <v>471703373.7789579</v>
      </c>
      <c r="N106" s="314">
        <f ca="1">K106/L106</f>
        <v>0.30402697443647847</v>
      </c>
      <c r="O106" s="310">
        <f t="shared" ca="1" si="198"/>
        <v>0.43710639296823156</v>
      </c>
      <c r="P106" s="310">
        <f t="shared" ca="1" si="199"/>
        <v>0.45847804352449151</v>
      </c>
      <c r="Q106" s="310">
        <f t="shared" ca="1" si="200"/>
        <v>5.2766010465985544E-2</v>
      </c>
      <c r="R106" s="311">
        <f t="shared" ca="1" si="201"/>
        <v>22.935282967776875</v>
      </c>
      <c r="S106" s="311">
        <f t="shared" ca="1" si="195"/>
        <v>67.382657120127277</v>
      </c>
      <c r="T106" s="311">
        <f t="shared" ca="1" si="196"/>
        <v>0</v>
      </c>
      <c r="U106" s="121"/>
      <c r="V106" s="327"/>
      <c r="W106" s="327"/>
      <c r="X106" s="328"/>
    </row>
    <row r="107" spans="1:39" ht="19.5" customHeight="1" x14ac:dyDescent="0.35">
      <c r="A107" s="366">
        <v>1</v>
      </c>
      <c r="B107" s="467" t="s">
        <v>640</v>
      </c>
      <c r="C107" s="365" t="str">
        <f>VLOOKUP(B107,'SG02'!$B:$E,2,0)</f>
        <v>PHẦN COMBO GINZA (SÀNH ĐIỆU)</v>
      </c>
      <c r="D107" s="365"/>
      <c r="E107" s="468" t="str">
        <f>VLOOKUP(B107,'SG01'!$B:$E,4,0)</f>
        <v>Phần</v>
      </c>
      <c r="F107" s="61">
        <f t="shared" ref="F107:F110" ca="1" si="237">K107/I107</f>
        <v>140553.12921348316</v>
      </c>
      <c r="G107" s="61">
        <f t="shared" ref="G107:G110" ca="1" si="238">L107/I107</f>
        <v>516547.16981132078</v>
      </c>
      <c r="H107" s="273">
        <f t="shared" ref="H107:H110" ca="1" si="239">G107-F107</f>
        <v>375994.04059783765</v>
      </c>
      <c r="I107" s="255">
        <f ca="1">(SUMIF('SG01'!$B:$B,$B107,'SG01'!I:I)*SG01_+SUMIF('SG02'!$B:$B,$B107,'SG02'!I:I)*SG02_+SUMIF('SG03'!$B:$B,$B107,'SG03'!I:I)*SG03_+SUMIF('SG04'!$B:$B,$B107,'SG04'!I:I)*SG04_+SUMIF('SG05'!$B:$B,$B107,'SG05'!I:I)*SG05_+SUMIF('SG06'!$B:$B,$B107,'SG06'!I:I)*SG06_+SUMIF('SG07'!$B:$B,$B107,'SG07'!I:I)*SG07_+SUMIF('SG08'!$B:$B,$B107,'SG08'!I:I)*SG08_+SUMIF('SG09'!$B:$B,$B107,'SG09'!I:I)*SG09_+SUMIF('SG10'!$B:$B,$B107,'SG10'!I:I)*SG10_+SUMIF('SG11'!$B:$B,$B107,'SG11'!I:I)*SG11_+SUMIF('SG12'!$B:$B,$B107,'SG12'!I:I)*SG12_+SUMIF('SG13'!$B:$B,$B107,'SG13'!I:I)*SG13_+SUMIF('SG14'!$B:$B,$B107,'SG14'!I:I)*SG14_+SUMIF('SG15'!$B:$B,$B107,'SG15'!I:I)*SG15_)</f>
        <v>159</v>
      </c>
      <c r="J107" s="256"/>
      <c r="K107" s="61">
        <f ca="1">(SUMIF('SG01'!$B:$B,$B107,'SG01'!K:K)*SG01_+SUMIF('SG02'!$B:$B,$B107,'SG02'!K:K)*SG02_+SUMIF('SG03'!$B:$B,$B107,'SG03'!K:K)*SG03_+SUMIF('SG04'!$B:$B,$B107,'SG04'!K:K)*SG04_+SUMIF('SG05'!$B:$B,$B107,'SG05'!K:K)*SG05_+SUMIF('SG06'!$B:$B,$B107,'SG06'!K:K)*SG06_+SUMIF('SG07'!$B:$B,$B107,'SG07'!K:K)*SG07_+SUMIF('SG08'!$B:$B,$B107,'SG08'!K:K)*SG08_+SUMIF('SG09'!$B:$B,$B107,'SG09'!K:K)*SG09_+SUMIF('SG10'!$B:$B,$B107,'SG10'!K:K)*SG10_+SUMIF('SG11'!$B:$B,$B107,'SG11'!K:K)*SG11_+SUMIF('SG12'!$B:$B,$B107,'SG12'!K:K)*SG12_+SUMIF('SG13'!$B:$B,$B107,'SG13'!K:K)*SG13_+SUMIF('SG14'!$B:$B,$B107,'SG14'!K:K)*SG14_+SUMIF('SG15'!$B:$B,$B107,'SG15'!K:K)*SG15_)</f>
        <v>22347947.544943821</v>
      </c>
      <c r="L107" s="61">
        <f ca="1">(SUMIF('SG01'!$B:$B,$B107,'SG01'!L:L)*SG01_+SUMIF('SG02'!$B:$B,$B107,'SG02'!L:L)*SG02_+SUMIF('SG03'!$B:$B,$B107,'SG03'!L:L)*SG03_+SUMIF('SG04'!$B:$B,$B107,'SG04'!L:L)*SG04_+SUMIF('SG05'!$B:$B,$B107,'SG05'!L:L)*SG05_+SUMIF('SG06'!$B:$B,$B107,'SG06'!L:L)*SG06_+SUMIF('SG07'!$B:$B,$B107,'SG07'!L:L)*SG07_+SUMIF('SG08'!$B:$B,$B107,'SG08'!L:L)*SG08_+SUMIF('SG09'!$B:$B,$B107,'SG09'!L:L)*SG09_+SUMIF('SG10'!$B:$B,$B107,'SG10'!L:L)*SG10_+SUMIF('SG11'!$B:$B,$B107,'SG11'!L:L)*SG11_+SUMIF('SG12'!$B:$B,$B107,'SG12'!L:L)*SG12_+SUMIF('SG13'!$B:$B,$B107,'SG13'!L:L)*SG13_+SUMIF('SG14'!$B:$B,$B107,'SG14'!L:L)*SG14_+SUMIF('SG15'!$B:$B,$B107,'SG15'!L:L)*SG15_)</f>
        <v>82131000</v>
      </c>
      <c r="M107" s="253">
        <f t="shared" ref="M107:M110" ca="1" si="240">L107-K107</f>
        <v>59783052.455056176</v>
      </c>
      <c r="N107" s="257">
        <f t="shared" ref="N107:N110" ca="1" si="241">K107/L107</f>
        <v>0.27210124733588803</v>
      </c>
      <c r="O107" s="258">
        <f t="shared" ref="O107:O110" ca="1" si="242">L107/L$10</f>
        <v>5.2968502408480014E-2</v>
      </c>
      <c r="P107" s="258">
        <f t="shared" ref="P107:P110" ca="1" si="243">M107/M$10</f>
        <v>5.8106891850131806E-2</v>
      </c>
      <c r="Q107" s="258">
        <f t="shared" ref="Q107:Q110" ca="1" si="244">I107/I$10</f>
        <v>9.9053077498131078E-3</v>
      </c>
      <c r="R107" s="259">
        <f t="shared" ref="R107:R110" ca="1" si="245">I107/$K$5*100</f>
        <v>4.3054427294882212</v>
      </c>
      <c r="S107" s="545">
        <f t="shared" ref="S107:S110" ca="1" si="246">R107*T$5</f>
        <v>12.649164677804295</v>
      </c>
      <c r="T107" s="546">
        <f t="shared" ref="T107:T110" ca="1" si="247">IFERROR(S107*G107,0)</f>
        <v>6533890.2147971364</v>
      </c>
      <c r="U107" s="121"/>
      <c r="V107" s="327" t="str">
        <f t="shared" ref="V107:V110" ca="1" si="248">IF(B107&lt;&gt;"",IFERROR(IF($I107&gt;=$X$10,"High","Low"),""),"")</f>
        <v>High</v>
      </c>
      <c r="W107" s="327" t="str">
        <f t="shared" ref="W107:W110" ca="1" si="249">IF(B107&lt;&gt;"",IFERROR(IF($L107&gt;=$X$12,"High","Low"),""),"")</f>
        <v>High</v>
      </c>
      <c r="X107" s="328" t="str">
        <f t="shared" ref="X107:X110" ca="1" si="250">IF(B107&lt;&gt;"",IFERROR(IF(AND(V107="high",W107="high"),"Star",IF(AND(V107="low",W107="high"),"Puzzle",(IF(AND(V107="high",W107="low"),"Horse","Dog")))),""),"")</f>
        <v>Star</v>
      </c>
    </row>
    <row r="108" spans="1:39" ht="19.5" customHeight="1" x14ac:dyDescent="0.35">
      <c r="A108" s="366">
        <v>2</v>
      </c>
      <c r="B108" s="467" t="s">
        <v>641</v>
      </c>
      <c r="C108" s="365" t="str">
        <f>VLOOKUP(B108,'SG02'!$B:$E,2,0)</f>
        <v>PHẦN COMBO GENKI (NĂNG LƯỢNG)</v>
      </c>
      <c r="D108" s="365"/>
      <c r="E108" s="468" t="str">
        <f>VLOOKUP(B108,'SG01'!$B:$E,4,0)</f>
        <v>Phần</v>
      </c>
      <c r="F108" s="61">
        <f t="shared" ca="1" si="237"/>
        <v>232362.19230769231</v>
      </c>
      <c r="G108" s="61">
        <f t="shared" ca="1" si="238"/>
        <v>657944.4444444445</v>
      </c>
      <c r="H108" s="273">
        <f t="shared" ca="1" si="239"/>
        <v>425582.25213675218</v>
      </c>
      <c r="I108" s="255">
        <f ca="1">(SUMIF('SG01'!$B:$B,$B108,'SG01'!I:I)*SG01_+SUMIF('SG02'!$B:$B,$B108,'SG02'!I:I)*SG02_+SUMIF('SG03'!$B:$B,$B108,'SG03'!I:I)*SG03_+SUMIF('SG04'!$B:$B,$B108,'SG04'!I:I)*SG04_+SUMIF('SG05'!$B:$B,$B108,'SG05'!I:I)*SG05_+SUMIF('SG06'!$B:$B,$B108,'SG06'!I:I)*SG06_+SUMIF('SG07'!$B:$B,$B108,'SG07'!I:I)*SG07_+SUMIF('SG08'!$B:$B,$B108,'SG08'!I:I)*SG08_+SUMIF('SG09'!$B:$B,$B108,'SG09'!I:I)*SG09_+SUMIF('SG10'!$B:$B,$B108,'SG10'!I:I)*SG10_+SUMIF('SG11'!$B:$B,$B108,'SG11'!I:I)*SG11_+SUMIF('SG12'!$B:$B,$B108,'SG12'!I:I)*SG12_+SUMIF('SG13'!$B:$B,$B108,'SG13'!I:I)*SG13_+SUMIF('SG14'!$B:$B,$B108,'SG14'!I:I)*SG14_+SUMIF('SG15'!$B:$B,$B108,'SG15'!I:I)*SG15_)</f>
        <v>90</v>
      </c>
      <c r="J108" s="256"/>
      <c r="K108" s="61">
        <f ca="1">(SUMIF('SG01'!$B:$B,$B108,'SG01'!K:K)*SG01_+SUMIF('SG02'!$B:$B,$B108,'SG02'!K:K)*SG02_+SUMIF('SG03'!$B:$B,$B108,'SG03'!K:K)*SG03_+SUMIF('SG04'!$B:$B,$B108,'SG04'!K:K)*SG04_+SUMIF('SG05'!$B:$B,$B108,'SG05'!K:K)*SG05_+SUMIF('SG06'!$B:$B,$B108,'SG06'!K:K)*SG06_+SUMIF('SG07'!$B:$B,$B108,'SG07'!K:K)*SG07_+SUMIF('SG08'!$B:$B,$B108,'SG08'!K:K)*SG08_+SUMIF('SG09'!$B:$B,$B108,'SG09'!K:K)*SG09_+SUMIF('SG10'!$B:$B,$B108,'SG10'!K:K)*SG10_+SUMIF('SG11'!$B:$B,$B108,'SG11'!K:K)*SG11_+SUMIF('SG12'!$B:$B,$B108,'SG12'!K:K)*SG12_+SUMIF('SG13'!$B:$B,$B108,'SG13'!K:K)*SG13_+SUMIF('SG14'!$B:$B,$B108,'SG14'!K:K)*SG14_+SUMIF('SG15'!$B:$B,$B108,'SG15'!K:K)*SG15_)</f>
        <v>20912597.307692308</v>
      </c>
      <c r="L108" s="61">
        <f ca="1">(SUMIF('SG01'!$B:$B,$B108,'SG01'!L:L)*SG01_+SUMIF('SG02'!$B:$B,$B108,'SG02'!L:L)*SG02_+SUMIF('SG03'!$B:$B,$B108,'SG03'!L:L)*SG03_+SUMIF('SG04'!$B:$B,$B108,'SG04'!L:L)*SG04_+SUMIF('SG05'!$B:$B,$B108,'SG05'!L:L)*SG05_+SUMIF('SG06'!$B:$B,$B108,'SG06'!L:L)*SG06_+SUMIF('SG07'!$B:$B,$B108,'SG07'!L:L)*SG07_+SUMIF('SG08'!$B:$B,$B108,'SG08'!L:L)*SG08_+SUMIF('SG09'!$B:$B,$B108,'SG09'!L:L)*SG09_+SUMIF('SG10'!$B:$B,$B108,'SG10'!L:L)*SG10_+SUMIF('SG11'!$B:$B,$B108,'SG11'!L:L)*SG11_+SUMIF('SG12'!$B:$B,$B108,'SG12'!L:L)*SG12_+SUMIF('SG13'!$B:$B,$B108,'SG13'!L:L)*SG13_+SUMIF('SG14'!$B:$B,$B108,'SG14'!L:L)*SG14_+SUMIF('SG15'!$B:$B,$B108,'SG15'!L:L)*SG15_)</f>
        <v>59215000.000000007</v>
      </c>
      <c r="M108" s="253">
        <f t="shared" ca="1" si="240"/>
        <v>38302402.692307696</v>
      </c>
      <c r="N108" s="257">
        <f t="shared" ca="1" si="241"/>
        <v>0.35316384881689278</v>
      </c>
      <c r="O108" s="258">
        <f t="shared" ca="1" si="242"/>
        <v>3.8189354447384603E-2</v>
      </c>
      <c r="P108" s="258">
        <f t="shared" ca="1" si="243"/>
        <v>3.7228503387566433E-2</v>
      </c>
      <c r="Q108" s="258">
        <f t="shared" ca="1" si="244"/>
        <v>5.6067779715923251E-3</v>
      </c>
      <c r="R108" s="259">
        <f t="shared" ca="1" si="245"/>
        <v>2.4370430544272947</v>
      </c>
      <c r="S108" s="545">
        <f t="shared" ca="1" si="246"/>
        <v>7.1599045346062047</v>
      </c>
      <c r="T108" s="546">
        <f t="shared" ca="1" si="247"/>
        <v>4710819.4112967383</v>
      </c>
      <c r="U108" s="121"/>
      <c r="V108" s="327" t="str">
        <f t="shared" ca="1" si="248"/>
        <v>Low</v>
      </c>
      <c r="W108" s="327" t="str">
        <f t="shared" ca="1" si="249"/>
        <v>High</v>
      </c>
      <c r="X108" s="328" t="str">
        <f t="shared" ca="1" si="250"/>
        <v>Puzzle</v>
      </c>
    </row>
    <row r="109" spans="1:39" ht="19.5" customHeight="1" x14ac:dyDescent="0.35">
      <c r="A109" s="366">
        <v>3</v>
      </c>
      <c r="B109" s="467" t="s">
        <v>642</v>
      </c>
      <c r="C109" s="365" t="str">
        <f>VLOOKUP(B109,'SG02'!$B:$E,2,0)</f>
        <v>PHẦN COMBO GOKUJO (THƯỢNG ĐỈNH)</v>
      </c>
      <c r="D109" s="365"/>
      <c r="E109" s="468" t="str">
        <f>VLOOKUP(B109,'SG01'!$B:$E,4,0)</f>
        <v>Phần</v>
      </c>
      <c r="F109" s="61">
        <f t="shared" ca="1" si="237"/>
        <v>456827.82978723402</v>
      </c>
      <c r="G109" s="61">
        <f t="shared" ca="1" si="238"/>
        <v>1428738.4615384615</v>
      </c>
      <c r="H109" s="273">
        <f t="shared" ca="1" si="239"/>
        <v>971910.63175122743</v>
      </c>
      <c r="I109" s="255">
        <f ca="1">(SUMIF('SG01'!$B:$B,$B109,'SG01'!I:I)*SG01_+SUMIF('SG02'!$B:$B,$B109,'SG02'!I:I)*SG02_+SUMIF('SG03'!$B:$B,$B109,'SG03'!I:I)*SG03_+SUMIF('SG04'!$B:$B,$B109,'SG04'!I:I)*SG04_+SUMIF('SG05'!$B:$B,$B109,'SG05'!I:I)*SG05_+SUMIF('SG06'!$B:$B,$B109,'SG06'!I:I)*SG06_+SUMIF('SG07'!$B:$B,$B109,'SG07'!I:I)*SG07_+SUMIF('SG08'!$B:$B,$B109,'SG08'!I:I)*SG08_+SUMIF('SG09'!$B:$B,$B109,'SG09'!I:I)*SG09_+SUMIF('SG10'!$B:$B,$B109,'SG10'!I:I)*SG10_+SUMIF('SG11'!$B:$B,$B109,'SG11'!I:I)*SG11_+SUMIF('SG12'!$B:$B,$B109,'SG12'!I:I)*SG12_+SUMIF('SG13'!$B:$B,$B109,'SG13'!I:I)*SG13_+SUMIF('SG14'!$B:$B,$B109,'SG14'!I:I)*SG14_+SUMIF('SG15'!$B:$B,$B109,'SG15'!I:I)*SG15_)</f>
        <v>65</v>
      </c>
      <c r="J109" s="256"/>
      <c r="K109" s="61">
        <f ca="1">(SUMIF('SG01'!$B:$B,$B109,'SG01'!K:K)*SG01_+SUMIF('SG02'!$B:$B,$B109,'SG02'!K:K)*SG02_+SUMIF('SG03'!$B:$B,$B109,'SG03'!K:K)*SG03_+SUMIF('SG04'!$B:$B,$B109,'SG04'!K:K)*SG04_+SUMIF('SG05'!$B:$B,$B109,'SG05'!K:K)*SG05_+SUMIF('SG06'!$B:$B,$B109,'SG06'!K:K)*SG06_+SUMIF('SG07'!$B:$B,$B109,'SG07'!K:K)*SG07_+SUMIF('SG08'!$B:$B,$B109,'SG08'!K:K)*SG08_+SUMIF('SG09'!$B:$B,$B109,'SG09'!K:K)*SG09_+SUMIF('SG10'!$B:$B,$B109,'SG10'!K:K)*SG10_+SUMIF('SG11'!$B:$B,$B109,'SG11'!K:K)*SG11_+SUMIF('SG12'!$B:$B,$B109,'SG12'!K:K)*SG12_+SUMIF('SG13'!$B:$B,$B109,'SG13'!K:K)*SG13_+SUMIF('SG14'!$B:$B,$B109,'SG14'!K:K)*SG14_+SUMIF('SG15'!$B:$B,$B109,'SG15'!K:K)*SG15_)</f>
        <v>29693808.936170213</v>
      </c>
      <c r="L109" s="61">
        <f ca="1">(SUMIF('SG01'!$B:$B,$B109,'SG01'!L:L)*SG01_+SUMIF('SG02'!$B:$B,$B109,'SG02'!L:L)*SG02_+SUMIF('SG03'!$B:$B,$B109,'SG03'!L:L)*SG03_+SUMIF('SG04'!$B:$B,$B109,'SG04'!L:L)*SG04_+SUMIF('SG05'!$B:$B,$B109,'SG05'!L:L)*SG05_+SUMIF('SG06'!$B:$B,$B109,'SG06'!L:L)*SG06_+SUMIF('SG07'!$B:$B,$B109,'SG07'!L:L)*SG07_+SUMIF('SG08'!$B:$B,$B109,'SG08'!L:L)*SG08_+SUMIF('SG09'!$B:$B,$B109,'SG09'!L:L)*SG09_+SUMIF('SG10'!$B:$B,$B109,'SG10'!L:L)*SG10_+SUMIF('SG11'!$B:$B,$B109,'SG11'!L:L)*SG11_+SUMIF('SG12'!$B:$B,$B109,'SG12'!L:L)*SG12_+SUMIF('SG13'!$B:$B,$B109,'SG13'!L:L)*SG13_+SUMIF('SG14'!$B:$B,$B109,'SG14'!L:L)*SG14_+SUMIF('SG15'!$B:$B,$B109,'SG15'!L:L)*SG15_)</f>
        <v>92868000</v>
      </c>
      <c r="M109" s="253">
        <f t="shared" ca="1" si="240"/>
        <v>63174191.063829787</v>
      </c>
      <c r="N109" s="257">
        <f t="shared" ca="1" si="241"/>
        <v>0.31974209562142192</v>
      </c>
      <c r="O109" s="258">
        <f t="shared" ca="1" si="242"/>
        <v>5.989308399594212E-2</v>
      </c>
      <c r="P109" s="258">
        <f t="shared" ca="1" si="243"/>
        <v>6.1402951791817657E-2</v>
      </c>
      <c r="Q109" s="258">
        <f t="shared" ca="1" si="244"/>
        <v>4.0493396461500127E-3</v>
      </c>
      <c r="R109" s="259">
        <f t="shared" ca="1" si="245"/>
        <v>1.7600866504197128</v>
      </c>
      <c r="S109" s="545">
        <f t="shared" ca="1" si="246"/>
        <v>5.1710421638822588</v>
      </c>
      <c r="T109" s="546">
        <f t="shared" ca="1" si="247"/>
        <v>7388066.825775655</v>
      </c>
      <c r="U109" s="121"/>
      <c r="V109" s="327" t="str">
        <f t="shared" ca="1" si="248"/>
        <v>Low</v>
      </c>
      <c r="W109" s="327" t="str">
        <f t="shared" ca="1" si="249"/>
        <v>High</v>
      </c>
      <c r="X109" s="328" t="str">
        <f t="shared" ca="1" si="250"/>
        <v>Puzzle</v>
      </c>
    </row>
    <row r="110" spans="1:39" ht="19.5" customHeight="1" x14ac:dyDescent="0.35">
      <c r="A110" s="366">
        <v>4</v>
      </c>
      <c r="B110" s="467" t="s">
        <v>643</v>
      </c>
      <c r="C110" s="365" t="str">
        <f>VLOOKUP(B110,'SG02'!$B:$E,2,0)</f>
        <v>PHẦN COMBO GISHIKI (TINH HOA)</v>
      </c>
      <c r="D110" s="365"/>
      <c r="E110" s="468" t="str">
        <f>VLOOKUP(B110,'SG01'!$B:$E,4,0)</f>
        <v>Phần</v>
      </c>
      <c r="F110" s="61">
        <f t="shared" ca="1" si="237"/>
        <v>366058.48979591834</v>
      </c>
      <c r="G110" s="61">
        <f t="shared" ca="1" si="238"/>
        <v>1241000</v>
      </c>
      <c r="H110" s="273">
        <f t="shared" ca="1" si="239"/>
        <v>874941.51020408166</v>
      </c>
      <c r="I110" s="255">
        <f ca="1">(SUMIF('SG01'!$B:$B,$B110,'SG01'!I:I)*SG01_+SUMIF('SG02'!$B:$B,$B110,'SG02'!I:I)*SG02_+SUMIF('SG03'!$B:$B,$B110,'SG03'!I:I)*SG03_+SUMIF('SG04'!$B:$B,$B110,'SG04'!I:I)*SG04_+SUMIF('SG05'!$B:$B,$B110,'SG05'!I:I)*SG05_+SUMIF('SG06'!$B:$B,$B110,'SG06'!I:I)*SG06_+SUMIF('SG07'!$B:$B,$B110,'SG07'!I:I)*SG07_+SUMIF('SG08'!$B:$B,$B110,'SG08'!I:I)*SG08_+SUMIF('SG09'!$B:$B,$B110,'SG09'!I:I)*SG09_+SUMIF('SG10'!$B:$B,$B110,'SG10'!I:I)*SG10_+SUMIF('SG11'!$B:$B,$B110,'SG11'!I:I)*SG11_+SUMIF('SG12'!$B:$B,$B110,'SG12'!I:I)*SG12_+SUMIF('SG13'!$B:$B,$B110,'SG13'!I:I)*SG13_+SUMIF('SG14'!$B:$B,$B110,'SG14'!I:I)*SG14_+SUMIF('SG15'!$B:$B,$B110,'SG15'!I:I)*SG15_)</f>
        <v>40</v>
      </c>
      <c r="J110" s="256"/>
      <c r="K110" s="61">
        <f ca="1">(SUMIF('SG01'!$B:$B,$B110,'SG01'!K:K)*SG01_+SUMIF('SG02'!$B:$B,$B110,'SG02'!K:K)*SG02_+SUMIF('SG03'!$B:$B,$B110,'SG03'!K:K)*SG03_+SUMIF('SG04'!$B:$B,$B110,'SG04'!K:K)*SG04_+SUMIF('SG05'!$B:$B,$B110,'SG05'!K:K)*SG05_+SUMIF('SG06'!$B:$B,$B110,'SG06'!K:K)*SG06_+SUMIF('SG07'!$B:$B,$B110,'SG07'!K:K)*SG07_+SUMIF('SG08'!$B:$B,$B110,'SG08'!K:K)*SG08_+SUMIF('SG09'!$B:$B,$B110,'SG09'!K:K)*SG09_+SUMIF('SG10'!$B:$B,$B110,'SG10'!K:K)*SG10_+SUMIF('SG11'!$B:$B,$B110,'SG11'!K:K)*SG11_+SUMIF('SG12'!$B:$B,$B110,'SG12'!K:K)*SG12_+SUMIF('SG13'!$B:$B,$B110,'SG13'!K:K)*SG13_+SUMIF('SG14'!$B:$B,$B110,'SG14'!K:K)*SG14_+SUMIF('SG15'!$B:$B,$B110,'SG15'!K:K)*SG15_)</f>
        <v>14642339.591836734</v>
      </c>
      <c r="L110" s="61">
        <f ca="1">(SUMIF('SG01'!$B:$B,$B110,'SG01'!L:L)*SG01_+SUMIF('SG02'!$B:$B,$B110,'SG02'!L:L)*SG02_+SUMIF('SG03'!$B:$B,$B110,'SG03'!L:L)*SG03_+SUMIF('SG04'!$B:$B,$B110,'SG04'!L:L)*SG04_+SUMIF('SG05'!$B:$B,$B110,'SG05'!L:L)*SG05_+SUMIF('SG06'!$B:$B,$B110,'SG06'!L:L)*SG06_+SUMIF('SG07'!$B:$B,$B110,'SG07'!L:L)*SG07_+SUMIF('SG08'!$B:$B,$B110,'SG08'!L:L)*SG08_+SUMIF('SG09'!$B:$B,$B110,'SG09'!L:L)*SG09_+SUMIF('SG10'!$B:$B,$B110,'SG10'!L:L)*SG10_+SUMIF('SG11'!$B:$B,$B110,'SG11'!L:L)*SG11_+SUMIF('SG12'!$B:$B,$B110,'SG12'!L:L)*SG12_+SUMIF('SG13'!$B:$B,$B110,'SG13'!L:L)*SG13_+SUMIF('SG14'!$B:$B,$B110,'SG14'!L:L)*SG14_+SUMIF('SG15'!$B:$B,$B110,'SG15'!L:L)*SG15_)</f>
        <v>49640000</v>
      </c>
      <c r="M110" s="253">
        <f t="shared" ca="1" si="240"/>
        <v>34997660.408163264</v>
      </c>
      <c r="N110" s="257">
        <f t="shared" ca="1" si="241"/>
        <v>0.29497058001282705</v>
      </c>
      <c r="O110" s="258">
        <f t="shared" ca="1" si="242"/>
        <v>3.2014178075963379E-2</v>
      </c>
      <c r="P110" s="258">
        <f t="shared" ca="1" si="243"/>
        <v>3.4016417443281446E-2</v>
      </c>
      <c r="Q110" s="258">
        <f t="shared" ca="1" si="244"/>
        <v>2.4919013207076999E-3</v>
      </c>
      <c r="R110" s="259">
        <f t="shared" ca="1" si="245"/>
        <v>1.0831302464121311</v>
      </c>
      <c r="S110" s="545">
        <f t="shared" ca="1" si="246"/>
        <v>3.1821797931583133</v>
      </c>
      <c r="T110" s="546">
        <f t="shared" ca="1" si="247"/>
        <v>3949085.123309467</v>
      </c>
      <c r="U110" s="121"/>
      <c r="V110" s="327" t="str">
        <f t="shared" ca="1" si="248"/>
        <v>Low</v>
      </c>
      <c r="W110" s="327" t="str">
        <f t="shared" ca="1" si="249"/>
        <v>High</v>
      </c>
      <c r="X110" s="328" t="str">
        <f t="shared" ca="1" si="250"/>
        <v>Puzzle</v>
      </c>
    </row>
    <row r="111" spans="1:39" ht="19.5" customHeight="1" x14ac:dyDescent="0.35">
      <c r="A111" s="366">
        <v>5</v>
      </c>
      <c r="B111" s="467" t="s">
        <v>700</v>
      </c>
      <c r="C111" s="365" t="str">
        <f>VLOOKUP(B111,'SG02'!$B:$E,2,0)</f>
        <v>PHẦN SET MENU GORO</v>
      </c>
      <c r="D111" s="365"/>
      <c r="E111" s="468" t="str">
        <f>VLOOKUP(B111,'SG01'!$B:$E,4,0)</f>
        <v>Phần</v>
      </c>
      <c r="F111" s="61">
        <f t="shared" ref="F111" ca="1" si="251">K111/I111</f>
        <v>240285.86783042393</v>
      </c>
      <c r="G111" s="61">
        <f t="shared" ref="G111" ca="1" si="252">L111/I111</f>
        <v>799000</v>
      </c>
      <c r="H111" s="273">
        <f t="shared" ref="H111" ca="1" si="253">G111-F111</f>
        <v>558714.13216957613</v>
      </c>
      <c r="I111" s="255">
        <f ca="1">(SUMIF('SG01'!$B:$B,$B111,'SG01'!I:I)*SG01_+SUMIF('SG02'!$B:$B,$B111,'SG02'!I:I)*SG02_+SUMIF('SG03'!$B:$B,$B111,'SG03'!I:I)*SG03_+SUMIF('SG04'!$B:$B,$B111,'SG04'!I:I)*SG04_+SUMIF('SG05'!$B:$B,$B111,'SG05'!I:I)*SG05_+SUMIF('SG06'!$B:$B,$B111,'SG06'!I:I)*SG06_+SUMIF('SG07'!$B:$B,$B111,'SG07'!I:I)*SG07_+SUMIF('SG08'!$B:$B,$B111,'SG08'!I:I)*SG08_+SUMIF('SG09'!$B:$B,$B111,'SG09'!I:I)*SG09_+SUMIF('SG10'!$B:$B,$B111,'SG10'!I:I)*SG10_+SUMIF('SG11'!$B:$B,$B111,'SG11'!I:I)*SG11_+SUMIF('SG12'!$B:$B,$B111,'SG12'!I:I)*SG12_+SUMIF('SG13'!$B:$B,$B111,'SG13'!I:I)*SG13_+SUMIF('SG14'!$B:$B,$B111,'SG14'!I:I)*SG14_+SUMIF('SG15'!$B:$B,$B111,'SG15'!I:I)*SG15_)</f>
        <v>493</v>
      </c>
      <c r="J111" s="256"/>
      <c r="K111" s="61">
        <f ca="1">(SUMIF('SG01'!$B:$B,$B111,'SG01'!K:K)*SG01_+SUMIF('SG02'!$B:$B,$B111,'SG02'!K:K)*SG02_+SUMIF('SG03'!$B:$B,$B111,'SG03'!K:K)*SG03_+SUMIF('SG04'!$B:$B,$B111,'SG04'!K:K)*SG04_+SUMIF('SG05'!$B:$B,$B111,'SG05'!K:K)*SG05_+SUMIF('SG06'!$B:$B,$B111,'SG06'!K:K)*SG06_+SUMIF('SG07'!$B:$B,$B111,'SG07'!K:K)*SG07_+SUMIF('SG08'!$B:$B,$B111,'SG08'!K:K)*SG08_+SUMIF('SG09'!$B:$B,$B111,'SG09'!K:K)*SG09_+SUMIF('SG10'!$B:$B,$B111,'SG10'!K:K)*SG10_+SUMIF('SG11'!$B:$B,$B111,'SG11'!K:K)*SG11_+SUMIF('SG12'!$B:$B,$B111,'SG12'!K:K)*SG12_+SUMIF('SG13'!$B:$B,$B111,'SG13'!K:K)*SG13_+SUMIF('SG14'!$B:$B,$B111,'SG14'!K:K)*SG14_+SUMIF('SG15'!$B:$B,$B111,'SG15'!K:K)*SG15_)</f>
        <v>118460932.840399</v>
      </c>
      <c r="L111" s="61">
        <f ca="1">(SUMIF('SG01'!$B:$B,$B111,'SG01'!L:L)*SG01_+SUMIF('SG02'!$B:$B,$B111,'SG02'!L:L)*SG02_+SUMIF('SG03'!$B:$B,$B111,'SG03'!L:L)*SG03_+SUMIF('SG04'!$B:$B,$B111,'SG04'!L:L)*SG04_+SUMIF('SG05'!$B:$B,$B111,'SG05'!L:L)*SG05_+SUMIF('SG06'!$B:$B,$B111,'SG06'!L:L)*SG06_+SUMIF('SG07'!$B:$B,$B111,'SG07'!L:L)*SG07_+SUMIF('SG08'!$B:$B,$B111,'SG08'!L:L)*SG08_+SUMIF('SG09'!$B:$B,$B111,'SG09'!L:L)*SG09_+SUMIF('SG10'!$B:$B,$B111,'SG10'!L:L)*SG10_+SUMIF('SG11'!$B:$B,$B111,'SG11'!L:L)*SG11_+SUMIF('SG12'!$B:$B,$B111,'SG12'!L:L)*SG12_+SUMIF('SG13'!$B:$B,$B111,'SG13'!L:L)*SG13_+SUMIF('SG14'!$B:$B,$B111,'SG14'!L:L)*SG14_+SUMIF('SG15'!$B:$B,$B111,'SG15'!L:L)*SG15_)</f>
        <v>393907000</v>
      </c>
      <c r="M111" s="253">
        <f t="shared" ref="M111" ca="1" si="254">L111-K111</f>
        <v>275446067.15960097</v>
      </c>
      <c r="N111" s="257">
        <f t="shared" ca="1" si="197"/>
        <v>0.30073325135222018</v>
      </c>
      <c r="O111" s="258">
        <f t="shared" ca="1" si="198"/>
        <v>0.25404127404046145</v>
      </c>
      <c r="P111" s="258">
        <f t="shared" ca="1" si="199"/>
        <v>0.26772327905169419</v>
      </c>
      <c r="Q111" s="258">
        <f t="shared" ref="Q111" ca="1" si="255">I111/I$10</f>
        <v>3.0712683777722401E-2</v>
      </c>
      <c r="R111" s="259">
        <f t="shared" ref="R111" ca="1" si="256">I111/$K$5*100</f>
        <v>13.349580287029516</v>
      </c>
      <c r="S111" s="545">
        <f t="shared" ca="1" si="195"/>
        <v>39.220365950676211</v>
      </c>
      <c r="T111" s="546">
        <f t="shared" ca="1" si="196"/>
        <v>31337072.394590292</v>
      </c>
      <c r="U111" s="121"/>
      <c r="V111" s="327" t="str">
        <f t="shared" ref="V111" ca="1" si="257">IF(B111&lt;&gt;"",IFERROR(IF($I111&gt;=$X$10,"High","Low"),""),"")</f>
        <v>High</v>
      </c>
      <c r="W111" s="327" t="str">
        <f t="shared" ref="W111" ca="1" si="258">IF(B111&lt;&gt;"",IFERROR(IF($L111&gt;=$X$12,"High","Low"),""),"")</f>
        <v>High</v>
      </c>
      <c r="X111" s="328" t="str">
        <f t="shared" ref="X111" ca="1" si="259">IF(B111&lt;&gt;"",IFERROR(IF(AND(V111="high",W111="high"),"Star",IF(AND(V111="low",W111="high"),"Puzzle",(IF(AND(V111="high",W111="low"),"Horse","Dog")))),""),"")</f>
        <v>Star</v>
      </c>
    </row>
    <row r="112" spans="1:39" ht="22.15" customHeight="1" x14ac:dyDescent="0.35">
      <c r="A112" s="76"/>
      <c r="B112" s="253"/>
      <c r="C112" s="253"/>
      <c r="D112" s="253"/>
      <c r="E112" s="254"/>
      <c r="F112" s="61"/>
      <c r="G112" s="254"/>
      <c r="H112" s="254"/>
      <c r="I112" s="255"/>
      <c r="J112" s="256"/>
      <c r="K112" s="253"/>
      <c r="L112" s="253"/>
      <c r="M112" s="253"/>
      <c r="N112" s="257"/>
      <c r="O112" s="258"/>
      <c r="P112" s="258"/>
      <c r="Q112" s="258"/>
      <c r="R112" s="259"/>
      <c r="S112" s="545">
        <f t="shared" ca="1" si="195"/>
        <v>0</v>
      </c>
      <c r="T112" s="546">
        <f t="shared" ca="1" si="196"/>
        <v>0</v>
      </c>
      <c r="U112" s="83"/>
      <c r="V112" s="327" t="str">
        <f t="shared" si="206"/>
        <v/>
      </c>
      <c r="W112" s="327" t="str">
        <f t="shared" si="207"/>
        <v/>
      </c>
      <c r="X112" s="328" t="str">
        <f t="shared" si="208"/>
        <v/>
      </c>
    </row>
    <row r="113" spans="1:39" ht="22.15" customHeight="1" x14ac:dyDescent="0.35">
      <c r="A113" s="100"/>
      <c r="B113" s="318" t="s">
        <v>29</v>
      </c>
      <c r="C113" s="318"/>
      <c r="D113" s="318"/>
      <c r="E113" s="319"/>
      <c r="F113" s="320">
        <f ca="1">('SG01'!F220*SG01_+'SG02'!F221*SG02_+'SG03'!F214*SG03_+'SG04'!F231*SG04_+'SG05'!F230*SG05_+'SG06'!F231*SG06_+'SG07'!F233*SG07_+'SG08'!F237*SG08_+'SG09'!F237*SG09_+'SG10'!F237*SG10_+'SG11'!F237*SG11_+'SG12'!F237*SG12_)/SUM(Control!$B$2:$B$16)</f>
        <v>0</v>
      </c>
      <c r="G113" s="319">
        <f ca="1">('SG01'!G220*SG01_+'SG02'!G221*SG02_+'SG03'!G214*SG03_+'SG04'!G231*SG04_+'SG05'!G230*SG05_+'SG06'!G231*SG06_+'SG07'!G233*SG07_+'SG08'!G237*SG08_+'SG09'!G237*SG09_+'SG10'!G237*SG10_++'SG11'!G237*SG11_)/SUM(Control!$B$2:$B$16)</f>
        <v>0</v>
      </c>
      <c r="H113" s="319">
        <f t="shared" ref="H113:H114" ca="1" si="260">G113-F113</f>
        <v>0</v>
      </c>
      <c r="I113" s="321">
        <f ca="1">SUBTOTAL(9,I114:I155)</f>
        <v>7808</v>
      </c>
      <c r="J113" s="322"/>
      <c r="K113" s="322">
        <f ca="1">SUBTOTAL(9,K114:K155)</f>
        <v>58639456.773321837</v>
      </c>
      <c r="L113" s="322">
        <f ca="1">SUBTOTAL(9,L114:L155)</f>
        <v>147300000</v>
      </c>
      <c r="M113" s="322">
        <f ca="1">SUBTOTAL(9,M114:M155)</f>
        <v>88660543.226678133</v>
      </c>
      <c r="N113" s="323">
        <f t="shared" ref="N113:N114" ca="1" si="261">K113/L113</f>
        <v>0.39809542955411975</v>
      </c>
      <c r="O113" s="324">
        <f t="shared" ref="O113:O114" ca="1" si="262">L113/L$10</f>
        <v>9.4997752429278909E-2</v>
      </c>
      <c r="P113" s="324">
        <f t="shared" ref="P113:P114" ca="1" si="263">M113/M$10</f>
        <v>8.6174733224261918E-2</v>
      </c>
      <c r="Q113" s="324">
        <f t="shared" ref="Q113:Q114" ca="1" si="264">I113/I$10</f>
        <v>0.48641913780214302</v>
      </c>
      <c r="R113" s="325">
        <f ca="1">I113/$K$5*100</f>
        <v>211.42702409964801</v>
      </c>
      <c r="S113" s="325">
        <f t="shared" ca="1" si="195"/>
        <v>621.16149562450278</v>
      </c>
      <c r="T113" s="325">
        <f t="shared" ca="1" si="196"/>
        <v>0</v>
      </c>
      <c r="U113" s="121"/>
      <c r="V113" s="327" t="str">
        <f t="shared" ref="V113:V143" ca="1" si="265">IF(B113&lt;&gt;"",IFERROR(IF($I113&gt;=$X$10,"High","Low"),""),"")</f>
        <v>High</v>
      </c>
      <c r="W113" s="327" t="str">
        <f t="shared" ref="W113:W143" ca="1" si="266">IF(B113&lt;&gt;"",IFERROR(IF($L113&gt;=$X$12,"High","Low"),""),"")</f>
        <v>High</v>
      </c>
      <c r="X113" s="328" t="str">
        <f t="shared" ref="X113:X143" ca="1" si="267">IF(B113&lt;&gt;"",IFERROR(IF(AND(V113="high",W113="high"),"Star",IF(AND(V113="low",W113="high"),"Puzzle",(IF(AND(V113="high",W113="low"),"Horse","Dog")))),""),"")</f>
        <v>Star</v>
      </c>
    </row>
    <row r="114" spans="1:39" s="280" customFormat="1" ht="22.15" customHeight="1" x14ac:dyDescent="0.35">
      <c r="A114" s="453"/>
      <c r="B114" s="479" t="s">
        <v>486</v>
      </c>
      <c r="C114" s="480" t="s">
        <v>487</v>
      </c>
      <c r="D114" s="480"/>
      <c r="E114" s="480"/>
      <c r="F114" s="306">
        <f ca="1">('SG01'!F221*SG01_+'SG02'!F222*SG02_+'SG03'!F215*SG03_+'SG04'!F232*SG04_+'SG05'!F231*SG05_+'SG06'!F232*SG06_+'SG07'!F234*SG07_+'SG08'!F238*SG08_+'SG09'!F238*SG09_+'SG10'!F238*SG10_+'SG11'!F238*SG11_++'SG12'!F238*SG12_)/SUM(Control!$B$2:$B$16)</f>
        <v>0</v>
      </c>
      <c r="G114" s="305">
        <f ca="1">('SG01'!G221*SG01_+'SG02'!G222*SG02_+'SG03'!G215*SG03_+'SG04'!G232*SG04_+'SG05'!G231*SG05_+'SG06'!G232*SG06_+'SG07'!G234*SG07_+'SG08'!G238*SG08_+'SG09'!G238*SG09_+'SG10'!G238*SG10_+'SG11'!G238*SG11_)/SUM(Control!$B$2:$B$16)</f>
        <v>0</v>
      </c>
      <c r="H114" s="305">
        <f t="shared" ca="1" si="260"/>
        <v>0</v>
      </c>
      <c r="I114" s="308">
        <f ca="1">SUBTOTAL(9,I115:I120)</f>
        <v>1205</v>
      </c>
      <c r="J114" s="308"/>
      <c r="K114" s="304">
        <f ca="1">SUBTOTAL(9,K115:K120)</f>
        <v>9331218.9613192249</v>
      </c>
      <c r="L114" s="304">
        <f ca="1">SUBTOTAL(9,L115:L120)</f>
        <v>57601000</v>
      </c>
      <c r="M114" s="304">
        <f ca="1">SUBTOTAL(9,M115:M120)</f>
        <v>48269781.038680777</v>
      </c>
      <c r="N114" s="314">
        <f t="shared" ca="1" si="261"/>
        <v>0.16199751673268215</v>
      </c>
      <c r="O114" s="315">
        <f t="shared" ca="1" si="262"/>
        <v>3.7148442210990458E-2</v>
      </c>
      <c r="P114" s="315">
        <f t="shared" ca="1" si="263"/>
        <v>4.6916422485331781E-2</v>
      </c>
      <c r="Q114" s="315">
        <f t="shared" ca="1" si="264"/>
        <v>7.5068527286319464E-2</v>
      </c>
      <c r="R114" s="316">
        <f ca="1">I114/$K$5*100</f>
        <v>32.629298673165444</v>
      </c>
      <c r="S114" s="316">
        <f t="shared" ca="1" si="195"/>
        <v>95.863166268894176</v>
      </c>
      <c r="T114" s="316">
        <f t="shared" ca="1" si="196"/>
        <v>0</v>
      </c>
      <c r="U114" s="121"/>
      <c r="V114" s="327"/>
      <c r="W114" s="327"/>
      <c r="X114" s="328"/>
      <c r="Y114" s="4"/>
      <c r="AG114" s="346"/>
      <c r="AK114" s="346"/>
      <c r="AL114" s="343"/>
      <c r="AM114" s="344"/>
    </row>
    <row r="115" spans="1:39" s="280" customFormat="1" ht="22.15" customHeight="1" x14ac:dyDescent="0.35">
      <c r="A115" s="366">
        <v>1</v>
      </c>
      <c r="B115" s="518" t="s">
        <v>509</v>
      </c>
      <c r="C115" s="365" t="str">
        <f>VLOOKUP(B115,'SG01'!$B:$E,2,0)</f>
        <v>Nước Ép Dưa Hấu</v>
      </c>
      <c r="D115" s="365"/>
      <c r="E115" s="468" t="str">
        <f>VLOOKUP(B115,'SG01'!$B:$E,4,0)</f>
        <v>Ly</v>
      </c>
      <c r="F115" s="61">
        <f t="shared" ref="F115" ca="1" si="268">K115/I115</f>
        <v>6239.4490861618797</v>
      </c>
      <c r="G115" s="61">
        <f t="shared" ref="G115" ca="1" si="269">L115/I115</f>
        <v>49969.512195121948</v>
      </c>
      <c r="H115" s="254">
        <f t="shared" ref="H115" ca="1" si="270">G115-F115</f>
        <v>43730.063108960065</v>
      </c>
      <c r="I115" s="255">
        <f ca="1">(SUMIF('SG01'!$B:$B,$B115,'SG01'!I:I)*SG01_+SUMIF('SG02'!$B:$B,$B115,'SG02'!I:I)*SG02_+SUMIF('SG03'!$B:$B,$B115,'SG03'!I:I)*SG03_+SUMIF('SG04'!$B:$B,$B115,'SG04'!I:I)*SG04_+SUMIF('SG05'!$B:$B,$B115,'SG05'!I:I)*SG05_+SUMIF('SG06'!$B:$B,$B115,'SG06'!I:I)*SG06_+SUMIF('SG07'!$B:$B,$B115,'SG07'!I:I)*SG07_+SUMIF('SG08'!$B:$B,$B115,'SG08'!I:I)*SG08_+SUMIF('SG09'!$B:$B,$B115,'SG09'!I:I)*SG09_+SUMIF('SG10'!$B:$B,$B115,'SG10'!I:I)*SG10_+SUMIF('SG11'!$B:$B,$B115,'SG11'!I:I)*SG11_+SUMIF('SG12'!$B:$B,$B115,'SG12'!I:I)*SG12_+SUMIF('SG13'!$B:$B,$B115,'SG13'!I:I)*SG13_+SUMIF('SG14'!$B:$B,$B115,'SG14'!I:I)*SG14_+SUMIF('SG15'!$B:$B,$B115,'SG15'!I:I)*SG15_)</f>
        <v>328</v>
      </c>
      <c r="J115" s="256"/>
      <c r="K115" s="61">
        <f ca="1">(SUMIF('SG01'!$B:$B,$B115,'SG01'!K:K)*SG01_+SUMIF('SG02'!$B:$B,$B115,'SG02'!K:K)*SG02_+SUMIF('SG03'!$B:$B,$B115,'SG03'!K:K)*SG03_+SUMIF('SG04'!$B:$B,$B115,'SG04'!K:K)*SG04_+SUMIF('SG05'!$B:$B,$B115,'SG05'!K:K)*SG05_+SUMIF('SG06'!$B:$B,$B115,'SG06'!K:K)*SG06_+SUMIF('SG07'!$B:$B,$B115,'SG07'!K:K)*SG07_+SUMIF('SG08'!$B:$B,$B115,'SG08'!K:K)*SG08_+SUMIF('SG09'!$B:$B,$B115,'SG09'!K:K)*SG09_+SUMIF('SG10'!$B:$B,$B115,'SG10'!K:K)*SG10_+SUMIF('SG11'!$B:$B,$B115,'SG11'!K:K)*SG11_+SUMIF('SG12'!$B:$B,$B115,'SG12'!K:K)*SG12_+SUMIF('SG13'!$B:$B,$B115,'SG13'!K:K)*SG13_+SUMIF('SG14'!$B:$B,$B115,'SG14'!K:K)*SG14_+SUMIF('SG15'!$B:$B,$B115,'SG15'!K:K)*SG15_)</f>
        <v>2046539.3002610966</v>
      </c>
      <c r="L115" s="61">
        <f ca="1">(SUMIF('SG01'!$B:$B,$B115,'SG01'!L:L)*SG01_+SUMIF('SG02'!$B:$B,$B115,'SG02'!L:L)*SG02_+SUMIF('SG03'!$B:$B,$B115,'SG03'!L:L)*SG03_+SUMIF('SG04'!$B:$B,$B115,'SG04'!L:L)*SG04_+SUMIF('SG05'!$B:$B,$B115,'SG05'!L:L)*SG05_+SUMIF('SG06'!$B:$B,$B115,'SG06'!L:L)*SG06_+SUMIF('SG07'!$B:$B,$B115,'SG07'!L:L)*SG07_+SUMIF('SG08'!$B:$B,$B115,'SG08'!L:L)*SG08_+SUMIF('SG09'!$B:$B,$B115,'SG09'!L:L)*SG09_+SUMIF('SG10'!$B:$B,$B115,'SG10'!L:L)*SG10_+SUMIF('SG11'!$B:$B,$B115,'SG11'!L:L)*SG11_+SUMIF('SG12'!$B:$B,$B115,'SG12'!L:L)*SG12_+SUMIF('SG13'!$B:$B,$B115,'SG13'!L:L)*SG13_+SUMIF('SG14'!$B:$B,$B115,'SG14'!L:L)*SG14_+SUMIF('SG15'!$B:$B,$B115,'SG15'!L:L)*SG15_)</f>
        <v>16389999.999999998</v>
      </c>
      <c r="M115" s="253">
        <f t="shared" ref="M115" ca="1" si="271">L115-K115</f>
        <v>14343460.699738901</v>
      </c>
      <c r="N115" s="257">
        <f t="shared" ref="N115" ca="1" si="272">K115/L115</f>
        <v>0.124865118990915</v>
      </c>
      <c r="O115" s="258">
        <f t="shared" ref="O115" ca="1" si="273">L115/L$10</f>
        <v>1.0570354122986295E-2</v>
      </c>
      <c r="P115" s="258">
        <f t="shared" ref="P115" ca="1" si="274">M115/M$10</f>
        <v>1.3941307534654907E-2</v>
      </c>
      <c r="Q115" s="258">
        <f t="shared" ref="Q115" ca="1" si="275">I115/I$10</f>
        <v>2.0433590829803141E-2</v>
      </c>
      <c r="R115" s="259">
        <f t="shared" ref="R115" ca="1" si="276">I115/$K$5*100</f>
        <v>8.8816680205794754</v>
      </c>
      <c r="S115" s="545">
        <f t="shared" ca="1" si="195"/>
        <v>26.093874303898172</v>
      </c>
      <c r="T115" s="546">
        <f t="shared" ca="1" si="196"/>
        <v>1303898.170246619</v>
      </c>
      <c r="U115" s="121"/>
      <c r="V115" s="364" t="str">
        <f t="shared" ref="V115" ca="1" si="277">IF(B115&lt;&gt;"",IFERROR(IF($I115&gt;=$X$10,"High","Low"),""),"")</f>
        <v>High</v>
      </c>
      <c r="W115" s="364" t="str">
        <f t="shared" ref="W115" ca="1" si="278">IF(B115&lt;&gt;"",IFERROR(IF($L115&gt;=$X$12,"High","Low"),""),"")</f>
        <v>High</v>
      </c>
      <c r="X115" s="328" t="str">
        <f t="shared" ref="X115" ca="1" si="279">IF(B115&lt;&gt;"",IFERROR(IF(AND(V115="high",W115="high"),"Star",IF(AND(V115="low",W115="high"),"Puzzle",(IF(AND(V115="high",W115="low"),"Horse","Dog")))),""),"")</f>
        <v>Star</v>
      </c>
      <c r="Y115" s="219"/>
      <c r="AG115" s="346"/>
      <c r="AK115" s="346"/>
      <c r="AL115" s="343"/>
      <c r="AM115" s="344"/>
    </row>
    <row r="116" spans="1:39" s="280" customFormat="1" ht="22.15" customHeight="1" x14ac:dyDescent="0.35">
      <c r="A116" s="366">
        <v>2</v>
      </c>
      <c r="B116" s="518" t="s">
        <v>510</v>
      </c>
      <c r="C116" s="365" t="str">
        <f>VLOOKUP(B116,'SG01'!$B:$E,2,0)</f>
        <v>Nước Ép Chanh Dây</v>
      </c>
      <c r="D116" s="365"/>
      <c r="E116" s="468" t="str">
        <f>VLOOKUP(B116,'SG01'!$B:$E,4,0)</f>
        <v>Ly</v>
      </c>
      <c r="F116" s="61">
        <f t="shared" ref="F116:F119" ca="1" si="280">K116/I116</f>
        <v>9453.5674999999992</v>
      </c>
      <c r="G116" s="61">
        <f t="shared" ref="G116:G119" ca="1" si="281">L116/I116</f>
        <v>50082.278481012661</v>
      </c>
      <c r="H116" s="254">
        <f t="shared" ref="H116:H119" ca="1" si="282">G116-F116</f>
        <v>40628.710981012664</v>
      </c>
      <c r="I116" s="255">
        <f ca="1">(SUMIF('SG01'!$B:$B,$B116,'SG01'!I:I)*SG01_+SUMIF('SG02'!$B:$B,$B116,'SG02'!I:I)*SG02_+SUMIF('SG03'!$B:$B,$B116,'SG03'!I:I)*SG03_+SUMIF('SG04'!$B:$B,$B116,'SG04'!I:I)*SG04_+SUMIF('SG05'!$B:$B,$B116,'SG05'!I:I)*SG05_+SUMIF('SG06'!$B:$B,$B116,'SG06'!I:I)*SG06_+SUMIF('SG07'!$B:$B,$B116,'SG07'!I:I)*SG07_+SUMIF('SG08'!$B:$B,$B116,'SG08'!I:I)*SG08_+SUMIF('SG09'!$B:$B,$B116,'SG09'!I:I)*SG09_+SUMIF('SG10'!$B:$B,$B116,'SG10'!I:I)*SG10_+SUMIF('SG11'!$B:$B,$B116,'SG11'!I:I)*SG11_+SUMIF('SG12'!$B:$B,$B116,'SG12'!I:I)*SG12_+SUMIF('SG13'!$B:$B,$B116,'SG13'!I:I)*SG13_+SUMIF('SG14'!$B:$B,$B116,'SG14'!I:I)*SG14_+SUMIF('SG15'!$B:$B,$B116,'SG15'!I:I)*SG15_)</f>
        <v>316</v>
      </c>
      <c r="J116" s="256"/>
      <c r="K116" s="61">
        <f ca="1">(SUMIF('SG01'!$B:$B,$B116,'SG01'!K:K)*SG01_+SUMIF('SG02'!$B:$B,$B116,'SG02'!K:K)*SG02_+SUMIF('SG03'!$B:$B,$B116,'SG03'!K:K)*SG03_+SUMIF('SG04'!$B:$B,$B116,'SG04'!K:K)*SG04_+SUMIF('SG05'!$B:$B,$B116,'SG05'!K:K)*SG05_+SUMIF('SG06'!$B:$B,$B116,'SG06'!K:K)*SG06_+SUMIF('SG07'!$B:$B,$B116,'SG07'!K:K)*SG07_+SUMIF('SG08'!$B:$B,$B116,'SG08'!K:K)*SG08_+SUMIF('SG09'!$B:$B,$B116,'SG09'!K:K)*SG09_+SUMIF('SG10'!$B:$B,$B116,'SG10'!K:K)*SG10_+SUMIF('SG11'!$B:$B,$B116,'SG11'!K:K)*SG11_+SUMIF('SG12'!$B:$B,$B116,'SG12'!K:K)*SG12_+SUMIF('SG13'!$B:$B,$B116,'SG13'!K:K)*SG13_+SUMIF('SG14'!$B:$B,$B116,'SG14'!K:K)*SG14_+SUMIF('SG15'!$B:$B,$B116,'SG15'!K:K)*SG15_)</f>
        <v>2987327.3299999996</v>
      </c>
      <c r="L116" s="61">
        <f ca="1">(SUMIF('SG01'!$B:$B,$B116,'SG01'!L:L)*SG01_+SUMIF('SG02'!$B:$B,$B116,'SG02'!L:L)*SG02_+SUMIF('SG03'!$B:$B,$B116,'SG03'!L:L)*SG03_+SUMIF('SG04'!$B:$B,$B116,'SG04'!L:L)*SG04_+SUMIF('SG05'!$B:$B,$B116,'SG05'!L:L)*SG05_+SUMIF('SG06'!$B:$B,$B116,'SG06'!L:L)*SG06_+SUMIF('SG07'!$B:$B,$B116,'SG07'!L:L)*SG07_+SUMIF('SG08'!$B:$B,$B116,'SG08'!L:L)*SG08_+SUMIF('SG09'!$B:$B,$B116,'SG09'!L:L)*SG09_+SUMIF('SG10'!$B:$B,$B116,'SG10'!L:L)*SG10_+SUMIF('SG11'!$B:$B,$B116,'SG11'!L:L)*SG11_+SUMIF('SG12'!$B:$B,$B116,'SG12'!L:L)*SG12_+SUMIF('SG13'!$B:$B,$B116,'SG13'!L:L)*SG13_+SUMIF('SG14'!$B:$B,$B116,'SG14'!L:L)*SG14_+SUMIF('SG15'!$B:$B,$B116,'SG15'!L:L)*SG15_)</f>
        <v>15826000.000000002</v>
      </c>
      <c r="M116" s="253">
        <f t="shared" ref="M116:M119" ca="1" si="283">L116-K116</f>
        <v>12838672.670000002</v>
      </c>
      <c r="N116" s="257">
        <f t="shared" ref="N116:N119" ca="1" si="284">K116/L116</f>
        <v>0.18876073107544541</v>
      </c>
      <c r="O116" s="258">
        <f t="shared" ref="O116:O119" ca="1" si="285">L116/L$10</f>
        <v>1.0206615274580912E-2</v>
      </c>
      <c r="P116" s="258">
        <f t="shared" ref="P116:P119" ca="1" si="286">M116/M$10</f>
        <v>1.2478709829943428E-2</v>
      </c>
      <c r="Q116" s="258">
        <f t="shared" ref="Q116:Q119" ca="1" si="287">I116/I$10</f>
        <v>1.9686020433590828E-2</v>
      </c>
      <c r="R116" s="259">
        <f t="shared" ref="R116:R119" ca="1" si="288">I116/$K$5*100</f>
        <v>8.5567289466558361</v>
      </c>
      <c r="S116" s="545">
        <f t="shared" ca="1" si="195"/>
        <v>25.139220365950678</v>
      </c>
      <c r="T116" s="546">
        <f t="shared" ca="1" si="196"/>
        <v>1259029.435163087</v>
      </c>
      <c r="U116" s="121"/>
      <c r="V116" s="364" t="str">
        <f t="shared" ref="V116:V119" ca="1" si="289">IF(B116&lt;&gt;"",IFERROR(IF($I116&gt;=$X$10,"High","Low"),""),"")</f>
        <v>High</v>
      </c>
      <c r="W116" s="364" t="str">
        <f t="shared" ref="W116:W119" ca="1" si="290">IF(B116&lt;&gt;"",IFERROR(IF($L116&gt;=$X$12,"High","Low"),""),"")</f>
        <v>High</v>
      </c>
      <c r="X116" s="328" t="str">
        <f t="shared" ref="X116:X119" ca="1" si="291">IF(B116&lt;&gt;"",IFERROR(IF(AND(V116="high",W116="high"),"Star",IF(AND(V116="low",W116="high"),"Puzzle",(IF(AND(V116="high",W116="low"),"Horse","Dog")))),""),"")</f>
        <v>Star</v>
      </c>
      <c r="Y116" s="219"/>
      <c r="AG116" s="346"/>
      <c r="AK116" s="346"/>
      <c r="AL116" s="343"/>
      <c r="AM116" s="344"/>
    </row>
    <row r="117" spans="1:39" s="280" customFormat="1" ht="22.15" customHeight="1" x14ac:dyDescent="0.35">
      <c r="A117" s="366">
        <v>3</v>
      </c>
      <c r="B117" s="518" t="s">
        <v>511</v>
      </c>
      <c r="C117" s="365" t="str">
        <f>VLOOKUP(B117,'SG01'!$B:$E,2,0)</f>
        <v>Nước Ép Ổi</v>
      </c>
      <c r="D117" s="365"/>
      <c r="E117" s="468" t="str">
        <f>VLOOKUP(B117,'SG01'!$B:$E,4,0)</f>
        <v>Ly</v>
      </c>
      <c r="F117" s="61">
        <f t="shared" ref="F117" ca="1" si="292">K117/I117</f>
        <v>5491.0398230088495</v>
      </c>
      <c r="G117" s="61">
        <f t="shared" ref="G117" ca="1" si="293">L117/I117</f>
        <v>49978.260869565216</v>
      </c>
      <c r="H117" s="254">
        <f t="shared" ref="H117" ca="1" si="294">G117-F117</f>
        <v>44487.221046556369</v>
      </c>
      <c r="I117" s="255">
        <f ca="1">(SUMIF('SG01'!$B:$B,$B117,'SG01'!I:I)*SG01_+SUMIF('SG02'!$B:$B,$B117,'SG02'!I:I)*SG02_+SUMIF('SG03'!$B:$B,$B117,'SG03'!I:I)*SG03_+SUMIF('SG04'!$B:$B,$B117,'SG04'!I:I)*SG04_+SUMIF('SG05'!$B:$B,$B117,'SG05'!I:I)*SG05_+SUMIF('SG06'!$B:$B,$B117,'SG06'!I:I)*SG06_+SUMIF('SG07'!$B:$B,$B117,'SG07'!I:I)*SG07_+SUMIF('SG08'!$B:$B,$B117,'SG08'!I:I)*SG08_+SUMIF('SG09'!$B:$B,$B117,'SG09'!I:I)*SG09_+SUMIF('SG10'!$B:$B,$B117,'SG10'!I:I)*SG10_+SUMIF('SG11'!$B:$B,$B117,'SG11'!I:I)*SG11_+SUMIF('SG12'!$B:$B,$B117,'SG12'!I:I)*SG12_+SUMIF('SG13'!$B:$B,$B117,'SG13'!I:I)*SG13_+SUMIF('SG14'!$B:$B,$B117,'SG14'!I:I)*SG14_+SUMIF('SG15'!$B:$B,$B117,'SG15'!I:I)*SG15_)</f>
        <v>184</v>
      </c>
      <c r="J117" s="256"/>
      <c r="K117" s="61">
        <f ca="1">(SUMIF('SG01'!$B:$B,$B117,'SG01'!K:K)*SG01_+SUMIF('SG02'!$B:$B,$B117,'SG02'!K:K)*SG02_+SUMIF('SG03'!$B:$B,$B117,'SG03'!K:K)*SG03_+SUMIF('SG04'!$B:$B,$B117,'SG04'!K:K)*SG04_+SUMIF('SG05'!$B:$B,$B117,'SG05'!K:K)*SG05_+SUMIF('SG06'!$B:$B,$B117,'SG06'!K:K)*SG06_+SUMIF('SG07'!$B:$B,$B117,'SG07'!K:K)*SG07_+SUMIF('SG08'!$B:$B,$B117,'SG08'!K:K)*SG08_+SUMIF('SG09'!$B:$B,$B117,'SG09'!K:K)*SG09_+SUMIF('SG10'!$B:$B,$B117,'SG10'!K:K)*SG10_+SUMIF('SG11'!$B:$B,$B117,'SG11'!K:K)*SG11_+SUMIF('SG12'!$B:$B,$B117,'SG12'!K:K)*SG12_+SUMIF('SG13'!$B:$B,$B117,'SG13'!K:K)*SG13_+SUMIF('SG14'!$B:$B,$B117,'SG14'!K:K)*SG14_+SUMIF('SG15'!$B:$B,$B117,'SG15'!K:K)*SG15_)</f>
        <v>1010351.3274336283</v>
      </c>
      <c r="L117" s="61">
        <f ca="1">(SUMIF('SG01'!$B:$B,$B117,'SG01'!L:L)*SG01_+SUMIF('SG02'!$B:$B,$B117,'SG02'!L:L)*SG02_+SUMIF('SG03'!$B:$B,$B117,'SG03'!L:L)*SG03_+SUMIF('SG04'!$B:$B,$B117,'SG04'!L:L)*SG04_+SUMIF('SG05'!$B:$B,$B117,'SG05'!L:L)*SG05_+SUMIF('SG06'!$B:$B,$B117,'SG06'!L:L)*SG06_+SUMIF('SG07'!$B:$B,$B117,'SG07'!L:L)*SG07_+SUMIF('SG08'!$B:$B,$B117,'SG08'!L:L)*SG08_+SUMIF('SG09'!$B:$B,$B117,'SG09'!L:L)*SG09_+SUMIF('SG10'!$B:$B,$B117,'SG10'!L:L)*SG10_+SUMIF('SG11'!$B:$B,$B117,'SG11'!L:L)*SG11_+SUMIF('SG12'!$B:$B,$B117,'SG12'!L:L)*SG12_+SUMIF('SG13'!$B:$B,$B117,'SG13'!L:L)*SG13_+SUMIF('SG14'!$B:$B,$B117,'SG14'!L:L)*SG14_+SUMIF('SG15'!$B:$B,$B117,'SG15'!L:L)*SG15_)</f>
        <v>9196000</v>
      </c>
      <c r="M117" s="253">
        <f t="shared" ref="M117" ca="1" si="295">L117-K117</f>
        <v>8185648.672566372</v>
      </c>
      <c r="N117" s="257">
        <f t="shared" ref="N117" ca="1" si="296">K117/L117</f>
        <v>0.10986856540165596</v>
      </c>
      <c r="O117" s="258">
        <f t="shared" ref="O117" ca="1" si="297">L117/L$10</f>
        <v>5.9307490247090897E-3</v>
      </c>
      <c r="P117" s="258">
        <f t="shared" ref="P117" ca="1" si="298">M117/M$10</f>
        <v>7.9561444691632083E-3</v>
      </c>
      <c r="Q117" s="258">
        <f t="shared" ref="Q117" ca="1" si="299">I117/I$10</f>
        <v>1.1462746075255419E-2</v>
      </c>
      <c r="R117" s="259">
        <f t="shared" ref="R117" ca="1" si="300">I117/$K$5*100</f>
        <v>4.9823991334958029</v>
      </c>
      <c r="S117" s="545">
        <f t="shared" ref="S117" ca="1" si="301">R117*T$5</f>
        <v>14.63802704852824</v>
      </c>
      <c r="T117" s="546">
        <f t="shared" ref="T117" ca="1" si="302">IFERROR(S117*G117,0)</f>
        <v>731583.13444709615</v>
      </c>
      <c r="U117" s="121"/>
      <c r="V117" s="364" t="str">
        <f t="shared" ref="V117" ca="1" si="303">IF(B117&lt;&gt;"",IFERROR(IF($I117&gt;=$X$10,"High","Low"),""),"")</f>
        <v>High</v>
      </c>
      <c r="W117" s="364" t="str">
        <f t="shared" ref="W117" ca="1" si="304">IF(B117&lt;&gt;"",IFERROR(IF($L117&gt;=$X$12,"High","Low"),""),"")</f>
        <v>High</v>
      </c>
      <c r="X117" s="328" t="str">
        <f t="shared" ref="X117" ca="1" si="305">IF(B117&lt;&gt;"",IFERROR(IF(AND(V117="high",W117="high"),"Star",IF(AND(V117="low",W117="high"),"Puzzle",(IF(AND(V117="high",W117="low"),"Horse","Dog")))),""),"")</f>
        <v>Star</v>
      </c>
      <c r="Y117" s="219"/>
      <c r="AG117" s="346"/>
      <c r="AK117" s="346"/>
      <c r="AL117" s="343"/>
      <c r="AM117" s="344"/>
    </row>
    <row r="118" spans="1:39" s="280" customFormat="1" ht="22.15" customHeight="1" x14ac:dyDescent="0.35">
      <c r="A118" s="366">
        <v>4</v>
      </c>
      <c r="B118" s="518" t="s">
        <v>512</v>
      </c>
      <c r="C118" s="365" t="str">
        <f>VLOOKUP(B118,'SG01'!$B:$E,2,0)</f>
        <v>Nước Soda Citrus Tropical Blue</v>
      </c>
      <c r="D118" s="365"/>
      <c r="E118" s="468" t="str">
        <f>VLOOKUP(B118,'SG01'!$B:$E,4,0)</f>
        <v>Ly</v>
      </c>
      <c r="F118" s="61">
        <f t="shared" ca="1" si="280"/>
        <v>18453.58781362007</v>
      </c>
      <c r="G118" s="61">
        <f t="shared" ca="1" si="281"/>
        <v>59892.857142857145</v>
      </c>
      <c r="H118" s="254">
        <f t="shared" ca="1" si="282"/>
        <v>41439.269329237075</v>
      </c>
      <c r="I118" s="255">
        <f ca="1">(SUMIF('SG01'!$B:$B,$B118,'SG01'!I:I)*SG01_+SUMIF('SG02'!$B:$B,$B118,'SG02'!I:I)*SG02_+SUMIF('SG03'!$B:$B,$B118,'SG03'!I:I)*SG03_+SUMIF('SG04'!$B:$B,$B118,'SG04'!I:I)*SG04_+SUMIF('SG05'!$B:$B,$B118,'SG05'!I:I)*SG05_+SUMIF('SG06'!$B:$B,$B118,'SG06'!I:I)*SG06_+SUMIF('SG07'!$B:$B,$B118,'SG07'!I:I)*SG07_+SUMIF('SG08'!$B:$B,$B118,'SG08'!I:I)*SG08_+SUMIF('SG09'!$B:$B,$B118,'SG09'!I:I)*SG09_+SUMIF('SG10'!$B:$B,$B118,'SG10'!I:I)*SG10_+SUMIF('SG11'!$B:$B,$B118,'SG11'!I:I)*SG11_+SUMIF('SG12'!$B:$B,$B118,'SG12'!I:I)*SG12_+SUMIF('SG13'!$B:$B,$B118,'SG13'!I:I)*SG13_+SUMIF('SG14'!$B:$B,$B118,'SG14'!I:I)*SG14_+SUMIF('SG15'!$B:$B,$B118,'SG15'!I:I)*SG15_)</f>
        <v>168</v>
      </c>
      <c r="J118" s="256"/>
      <c r="K118" s="61">
        <f ca="1">(SUMIF('SG01'!$B:$B,$B118,'SG01'!K:K)*SG01_+SUMIF('SG02'!$B:$B,$B118,'SG02'!K:K)*SG02_+SUMIF('SG03'!$B:$B,$B118,'SG03'!K:K)*SG03_+SUMIF('SG04'!$B:$B,$B118,'SG04'!K:K)*SG04_+SUMIF('SG05'!$B:$B,$B118,'SG05'!K:K)*SG05_+SUMIF('SG06'!$B:$B,$B118,'SG06'!K:K)*SG06_+SUMIF('SG07'!$B:$B,$B118,'SG07'!K:K)*SG07_+SUMIF('SG08'!$B:$B,$B118,'SG08'!K:K)*SG08_+SUMIF('SG09'!$B:$B,$B118,'SG09'!K:K)*SG09_+SUMIF('SG10'!$B:$B,$B118,'SG10'!K:K)*SG10_+SUMIF('SG11'!$B:$B,$B118,'SG11'!K:K)*SG11_+SUMIF('SG12'!$B:$B,$B118,'SG12'!K:K)*SG12_+SUMIF('SG13'!$B:$B,$B118,'SG13'!K:K)*SG13_+SUMIF('SG14'!$B:$B,$B118,'SG14'!K:K)*SG14_+SUMIF('SG15'!$B:$B,$B118,'SG15'!K:K)*SG15_)</f>
        <v>3100202.7526881718</v>
      </c>
      <c r="L118" s="61">
        <f ca="1">(SUMIF('SG01'!$B:$B,$B118,'SG01'!L:L)*SG01_+SUMIF('SG02'!$B:$B,$B118,'SG02'!L:L)*SG02_+SUMIF('SG03'!$B:$B,$B118,'SG03'!L:L)*SG03_+SUMIF('SG04'!$B:$B,$B118,'SG04'!L:L)*SG04_+SUMIF('SG05'!$B:$B,$B118,'SG05'!L:L)*SG05_+SUMIF('SG06'!$B:$B,$B118,'SG06'!L:L)*SG06_+SUMIF('SG07'!$B:$B,$B118,'SG07'!L:L)*SG07_+SUMIF('SG08'!$B:$B,$B118,'SG08'!L:L)*SG08_+SUMIF('SG09'!$B:$B,$B118,'SG09'!L:L)*SG09_+SUMIF('SG10'!$B:$B,$B118,'SG10'!L:L)*SG10_+SUMIF('SG11'!$B:$B,$B118,'SG11'!L:L)*SG11_+SUMIF('SG12'!$B:$B,$B118,'SG12'!L:L)*SG12_+SUMIF('SG13'!$B:$B,$B118,'SG13'!L:L)*SG13_+SUMIF('SG14'!$B:$B,$B118,'SG14'!L:L)*SG14_+SUMIF('SG15'!$B:$B,$B118,'SG15'!L:L)*SG15_)</f>
        <v>10062000</v>
      </c>
      <c r="M118" s="253">
        <f t="shared" ca="1" si="283"/>
        <v>6961797.2473118287</v>
      </c>
      <c r="N118" s="257">
        <f t="shared" ca="1" si="284"/>
        <v>0.30810999331029337</v>
      </c>
      <c r="O118" s="258">
        <f t="shared" ca="1" si="285"/>
        <v>6.4892558380407628E-3</v>
      </c>
      <c r="P118" s="258">
        <f t="shared" ca="1" si="286"/>
        <v>6.7666066405058676E-3</v>
      </c>
      <c r="Q118" s="258">
        <f t="shared" ca="1" si="287"/>
        <v>1.046598554697234E-2</v>
      </c>
      <c r="R118" s="259">
        <f t="shared" ca="1" si="288"/>
        <v>4.5491470349309502</v>
      </c>
      <c r="S118" s="545">
        <f t="shared" ca="1" si="195"/>
        <v>13.365155131264915</v>
      </c>
      <c r="T118" s="546">
        <f t="shared" ca="1" si="196"/>
        <v>800477.32696897374</v>
      </c>
      <c r="U118" s="121"/>
      <c r="V118" s="364" t="str">
        <f t="shared" ca="1" si="289"/>
        <v>High</v>
      </c>
      <c r="W118" s="364" t="str">
        <f t="shared" ca="1" si="290"/>
        <v>High</v>
      </c>
      <c r="X118" s="328" t="str">
        <f t="shared" ca="1" si="291"/>
        <v>Star</v>
      </c>
      <c r="Y118" s="219"/>
      <c r="AG118" s="346"/>
      <c r="AK118" s="346"/>
      <c r="AL118" s="343"/>
      <c r="AM118" s="344"/>
    </row>
    <row r="119" spans="1:39" ht="22.15" customHeight="1" x14ac:dyDescent="0.35">
      <c r="A119" s="366">
        <v>5</v>
      </c>
      <c r="B119" s="518" t="s">
        <v>705</v>
      </c>
      <c r="C119" s="365" t="str">
        <f>VLOOKUP(B119,'SG02'!$B:$E,2,0)</f>
        <v>Trà Gạo Rang</v>
      </c>
      <c r="D119" s="365"/>
      <c r="E119" s="468" t="s">
        <v>471</v>
      </c>
      <c r="F119" s="61">
        <f t="shared" ca="1" si="280"/>
        <v>893.7715355805243</v>
      </c>
      <c r="G119" s="61">
        <f t="shared" ca="1" si="281"/>
        <v>29315.78947368421</v>
      </c>
      <c r="H119" s="254">
        <f t="shared" ca="1" si="282"/>
        <v>28422.017938103687</v>
      </c>
      <c r="I119" s="255">
        <f ca="1">(SUMIF('SG01'!$B:$B,$B119,'SG01'!I:I)*SG01_+SUMIF('SG02'!$B:$B,$B119,'SG02'!I:I)*SG02_+SUMIF('SG03'!$B:$B,$B119,'SG03'!I:I)*SG03_+SUMIF('SG04'!$B:$B,$B119,'SG04'!I:I)*SG04_+SUMIF('SG05'!$B:$B,$B119,'SG05'!I:I)*SG05_+SUMIF('SG06'!$B:$B,$B119,'SG06'!I:I)*SG06_+SUMIF('SG07'!$B:$B,$B119,'SG07'!I:I)*SG07_+SUMIF('SG08'!$B:$B,$B119,'SG08'!I:I)*SG08_+SUMIF('SG09'!$B:$B,$B119,'SG09'!I:I)*SG09_+SUMIF('SG10'!$B:$B,$B119,'SG10'!I:I)*SG10_+SUMIF('SG11'!$B:$B,$B119,'SG11'!I:I)*SG11_+SUMIF('SG12'!$B:$B,$B119,'SG12'!I:I)*SG12_+SUMIF('SG13'!$B:$B,$B119,'SG13'!I:I)*SG13_+SUMIF('SG14'!$B:$B,$B119,'SG14'!I:I)*SG14_+SUMIF('SG15'!$B:$B,$B119,'SG15'!I:I)*SG15_)</f>
        <v>209</v>
      </c>
      <c r="J119" s="256"/>
      <c r="K119" s="61">
        <f ca="1">(SUMIF('SG01'!$B:$B,$B119,'SG01'!K:K)*SG01_+SUMIF('SG02'!$B:$B,$B119,'SG02'!K:K)*SG02_+SUMIF('SG03'!$B:$B,$B119,'SG03'!K:K)*SG03_+SUMIF('SG04'!$B:$B,$B119,'SG04'!K:K)*SG04_+SUMIF('SG05'!$B:$B,$B119,'SG05'!K:K)*SG05_+SUMIF('SG06'!$B:$B,$B119,'SG06'!K:K)*SG06_+SUMIF('SG07'!$B:$B,$B119,'SG07'!K:K)*SG07_+SUMIF('SG08'!$B:$B,$B119,'SG08'!K:K)*SG08_+SUMIF('SG09'!$B:$B,$B119,'SG09'!K:K)*SG09_+SUMIF('SG10'!$B:$B,$B119,'SG10'!K:K)*SG10_+SUMIF('SG11'!$B:$B,$B119,'SG11'!K:K)*SG11_+SUMIF('SG12'!$B:$B,$B119,'SG12'!K:K)*SG12_+SUMIF('SG13'!$B:$B,$B119,'SG13'!K:K)*SG13_+SUMIF('SG14'!$B:$B,$B119,'SG14'!K:K)*SG14_+SUMIF('SG15'!$B:$B,$B119,'SG15'!K:K)*SG15_)</f>
        <v>186798.25093632957</v>
      </c>
      <c r="L119" s="61">
        <f ca="1">(SUMIF('SG01'!$B:$B,$B119,'SG01'!L:L)*SG01_+SUMIF('SG02'!$B:$B,$B119,'SG02'!L:L)*SG02_+SUMIF('SG03'!$B:$B,$B119,'SG03'!L:L)*SG03_+SUMIF('SG04'!$B:$B,$B119,'SG04'!L:L)*SG04_+SUMIF('SG05'!$B:$B,$B119,'SG05'!L:L)*SG05_+SUMIF('SG06'!$B:$B,$B119,'SG06'!L:L)*SG06_+SUMIF('SG07'!$B:$B,$B119,'SG07'!L:L)*SG07_+SUMIF('SG08'!$B:$B,$B119,'SG08'!L:L)*SG08_+SUMIF('SG09'!$B:$B,$B119,'SG09'!L:L)*SG09_+SUMIF('SG10'!$B:$B,$B119,'SG10'!L:L)*SG10_+SUMIF('SG11'!$B:$B,$B119,'SG11'!L:L)*SG11_+SUMIF('SG12'!$B:$B,$B119,'SG12'!L:L)*SG12_+SUMIF('SG13'!$B:$B,$B119,'SG13'!L:L)*SG13_+SUMIF('SG14'!$B:$B,$B119,'SG14'!L:L)*SG14_+SUMIF('SG15'!$B:$B,$B119,'SG15'!L:L)*SG15_)</f>
        <v>6127000</v>
      </c>
      <c r="M119" s="253">
        <f t="shared" ca="1" si="283"/>
        <v>5940201.7490636706</v>
      </c>
      <c r="N119" s="257">
        <f t="shared" ca="1" si="284"/>
        <v>3.0487718448886824E-2</v>
      </c>
      <c r="O119" s="258">
        <f t="shared" ca="1" si="285"/>
        <v>3.9514679506734004E-3</v>
      </c>
      <c r="P119" s="258">
        <f t="shared" ca="1" si="286"/>
        <v>5.773654011064366E-3</v>
      </c>
      <c r="Q119" s="258">
        <f t="shared" ca="1" si="287"/>
        <v>1.3020184400697733E-2</v>
      </c>
      <c r="R119" s="259">
        <f t="shared" ca="1" si="288"/>
        <v>5.6593555375033846</v>
      </c>
      <c r="S119" s="545">
        <f t="shared" ca="1" si="195"/>
        <v>16.626889419252187</v>
      </c>
      <c r="T119" s="546">
        <f t="shared" ca="1" si="196"/>
        <v>487430.38981702464</v>
      </c>
      <c r="U119" s="121"/>
      <c r="V119" s="327" t="str">
        <f t="shared" ca="1" si="289"/>
        <v>High</v>
      </c>
      <c r="W119" s="327" t="str">
        <f t="shared" ca="1" si="290"/>
        <v>High</v>
      </c>
      <c r="X119" s="328" t="str">
        <f t="shared" ca="1" si="291"/>
        <v>Star</v>
      </c>
    </row>
    <row r="120" spans="1:39" ht="22.15" customHeight="1" x14ac:dyDescent="0.35">
      <c r="A120" s="366"/>
      <c r="B120" s="518"/>
      <c r="C120" s="518"/>
      <c r="D120" s="495"/>
      <c r="E120" s="468"/>
      <c r="F120" s="61"/>
      <c r="G120" s="61"/>
      <c r="H120" s="254"/>
      <c r="I120" s="255"/>
      <c r="J120" s="256"/>
      <c r="K120" s="61"/>
      <c r="L120" s="61"/>
      <c r="M120" s="253"/>
      <c r="N120" s="257"/>
      <c r="O120" s="258"/>
      <c r="P120" s="258"/>
      <c r="Q120" s="258"/>
      <c r="R120" s="259"/>
      <c r="S120" s="545">
        <f t="shared" ref="S120:S155" ca="1" si="306">R120*T$5</f>
        <v>0</v>
      </c>
      <c r="T120" s="546">
        <f t="shared" ref="T120:T155" ca="1" si="307">IFERROR(S120*G120,0)</f>
        <v>0</v>
      </c>
      <c r="U120" s="121"/>
      <c r="V120" s="327"/>
      <c r="W120" s="327"/>
      <c r="X120" s="328"/>
    </row>
    <row r="121" spans="1:39" ht="22.15" customHeight="1" x14ac:dyDescent="0.35">
      <c r="A121" s="453"/>
      <c r="B121" s="479" t="s">
        <v>488</v>
      </c>
      <c r="C121" s="480" t="s">
        <v>489</v>
      </c>
      <c r="D121" s="480"/>
      <c r="E121" s="480"/>
      <c r="F121" s="306">
        <f ca="1">('SG01'!F215*SG01_+'SG02'!F216*SG02_+'SG03'!F209*SG03_+'SG04'!F226*SG04_+'SG05'!F225*SG05_+'SG06'!F226*SG06_+'SG07'!F228*SG07_+'SG08'!F232*SG08_+'SG09'!F232*SG09_+'SG10'!F232*SG10_+'SG11'!F232*SG11_++'SG12'!F232*SG12_)/SUM(Control!$B$2:$B$16)</f>
        <v>0</v>
      </c>
      <c r="G121" s="305">
        <f ca="1">('SG01'!G215*SG01_+'SG02'!G216*SG02_+'SG03'!G209*SG03_+'SG04'!G226*SG04_+'SG05'!G225*SG05_+'SG06'!G226*SG06_+'SG07'!G228*SG07_+'SG08'!G232*SG08_+'SG09'!G232*SG09_+'SG10'!G232*SG10_+'SG11'!G232*SG11_)/SUM(Control!$B$2:$B$16)</f>
        <v>0</v>
      </c>
      <c r="H121" s="305">
        <f t="shared" ref="H121:H125" ca="1" si="308">G121-F121</f>
        <v>0</v>
      </c>
      <c r="I121" s="307">
        <f ca="1">SUBTOTAL(9,I122:I126)</f>
        <v>1445</v>
      </c>
      <c r="J121" s="308"/>
      <c r="K121" s="304">
        <f ca="1">SUBTOTAL(9,K122:K126)</f>
        <v>7373087.2862149039</v>
      </c>
      <c r="L121" s="304">
        <f ca="1">SUBTOTAL(9,L122:L126)</f>
        <v>33605000</v>
      </c>
      <c r="M121" s="304">
        <f ca="1">SUBTOTAL(9,M122:M126)</f>
        <v>26231912.713785093</v>
      </c>
      <c r="N121" s="314">
        <f t="shared" ref="N121:N125" ca="1" si="309">K121/L121</f>
        <v>0.21940447213851819</v>
      </c>
      <c r="O121" s="315">
        <f t="shared" ref="O121:O125" ca="1" si="310">L121/L$10</f>
        <v>2.1672773050820895E-2</v>
      </c>
      <c r="P121" s="315">
        <f t="shared" ref="P121:P125" ca="1" si="311">M121/M$10</f>
        <v>2.5496438413343234E-2</v>
      </c>
      <c r="Q121" s="315">
        <f t="shared" ref="Q121:Q125" ca="1" si="312">I121/I$10</f>
        <v>9.0019935210565658E-2</v>
      </c>
      <c r="R121" s="316">
        <f t="shared" ref="R121:R125" ca="1" si="313">I121/$K$5*100</f>
        <v>39.128080151638237</v>
      </c>
      <c r="S121" s="316">
        <f t="shared" ref="S121:S126" ca="1" si="314">R121*T$5</f>
        <v>114.95624502784408</v>
      </c>
      <c r="T121" s="316">
        <f t="shared" ref="T121:T126" ca="1" si="315">IFERROR(S121*G121,0)</f>
        <v>0</v>
      </c>
      <c r="U121" s="121"/>
      <c r="V121" s="327"/>
      <c r="W121" s="327"/>
      <c r="X121" s="328"/>
    </row>
    <row r="122" spans="1:39" ht="19.5" customHeight="1" x14ac:dyDescent="0.35">
      <c r="A122" s="366">
        <v>1</v>
      </c>
      <c r="B122" s="509" t="s">
        <v>438</v>
      </c>
      <c r="C122" s="365" t="str">
        <f>VLOOKUP(B122,'SG01'!$B:$E,2,0)</f>
        <v>Nước Ngọt Pepsi</v>
      </c>
      <c r="D122" s="365"/>
      <c r="E122" s="468" t="str">
        <f>VLOOKUP(B122,'SG01'!$B:$E,4,0)</f>
        <v>Lon</v>
      </c>
      <c r="F122" s="59">
        <f t="shared" ref="F122:F125" ca="1" si="316">K122/I122</f>
        <v>6037.0279720279723</v>
      </c>
      <c r="G122" s="61">
        <f t="shared" ref="G122:G125" ca="1" si="317">L122/I122</f>
        <v>25000</v>
      </c>
      <c r="H122" s="254">
        <f t="shared" ca="1" si="308"/>
        <v>18962.972027972028</v>
      </c>
      <c r="I122" s="255">
        <f ca="1">(SUMIF('SG01'!$B:$B,$B122,'SG01'!I:I)*SG01_+SUMIF('SG02'!$B:$B,$B122,'SG02'!I:I)*SG02_+SUMIF('SG03'!$B:$B,$B122,'SG03'!I:I)*SG03_+SUMIF('SG04'!$B:$B,$B122,'SG04'!I:I)*SG04_+SUMIF('SG05'!$B:$B,$B122,'SG05'!I:I)*SG05_+SUMIF('SG06'!$B:$B,$B122,'SG06'!I:I)*SG06_+SUMIF('SG07'!$B:$B,$B122,'SG07'!I:I)*SG07_+SUMIF('SG08'!$B:$B,$B122,'SG08'!I:I)*SG08_+SUMIF('SG09'!$B:$B,$B122,'SG09'!I:I)*SG09_+SUMIF('SG10'!$B:$B,$B122,'SG10'!I:I)*SG10_+SUMIF('SG11'!$B:$B,$B122,'SG11'!I:I)*SG11_+SUMIF('SG12'!$B:$B,$B122,'SG12'!I:I)*SG12_+SUMIF('SG13'!$B:$B,$B122,'SG13'!I:I)*SG13_+SUMIF('SG14'!$B:$B,$B122,'SG14'!I:I)*SG14_+SUMIF('SG15'!$B:$B,$B122,'SG15'!I:I)*SG15_)</f>
        <v>393</v>
      </c>
      <c r="J122" s="256"/>
      <c r="K122" s="61">
        <f ca="1">(SUMIF('SG01'!$B:$B,$B122,'SG01'!K:K)*SG01_+SUMIF('SG02'!$B:$B,$B122,'SG02'!K:K)*SG02_+SUMIF('SG03'!$B:$B,$B122,'SG03'!K:K)*SG03_+SUMIF('SG04'!$B:$B,$B122,'SG04'!K:K)*SG04_+SUMIF('SG05'!$B:$B,$B122,'SG05'!K:K)*SG05_+SUMIF('SG06'!$B:$B,$B122,'SG06'!K:K)*SG06_+SUMIF('SG07'!$B:$B,$B122,'SG07'!K:K)*SG07_+SUMIF('SG08'!$B:$B,$B122,'SG08'!K:K)*SG08_+SUMIF('SG09'!$B:$B,$B122,'SG09'!K:K)*SG09_+SUMIF('SG10'!$B:$B,$B122,'SG10'!K:K)*SG10_+SUMIF('SG11'!$B:$B,$B122,'SG11'!K:K)*SG11_+SUMIF('SG12'!$B:$B,$B122,'SG12'!K:K)*SG12_+SUMIF('SG13'!$B:$B,$B122,'SG13'!K:K)*SG13_+SUMIF('SG14'!$B:$B,$B122,'SG14'!K:K)*SG14_+SUMIF('SG15'!$B:$B,$B122,'SG15'!K:K)*SG15_)</f>
        <v>2372551.9930069931</v>
      </c>
      <c r="L122" s="61">
        <f ca="1">(SUMIF('SG01'!$B:$B,$B122,'SG01'!L:L)*SG01_+SUMIF('SG02'!$B:$B,$B122,'SG02'!L:L)*SG02_+SUMIF('SG03'!$B:$B,$B122,'SG03'!L:L)*SG03_+SUMIF('SG04'!$B:$B,$B122,'SG04'!L:L)*SG04_+SUMIF('SG05'!$B:$B,$B122,'SG05'!L:L)*SG05_+SUMIF('SG06'!$B:$B,$B122,'SG06'!L:L)*SG06_+SUMIF('SG07'!$B:$B,$B122,'SG07'!L:L)*SG07_+SUMIF('SG08'!$B:$B,$B122,'SG08'!L:L)*SG08_+SUMIF('SG09'!$B:$B,$B122,'SG09'!L:L)*SG09_+SUMIF('SG10'!$B:$B,$B122,'SG10'!L:L)*SG10_+SUMIF('SG11'!$B:$B,$B122,'SG11'!L:L)*SG11_+SUMIF('SG12'!$B:$B,$B122,'SG12'!L:L)*SG12_+SUMIF('SG13'!$B:$B,$B122,'SG13'!L:L)*SG13_+SUMIF('SG14'!$B:$B,$B122,'SG14'!L:L)*SG14_+SUMIF('SG15'!$B:$B,$B122,'SG15'!L:L)*SG15_)</f>
        <v>9825000</v>
      </c>
      <c r="M122" s="253">
        <f t="shared" ref="M122:M125" ca="1" si="318">L122-K122</f>
        <v>7452448.0069930069</v>
      </c>
      <c r="N122" s="257">
        <f t="shared" ca="1" si="309"/>
        <v>0.24148111888111889</v>
      </c>
      <c r="O122" s="258">
        <f t="shared" ca="1" si="310"/>
        <v>6.3364081304661595E-3</v>
      </c>
      <c r="P122" s="258">
        <f t="shared" ca="1" si="311"/>
        <v>7.2435008347327794E-3</v>
      </c>
      <c r="Q122" s="258">
        <f t="shared" ca="1" si="312"/>
        <v>2.4482930475953152E-2</v>
      </c>
      <c r="R122" s="259">
        <f t="shared" ca="1" si="313"/>
        <v>10.641754670999187</v>
      </c>
      <c r="S122" s="545">
        <f t="shared" ca="1" si="314"/>
        <v>31.264916467780427</v>
      </c>
      <c r="T122" s="546">
        <f t="shared" ca="1" si="315"/>
        <v>781622.91169451072</v>
      </c>
      <c r="U122" s="83"/>
      <c r="V122" s="327" t="str">
        <f t="shared" ref="V122:V126" ca="1" si="319">IF(B122&lt;&gt;"",IFERROR(IF($I122&gt;=$X$10,"High","Low"),""),"")</f>
        <v>High</v>
      </c>
      <c r="W122" s="327" t="str">
        <f t="shared" ref="W122:W126" ca="1" si="320">IF(B122&lt;&gt;"",IFERROR(IF($L122&gt;=$X$12,"High","Low"),""),"")</f>
        <v>High</v>
      </c>
      <c r="X122" s="328" t="str">
        <f t="shared" ref="X122:X126" ca="1" si="321">IF(B122&lt;&gt;"",IFERROR(IF(AND(V122="high",W122="high"),"Star",IF(AND(V122="low",W122="high"),"Puzzle",(IF(AND(V122="high",W122="low"),"Horse","Dog")))),""),"")</f>
        <v>Star</v>
      </c>
    </row>
    <row r="123" spans="1:39" ht="19.5" customHeight="1" x14ac:dyDescent="0.35">
      <c r="A123" s="366">
        <v>2</v>
      </c>
      <c r="B123" s="509" t="s">
        <v>439</v>
      </c>
      <c r="C123" s="365" t="str">
        <f>VLOOKUP(B123,'SG01'!$B:$E,2,0)</f>
        <v>Nước Lọc Aquafina</v>
      </c>
      <c r="D123" s="365"/>
      <c r="E123" s="468" t="str">
        <f>VLOOKUP(B123,'SG01'!$B:$E,4,0)</f>
        <v>Chai</v>
      </c>
      <c r="F123" s="61">
        <f t="shared" ca="1" si="316"/>
        <v>3500.1018735363</v>
      </c>
      <c r="G123" s="61">
        <f t="shared" ca="1" si="317"/>
        <v>20000</v>
      </c>
      <c r="H123" s="254">
        <f t="shared" ca="1" si="308"/>
        <v>16499.8981264637</v>
      </c>
      <c r="I123" s="255">
        <f ca="1">(SUMIF('SG01'!$B:$B,$B123,'SG01'!I:I)*SG01_+SUMIF('SG02'!$B:$B,$B123,'SG02'!I:I)*SG02_+SUMIF('SG03'!$B:$B,$B123,'SG03'!I:I)*SG03_+SUMIF('SG04'!$B:$B,$B123,'SG04'!I:I)*SG04_+SUMIF('SG05'!$B:$B,$B123,'SG05'!I:I)*SG05_+SUMIF('SG06'!$B:$B,$B123,'SG06'!I:I)*SG06_+SUMIF('SG07'!$B:$B,$B123,'SG07'!I:I)*SG07_+SUMIF('SG08'!$B:$B,$B123,'SG08'!I:I)*SG08_+SUMIF('SG09'!$B:$B,$B123,'SG09'!I:I)*SG09_+SUMIF('SG10'!$B:$B,$B123,'SG10'!I:I)*SG10_+SUMIF('SG11'!$B:$B,$B123,'SG11'!I:I)*SG11_+SUMIF('SG12'!$B:$B,$B123,'SG12'!I:I)*SG12_+SUMIF('SG13'!$B:$B,$B123,'SG13'!I:I)*SG13_+SUMIF('SG14'!$B:$B,$B123,'SG14'!I:I)*SG14_+SUMIF('SG15'!$B:$B,$B123,'SG15'!I:I)*SG15_)</f>
        <v>504</v>
      </c>
      <c r="J123" s="256"/>
      <c r="K123" s="61">
        <f ca="1">(SUMIF('SG01'!$B:$B,$B123,'SG01'!K:K)*SG01_+SUMIF('SG02'!$B:$B,$B123,'SG02'!K:K)*SG02_+SUMIF('SG03'!$B:$B,$B123,'SG03'!K:K)*SG03_+SUMIF('SG04'!$B:$B,$B123,'SG04'!K:K)*SG04_+SUMIF('SG05'!$B:$B,$B123,'SG05'!K:K)*SG05_+SUMIF('SG06'!$B:$B,$B123,'SG06'!K:K)*SG06_+SUMIF('SG07'!$B:$B,$B123,'SG07'!K:K)*SG07_+SUMIF('SG08'!$B:$B,$B123,'SG08'!K:K)*SG08_+SUMIF('SG09'!$B:$B,$B123,'SG09'!K:K)*SG09_+SUMIF('SG10'!$B:$B,$B123,'SG10'!K:K)*SG10_+SUMIF('SG11'!$B:$B,$B123,'SG11'!K:K)*SG11_+SUMIF('SG12'!$B:$B,$B123,'SG12'!K:K)*SG12_+SUMIF('SG13'!$B:$B,$B123,'SG13'!K:K)*SG13_+SUMIF('SG14'!$B:$B,$B123,'SG14'!K:K)*SG14_+SUMIF('SG15'!$B:$B,$B123,'SG15'!K:K)*SG15_)</f>
        <v>1764051.3442622952</v>
      </c>
      <c r="L123" s="61">
        <f ca="1">(SUMIF('SG01'!$B:$B,$B123,'SG01'!L:L)*SG01_+SUMIF('SG02'!$B:$B,$B123,'SG02'!L:L)*SG02_+SUMIF('SG03'!$B:$B,$B123,'SG03'!L:L)*SG03_+SUMIF('SG04'!$B:$B,$B123,'SG04'!L:L)*SG04_+SUMIF('SG05'!$B:$B,$B123,'SG05'!L:L)*SG05_+SUMIF('SG06'!$B:$B,$B123,'SG06'!L:L)*SG06_+SUMIF('SG07'!$B:$B,$B123,'SG07'!L:L)*SG07_+SUMIF('SG08'!$B:$B,$B123,'SG08'!L:L)*SG08_+SUMIF('SG09'!$B:$B,$B123,'SG09'!L:L)*SG09_+SUMIF('SG10'!$B:$B,$B123,'SG10'!L:L)*SG10_+SUMIF('SG11'!$B:$B,$B123,'SG11'!L:L)*SG11_+SUMIF('SG12'!$B:$B,$B123,'SG12'!L:L)*SG12_+SUMIF('SG13'!$B:$B,$B123,'SG13'!L:L)*SG13_+SUMIF('SG14'!$B:$B,$B123,'SG14'!L:L)*SG14_+SUMIF('SG15'!$B:$B,$B123,'SG15'!L:L)*SG15_)</f>
        <v>10080000</v>
      </c>
      <c r="M123" s="253">
        <f t="shared" ca="1" si="318"/>
        <v>8315948.6557377046</v>
      </c>
      <c r="N123" s="257">
        <f t="shared" ca="1" si="309"/>
        <v>0.17500509367681499</v>
      </c>
      <c r="O123" s="258">
        <f t="shared" ca="1" si="310"/>
        <v>6.5008645246919993E-3</v>
      </c>
      <c r="P123" s="258">
        <f t="shared" ca="1" si="311"/>
        <v>8.0827911812209868E-3</v>
      </c>
      <c r="Q123" s="258">
        <f t="shared" ca="1" si="312"/>
        <v>3.1397956640917019E-2</v>
      </c>
      <c r="R123" s="259">
        <f t="shared" ca="1" si="313"/>
        <v>13.647441104792851</v>
      </c>
      <c r="S123" s="545">
        <f t="shared" ca="1" si="314"/>
        <v>40.095465393794747</v>
      </c>
      <c r="T123" s="546">
        <f t="shared" ca="1" si="315"/>
        <v>801909.30787589494</v>
      </c>
      <c r="U123" s="83"/>
      <c r="V123" s="327" t="str">
        <f t="shared" ca="1" si="319"/>
        <v>High</v>
      </c>
      <c r="W123" s="327" t="str">
        <f t="shared" ca="1" si="320"/>
        <v>High</v>
      </c>
      <c r="X123" s="328" t="str">
        <f t="shared" ca="1" si="321"/>
        <v>Star</v>
      </c>
    </row>
    <row r="124" spans="1:39" ht="19.5" customHeight="1" x14ac:dyDescent="0.35">
      <c r="A124" s="366">
        <v>3</v>
      </c>
      <c r="B124" s="509" t="s">
        <v>513</v>
      </c>
      <c r="C124" s="365" t="str">
        <f>VLOOKUP(B124,'SG01'!$B:$E,2,0)</f>
        <v>Nước ngọt Pepsi đen lon 330ml</v>
      </c>
      <c r="D124" s="365"/>
      <c r="E124" s="468" t="str">
        <f>VLOOKUP(B124,'SG01'!$B:$E,4,0)</f>
        <v>Lon</v>
      </c>
      <c r="F124" s="61">
        <f t="shared" ca="1" si="316"/>
        <v>6096.0989304812838</v>
      </c>
      <c r="G124" s="61">
        <f t="shared" ca="1" si="317"/>
        <v>25000</v>
      </c>
      <c r="H124" s="254">
        <f t="shared" ca="1" si="308"/>
        <v>18903.901069518717</v>
      </c>
      <c r="I124" s="255">
        <f ca="1">(SUMIF('SG01'!$B:$B,$B124,'SG01'!I:I)*SG01_+SUMIF('SG02'!$B:$B,$B124,'SG02'!I:I)*SG02_+SUMIF('SG03'!$B:$B,$B124,'SG03'!I:I)*SG03_+SUMIF('SG04'!$B:$B,$B124,'SG04'!I:I)*SG04_+SUMIF('SG05'!$B:$B,$B124,'SG05'!I:I)*SG05_+SUMIF('SG06'!$B:$B,$B124,'SG06'!I:I)*SG06_+SUMIF('SG07'!$B:$B,$B124,'SG07'!I:I)*SG07_+SUMIF('SG08'!$B:$B,$B124,'SG08'!I:I)*SG08_+SUMIF('SG09'!$B:$B,$B124,'SG09'!I:I)*SG09_+SUMIF('SG10'!$B:$B,$B124,'SG10'!I:I)*SG10_+SUMIF('SG11'!$B:$B,$B124,'SG11'!I:I)*SG11_+SUMIF('SG12'!$B:$B,$B124,'SG12'!I:I)*SG12_+SUMIF('SG13'!$B:$B,$B124,'SG13'!I:I)*SG13_+SUMIF('SG14'!$B:$B,$B124,'SG14'!I:I)*SG14_+SUMIF('SG15'!$B:$B,$B124,'SG15'!I:I)*SG15_)</f>
        <v>330</v>
      </c>
      <c r="J124" s="256"/>
      <c r="K124" s="61">
        <f ca="1">(SUMIF('SG01'!$B:$B,$B124,'SG01'!K:K)*SG01_+SUMIF('SG02'!$B:$B,$B124,'SG02'!K:K)*SG02_+SUMIF('SG03'!$B:$B,$B124,'SG03'!K:K)*SG03_+SUMIF('SG04'!$B:$B,$B124,'SG04'!K:K)*SG04_+SUMIF('SG05'!$B:$B,$B124,'SG05'!K:K)*SG05_+SUMIF('SG06'!$B:$B,$B124,'SG06'!K:K)*SG06_+SUMIF('SG07'!$B:$B,$B124,'SG07'!K:K)*SG07_+SUMIF('SG08'!$B:$B,$B124,'SG08'!K:K)*SG08_+SUMIF('SG09'!$B:$B,$B124,'SG09'!K:K)*SG09_+SUMIF('SG10'!$B:$B,$B124,'SG10'!K:K)*SG10_+SUMIF('SG11'!$B:$B,$B124,'SG11'!K:K)*SG11_+SUMIF('SG12'!$B:$B,$B124,'SG12'!K:K)*SG12_+SUMIF('SG13'!$B:$B,$B124,'SG13'!K:K)*SG13_+SUMIF('SG14'!$B:$B,$B124,'SG14'!K:K)*SG14_+SUMIF('SG15'!$B:$B,$B124,'SG15'!K:K)*SG15_)</f>
        <v>2011712.6470588236</v>
      </c>
      <c r="L124" s="61">
        <f ca="1">(SUMIF('SG01'!$B:$B,$B124,'SG01'!L:L)*SG01_+SUMIF('SG02'!$B:$B,$B124,'SG02'!L:L)*SG02_+SUMIF('SG03'!$B:$B,$B124,'SG03'!L:L)*SG03_+SUMIF('SG04'!$B:$B,$B124,'SG04'!L:L)*SG04_+SUMIF('SG05'!$B:$B,$B124,'SG05'!L:L)*SG05_+SUMIF('SG06'!$B:$B,$B124,'SG06'!L:L)*SG06_+SUMIF('SG07'!$B:$B,$B124,'SG07'!L:L)*SG07_+SUMIF('SG08'!$B:$B,$B124,'SG08'!L:L)*SG08_+SUMIF('SG09'!$B:$B,$B124,'SG09'!L:L)*SG09_+SUMIF('SG10'!$B:$B,$B124,'SG10'!L:L)*SG10_+SUMIF('SG11'!$B:$B,$B124,'SG11'!L:L)*SG11_+SUMIF('SG12'!$B:$B,$B124,'SG12'!L:L)*SG12_+SUMIF('SG13'!$B:$B,$B124,'SG13'!L:L)*SG13_+SUMIF('SG14'!$B:$B,$B124,'SG14'!L:L)*SG14_+SUMIF('SG15'!$B:$B,$B124,'SG15'!L:L)*SG15_)</f>
        <v>8250000</v>
      </c>
      <c r="M124" s="253">
        <f t="shared" ca="1" si="318"/>
        <v>6238287.3529411759</v>
      </c>
      <c r="N124" s="257">
        <f t="shared" ca="1" si="309"/>
        <v>0.24384395721925134</v>
      </c>
      <c r="O124" s="258">
        <f t="shared" ca="1" si="310"/>
        <v>5.3206480484830352E-3</v>
      </c>
      <c r="P124" s="258">
        <f t="shared" ca="1" si="311"/>
        <v>6.0633820733712032E-3</v>
      </c>
      <c r="Q124" s="258">
        <f t="shared" ca="1" si="312"/>
        <v>2.0558185895838525E-2</v>
      </c>
      <c r="R124" s="259">
        <f t="shared" ca="1" si="313"/>
        <v>8.9358245329000816</v>
      </c>
      <c r="S124" s="545">
        <f t="shared" ca="1" si="314"/>
        <v>26.252983293556085</v>
      </c>
      <c r="T124" s="546">
        <f t="shared" ca="1" si="315"/>
        <v>656324.58233890217</v>
      </c>
      <c r="U124" s="83"/>
      <c r="V124" s="327" t="str">
        <f t="shared" ca="1" si="319"/>
        <v>High</v>
      </c>
      <c r="W124" s="327" t="str">
        <f t="shared" ca="1" si="320"/>
        <v>High</v>
      </c>
      <c r="X124" s="328" t="str">
        <f t="shared" ca="1" si="321"/>
        <v>Star</v>
      </c>
    </row>
    <row r="125" spans="1:39" ht="19.5" customHeight="1" x14ac:dyDescent="0.35">
      <c r="A125" s="366">
        <v>4</v>
      </c>
      <c r="B125" s="509" t="s">
        <v>514</v>
      </c>
      <c r="C125" s="365" t="str">
        <f>VLOOKUP(B125,'SG01'!$B:$E,2,0)</f>
        <v>Nước Ngọt 7Up</v>
      </c>
      <c r="D125" s="365"/>
      <c r="E125" s="468" t="str">
        <f>VLOOKUP(B125,'SG01'!$B:$E,4,0)</f>
        <v>Lon</v>
      </c>
      <c r="F125" s="61">
        <f t="shared" ca="1" si="316"/>
        <v>5618.2169811320755</v>
      </c>
      <c r="G125" s="61">
        <f t="shared" ca="1" si="317"/>
        <v>25000</v>
      </c>
      <c r="H125" s="254">
        <f t="shared" ca="1" si="308"/>
        <v>19381.783018867925</v>
      </c>
      <c r="I125" s="255">
        <f ca="1">(SUMIF('SG01'!$B:$B,$B125,'SG01'!I:I)*SG01_+SUMIF('SG02'!$B:$B,$B125,'SG02'!I:I)*SG02_+SUMIF('SG03'!$B:$B,$B125,'SG03'!I:I)*SG03_+SUMIF('SG04'!$B:$B,$B125,'SG04'!I:I)*SG04_+SUMIF('SG05'!$B:$B,$B125,'SG05'!I:I)*SG05_+SUMIF('SG06'!$B:$B,$B125,'SG06'!I:I)*SG06_+SUMIF('SG07'!$B:$B,$B125,'SG07'!I:I)*SG07_+SUMIF('SG08'!$B:$B,$B125,'SG08'!I:I)*SG08_+SUMIF('SG09'!$B:$B,$B125,'SG09'!I:I)*SG09_+SUMIF('SG10'!$B:$B,$B125,'SG10'!I:I)*SG10_+SUMIF('SG11'!$B:$B,$B125,'SG11'!I:I)*SG11_+SUMIF('SG12'!$B:$B,$B125,'SG12'!I:I)*SG12_+SUMIF('SG13'!$B:$B,$B125,'SG13'!I:I)*SG13_+SUMIF('SG14'!$B:$B,$B125,'SG14'!I:I)*SG14_+SUMIF('SG15'!$B:$B,$B125,'SG15'!I:I)*SG15_)</f>
        <v>218</v>
      </c>
      <c r="J125" s="256"/>
      <c r="K125" s="61">
        <f ca="1">(SUMIF('SG01'!$B:$B,$B125,'SG01'!K:K)*SG01_+SUMIF('SG02'!$B:$B,$B125,'SG02'!K:K)*SG02_+SUMIF('SG03'!$B:$B,$B125,'SG03'!K:K)*SG03_+SUMIF('SG04'!$B:$B,$B125,'SG04'!K:K)*SG04_+SUMIF('SG05'!$B:$B,$B125,'SG05'!K:K)*SG05_+SUMIF('SG06'!$B:$B,$B125,'SG06'!K:K)*SG06_+SUMIF('SG07'!$B:$B,$B125,'SG07'!K:K)*SG07_+SUMIF('SG08'!$B:$B,$B125,'SG08'!K:K)*SG08_+SUMIF('SG09'!$B:$B,$B125,'SG09'!K:K)*SG09_+SUMIF('SG10'!$B:$B,$B125,'SG10'!K:K)*SG10_+SUMIF('SG11'!$B:$B,$B125,'SG11'!K:K)*SG11_+SUMIF('SG12'!$B:$B,$B125,'SG12'!K:K)*SG12_+SUMIF('SG13'!$B:$B,$B125,'SG13'!K:K)*SG13_+SUMIF('SG14'!$B:$B,$B125,'SG14'!K:K)*SG14_+SUMIF('SG15'!$B:$B,$B125,'SG15'!K:K)*SG15_)</f>
        <v>1224771.3018867925</v>
      </c>
      <c r="L125" s="61">
        <f ca="1">(SUMIF('SG01'!$B:$B,$B125,'SG01'!L:L)*SG01_+SUMIF('SG02'!$B:$B,$B125,'SG02'!L:L)*SG02_+SUMIF('SG03'!$B:$B,$B125,'SG03'!L:L)*SG03_+SUMIF('SG04'!$B:$B,$B125,'SG04'!L:L)*SG04_+SUMIF('SG05'!$B:$B,$B125,'SG05'!L:L)*SG05_+SUMIF('SG06'!$B:$B,$B125,'SG06'!L:L)*SG06_+SUMIF('SG07'!$B:$B,$B125,'SG07'!L:L)*SG07_+SUMIF('SG08'!$B:$B,$B125,'SG08'!L:L)*SG08_+SUMIF('SG09'!$B:$B,$B125,'SG09'!L:L)*SG09_+SUMIF('SG10'!$B:$B,$B125,'SG10'!L:L)*SG10_+SUMIF('SG11'!$B:$B,$B125,'SG11'!L:L)*SG11_+SUMIF('SG12'!$B:$B,$B125,'SG12'!L:L)*SG12_+SUMIF('SG13'!$B:$B,$B125,'SG13'!L:L)*SG13_+SUMIF('SG14'!$B:$B,$B125,'SG14'!L:L)*SG14_+SUMIF('SG15'!$B:$B,$B125,'SG15'!L:L)*SG15_)</f>
        <v>5450000</v>
      </c>
      <c r="M125" s="253">
        <f t="shared" ca="1" si="318"/>
        <v>4225228.6981132077</v>
      </c>
      <c r="N125" s="257">
        <f t="shared" ca="1" si="309"/>
        <v>0.22472867924528303</v>
      </c>
      <c r="O125" s="258">
        <f t="shared" ca="1" si="310"/>
        <v>3.5148523471797018E-3</v>
      </c>
      <c r="P125" s="258">
        <f t="shared" ca="1" si="311"/>
        <v>4.1067643240182668E-3</v>
      </c>
      <c r="Q125" s="258">
        <f t="shared" ca="1" si="312"/>
        <v>1.3580862197856964E-2</v>
      </c>
      <c r="R125" s="259">
        <f t="shared" ca="1" si="313"/>
        <v>5.9030598429461145</v>
      </c>
      <c r="S125" s="545">
        <f t="shared" ca="1" si="314"/>
        <v>17.342879872712807</v>
      </c>
      <c r="T125" s="546">
        <f t="shared" ca="1" si="315"/>
        <v>433571.99681782018</v>
      </c>
      <c r="U125" s="83"/>
      <c r="V125" s="327" t="str">
        <f t="shared" ca="1" si="319"/>
        <v>High</v>
      </c>
      <c r="W125" s="327" t="str">
        <f t="shared" ca="1" si="320"/>
        <v>High</v>
      </c>
      <c r="X125" s="328" t="str">
        <f t="shared" ca="1" si="321"/>
        <v>Star</v>
      </c>
    </row>
    <row r="126" spans="1:39" ht="19.5" customHeight="1" x14ac:dyDescent="0.35">
      <c r="A126" s="366"/>
      <c r="B126" s="518"/>
      <c r="C126" s="518"/>
      <c r="D126" s="495"/>
      <c r="E126" s="468"/>
      <c r="F126" s="61"/>
      <c r="G126" s="254"/>
      <c r="H126" s="254"/>
      <c r="I126" s="255"/>
      <c r="J126" s="256"/>
      <c r="K126" s="253"/>
      <c r="L126" s="253"/>
      <c r="M126" s="253"/>
      <c r="N126" s="257"/>
      <c r="O126" s="258"/>
      <c r="P126" s="258"/>
      <c r="Q126" s="258"/>
      <c r="R126" s="259"/>
      <c r="S126" s="545">
        <f t="shared" ca="1" si="314"/>
        <v>0</v>
      </c>
      <c r="T126" s="546">
        <f t="shared" ca="1" si="315"/>
        <v>0</v>
      </c>
      <c r="U126" s="83"/>
      <c r="V126" s="327" t="str">
        <f t="shared" si="319"/>
        <v/>
      </c>
      <c r="W126" s="327" t="str">
        <f t="shared" si="320"/>
        <v/>
      </c>
      <c r="X126" s="328" t="str">
        <f t="shared" si="321"/>
        <v/>
      </c>
    </row>
    <row r="127" spans="1:39" ht="22.15" customHeight="1" x14ac:dyDescent="0.35">
      <c r="A127" s="453"/>
      <c r="B127" s="479" t="s">
        <v>491</v>
      </c>
      <c r="C127" s="480" t="s">
        <v>492</v>
      </c>
      <c r="D127" s="480"/>
      <c r="E127" s="480"/>
      <c r="F127" s="306">
        <f ca="1">('SG01'!F227*SG01_+'SG02'!F228*SG02_+'SG03'!F221*SG03_+'SG04'!F238*SG04_+'SG05'!F237*SG05_+'SG06'!F238*SG06_+'SG07'!F240*SG07_+'SG08'!F244*SG08_+'SG09'!F244*SG09_+'SG10'!F244*SG10_+'SG11'!F244*SG11_++'SG12'!F244*SG12_)/SUM(Control!$B$2:$B$16)</f>
        <v>0</v>
      </c>
      <c r="G127" s="305">
        <f ca="1">('SG01'!G227*SG01_+'SG02'!G228*SG02_+'SG03'!G221*SG03_+'SG04'!G238*SG04_+'SG05'!G237*SG05_+'SG06'!G238*SG06_+'SG07'!G240*SG07_+'SG08'!G244*SG08_+'SG09'!G244*SG09_+'SG10'!G244*SG10_+'SG11'!G244*SG11_)/SUM(Control!$B$2:$B$16)</f>
        <v>0</v>
      </c>
      <c r="H127" s="305">
        <f t="shared" ref="H127:H136" ca="1" si="322">G127-F127</f>
        <v>0</v>
      </c>
      <c r="I127" s="307">
        <f ca="1">SUBTOTAL(9,I128:I143)</f>
        <v>633</v>
      </c>
      <c r="J127" s="308"/>
      <c r="K127" s="304">
        <f ca="1">SUBTOTAL(9,K128:K143)</f>
        <v>16975511.087706923</v>
      </c>
      <c r="L127" s="304">
        <f ca="1">SUBTOTAL(9,L128:L143)</f>
        <v>45255000</v>
      </c>
      <c r="M127" s="304">
        <f ca="1">SUBTOTAL(9,M128:M143)</f>
        <v>28279488.912293069</v>
      </c>
      <c r="N127" s="314">
        <f t="shared" ref="N127:N154" ca="1" si="323">K127/L127</f>
        <v>0.3751079679086714</v>
      </c>
      <c r="O127" s="315">
        <f t="shared" ref="O127:O154" ca="1" si="324">L127/L$10</f>
        <v>2.9186173022315121E-2</v>
      </c>
      <c r="P127" s="315">
        <f t="shared" ref="P127:P154" ca="1" si="325">M127/M$10</f>
        <v>2.748660592463003E-2</v>
      </c>
      <c r="Q127" s="315">
        <f t="shared" ref="Q127:Q154" ca="1" si="326">I127/I$10</f>
        <v>3.9434338400199352E-2</v>
      </c>
      <c r="R127" s="316">
        <f t="shared" ref="R127:R154" ca="1" si="327">I127/$K$5*100</f>
        <v>17.140536149471973</v>
      </c>
      <c r="S127" s="316">
        <f t="shared" ca="1" si="306"/>
        <v>50.357995226730303</v>
      </c>
      <c r="T127" s="316">
        <f t="shared" ca="1" si="307"/>
        <v>0</v>
      </c>
      <c r="U127" s="121"/>
      <c r="V127" s="327"/>
      <c r="W127" s="327"/>
      <c r="X127" s="328"/>
    </row>
    <row r="128" spans="1:39" ht="19.5" customHeight="1" x14ac:dyDescent="0.35">
      <c r="A128" s="366">
        <v>1</v>
      </c>
      <c r="B128" s="509" t="s">
        <v>691</v>
      </c>
      <c r="C128" s="365" t="str">
        <f>VLOOKUP(B128,'SG01'!$B:$E,2,0)</f>
        <v>Bia Sapporo</v>
      </c>
      <c r="D128" s="365"/>
      <c r="E128" s="468" t="str">
        <f>VLOOKUP(B128,'SG01'!$B:$E,4,0)</f>
        <v>Lon</v>
      </c>
      <c r="F128" s="59">
        <f t="shared" ref="F128:F136" ca="1" si="328">K128/I128</f>
        <v>16390.106707317074</v>
      </c>
      <c r="G128" s="61">
        <f t="shared" ref="G128:G136" ca="1" si="329">L128/I128</f>
        <v>49000</v>
      </c>
      <c r="H128" s="254">
        <f t="shared" ca="1" si="322"/>
        <v>32609.893292682926</v>
      </c>
      <c r="I128" s="255">
        <f ca="1">(SUMIF('SG01'!$B:$B,$B128,'SG01'!I:I)*SG01_+SUMIF('SG02'!$B:$B,$B128,'SG02'!I:I)*SG02_+SUMIF('SG03'!$B:$B,$B128,'SG03'!I:I)*SG03_+SUMIF('SG04'!$B:$B,$B128,'SG04'!I:I)*SG04_+SUMIF('SG05'!$B:$B,$B128,'SG05'!I:I)*SG05_+SUMIF('SG06'!$B:$B,$B128,'SG06'!I:I)*SG06_+SUMIF('SG07'!$B:$B,$B128,'SG07'!I:I)*SG07_+SUMIF('SG08'!$B:$B,$B128,'SG08'!I:I)*SG08_+SUMIF('SG09'!$B:$B,$B128,'SG09'!I:I)*SG09_+SUMIF('SG10'!$B:$B,$B128,'SG10'!I:I)*SG10_+SUMIF('SG11'!$B:$B,$B128,'SG11'!I:I)*SG11_+SUMIF('SG12'!$B:$B,$B128,'SG12'!I:I)*SG12_+SUMIF('SG13'!$B:$B,$B128,'SG13'!I:I)*SG13_+SUMIF('SG14'!$B:$B,$B128,'SG14'!I:I)*SG14_+SUMIF('SG15'!$B:$B,$B128,'SG15'!I:I)*SG15_)</f>
        <v>276</v>
      </c>
      <c r="J128" s="256"/>
      <c r="K128" s="61">
        <f ca="1">(SUMIF('SG01'!$B:$B,$B128,'SG01'!K:K)*SG01_+SUMIF('SG02'!$B:$B,$B128,'SG02'!K:K)*SG02_+SUMIF('SG03'!$B:$B,$B128,'SG03'!K:K)*SG03_+SUMIF('SG04'!$B:$B,$B128,'SG04'!K:K)*SG04_+SUMIF('SG05'!$B:$B,$B128,'SG05'!K:K)*SG05_+SUMIF('SG06'!$B:$B,$B128,'SG06'!K:K)*SG06_+SUMIF('SG07'!$B:$B,$B128,'SG07'!K:K)*SG07_+SUMIF('SG08'!$B:$B,$B128,'SG08'!K:K)*SG08_+SUMIF('SG09'!$B:$B,$B128,'SG09'!K:K)*SG09_+SUMIF('SG10'!$B:$B,$B128,'SG10'!K:K)*SG10_+SUMIF('SG11'!$B:$B,$B128,'SG11'!K:K)*SG11_+SUMIF('SG12'!$B:$B,$B128,'SG12'!K:K)*SG12_+SUMIF('SG13'!$B:$B,$B128,'SG13'!K:K)*SG13_+SUMIF('SG14'!$B:$B,$B128,'SG14'!K:K)*SG14_+SUMIF('SG15'!$B:$B,$B128,'SG15'!K:K)*SG15_)</f>
        <v>4523669.4512195121</v>
      </c>
      <c r="L128" s="61">
        <f ca="1">(SUMIF('SG01'!$B:$B,$B128,'SG01'!L:L)*SG01_+SUMIF('SG02'!$B:$B,$B128,'SG02'!L:L)*SG02_+SUMIF('SG03'!$B:$B,$B128,'SG03'!L:L)*SG03_+SUMIF('SG04'!$B:$B,$B128,'SG04'!L:L)*SG04_+SUMIF('SG05'!$B:$B,$B128,'SG05'!L:L)*SG05_+SUMIF('SG06'!$B:$B,$B128,'SG06'!L:L)*SG06_+SUMIF('SG07'!$B:$B,$B128,'SG07'!L:L)*SG07_+SUMIF('SG08'!$B:$B,$B128,'SG08'!L:L)*SG08_+SUMIF('SG09'!$B:$B,$B128,'SG09'!L:L)*SG09_+SUMIF('SG10'!$B:$B,$B128,'SG10'!L:L)*SG10_+SUMIF('SG11'!$B:$B,$B128,'SG11'!L:L)*SG11_+SUMIF('SG12'!$B:$B,$B128,'SG12'!L:L)*SG12_+SUMIF('SG13'!$B:$B,$B128,'SG13'!L:L)*SG13_+SUMIF('SG14'!$B:$B,$B128,'SG14'!L:L)*SG14_+SUMIF('SG15'!$B:$B,$B128,'SG15'!L:L)*SG15_)</f>
        <v>13524000</v>
      </c>
      <c r="M128" s="253">
        <f t="shared" ref="M128:M136" ca="1" si="330">L128-K128</f>
        <v>9000330.5487804879</v>
      </c>
      <c r="N128" s="257">
        <f t="shared" ca="1" si="323"/>
        <v>0.3344919736187158</v>
      </c>
      <c r="O128" s="258">
        <f t="shared" ca="1" si="324"/>
        <v>8.7219932372950993E-3</v>
      </c>
      <c r="P128" s="258">
        <f t="shared" ca="1" si="325"/>
        <v>8.7479847939613501E-3</v>
      </c>
      <c r="Q128" s="258">
        <f t="shared" ca="1" si="326"/>
        <v>1.7194119112883131E-2</v>
      </c>
      <c r="R128" s="259">
        <f t="shared" ca="1" si="327"/>
        <v>7.4735987002437039</v>
      </c>
      <c r="S128" s="545">
        <f t="shared" ca="1" si="306"/>
        <v>21.957040572792359</v>
      </c>
      <c r="T128" s="546">
        <f t="shared" ca="1" si="307"/>
        <v>1075894.9880668256</v>
      </c>
      <c r="U128" s="83"/>
      <c r="V128" s="327" t="str">
        <f t="shared" ca="1" si="265"/>
        <v>High</v>
      </c>
      <c r="W128" s="327" t="str">
        <f t="shared" ca="1" si="266"/>
        <v>High</v>
      </c>
      <c r="X128" s="328" t="str">
        <f t="shared" ca="1" si="267"/>
        <v>Star</v>
      </c>
    </row>
    <row r="129" spans="1:39" ht="19.5" customHeight="1" x14ac:dyDescent="0.35">
      <c r="A129" s="366">
        <v>2</v>
      </c>
      <c r="B129" s="509" t="s">
        <v>556</v>
      </c>
      <c r="C129" s="365" t="str">
        <f>VLOOKUP(B129,'SG01'!$B:$E,2,0)</f>
        <v>Bia Tiger</v>
      </c>
      <c r="D129" s="365"/>
      <c r="E129" s="468" t="str">
        <f>VLOOKUP(B129,'SG01'!$B:$E,4,0)</f>
        <v>Lon</v>
      </c>
      <c r="F129" s="61">
        <f t="shared" ca="1" si="328"/>
        <v>13812</v>
      </c>
      <c r="G129" s="61">
        <f t="shared" ca="1" si="329"/>
        <v>35000</v>
      </c>
      <c r="H129" s="254">
        <f t="shared" ca="1" si="322"/>
        <v>21188</v>
      </c>
      <c r="I129" s="255">
        <f ca="1">(SUMIF('SG01'!$B:$B,$B129,'SG01'!I:I)*SG01_+SUMIF('SG02'!$B:$B,$B129,'SG02'!I:I)*SG02_+SUMIF('SG03'!$B:$B,$B129,'SG03'!I:I)*SG03_+SUMIF('SG04'!$B:$B,$B129,'SG04'!I:I)*SG04_+SUMIF('SG05'!$B:$B,$B129,'SG05'!I:I)*SG05_+SUMIF('SG06'!$B:$B,$B129,'SG06'!I:I)*SG06_+SUMIF('SG07'!$B:$B,$B129,'SG07'!I:I)*SG07_+SUMIF('SG08'!$B:$B,$B129,'SG08'!I:I)*SG08_+SUMIF('SG09'!$B:$B,$B129,'SG09'!I:I)*SG09_+SUMIF('SG10'!$B:$B,$B129,'SG10'!I:I)*SG10_+SUMIF('SG11'!$B:$B,$B129,'SG11'!I:I)*SG11_+SUMIF('SG12'!$B:$B,$B129,'SG12'!I:I)*SG12_+SUMIF('SG13'!$B:$B,$B129,'SG13'!I:I)*SG13_+SUMIF('SG14'!$B:$B,$B129,'SG14'!I:I)*SG14_+SUMIF('SG15'!$B:$B,$B129,'SG15'!I:I)*SG15_)</f>
        <v>176</v>
      </c>
      <c r="J129" s="256"/>
      <c r="K129" s="61">
        <f ca="1">(SUMIF('SG01'!$B:$B,$B129,'SG01'!K:K)*SG01_+SUMIF('SG02'!$B:$B,$B129,'SG02'!K:K)*SG02_+SUMIF('SG03'!$B:$B,$B129,'SG03'!K:K)*SG03_+SUMIF('SG04'!$B:$B,$B129,'SG04'!K:K)*SG04_+SUMIF('SG05'!$B:$B,$B129,'SG05'!K:K)*SG05_+SUMIF('SG06'!$B:$B,$B129,'SG06'!K:K)*SG06_+SUMIF('SG07'!$B:$B,$B129,'SG07'!K:K)*SG07_+SUMIF('SG08'!$B:$B,$B129,'SG08'!K:K)*SG08_+SUMIF('SG09'!$B:$B,$B129,'SG09'!K:K)*SG09_+SUMIF('SG10'!$B:$B,$B129,'SG10'!K:K)*SG10_+SUMIF('SG11'!$B:$B,$B129,'SG11'!K:K)*SG11_+SUMIF('SG12'!$B:$B,$B129,'SG12'!K:K)*SG12_+SUMIF('SG13'!$B:$B,$B129,'SG13'!K:K)*SG13_+SUMIF('SG14'!$B:$B,$B129,'SG14'!K:K)*SG14_+SUMIF('SG15'!$B:$B,$B129,'SG15'!K:K)*SG15_)</f>
        <v>2430912</v>
      </c>
      <c r="L129" s="61">
        <f ca="1">(SUMIF('SG01'!$B:$B,$B129,'SG01'!L:L)*SG01_+SUMIF('SG02'!$B:$B,$B129,'SG02'!L:L)*SG02_+SUMIF('SG03'!$B:$B,$B129,'SG03'!L:L)*SG03_+SUMIF('SG04'!$B:$B,$B129,'SG04'!L:L)*SG04_+SUMIF('SG05'!$B:$B,$B129,'SG05'!L:L)*SG05_+SUMIF('SG06'!$B:$B,$B129,'SG06'!L:L)*SG06_+SUMIF('SG07'!$B:$B,$B129,'SG07'!L:L)*SG07_+SUMIF('SG08'!$B:$B,$B129,'SG08'!L:L)*SG08_+SUMIF('SG09'!$B:$B,$B129,'SG09'!L:L)*SG09_+SUMIF('SG10'!$B:$B,$B129,'SG10'!L:L)*SG10_+SUMIF('SG11'!$B:$B,$B129,'SG11'!L:L)*SG11_+SUMIF('SG12'!$B:$B,$B129,'SG12'!L:L)*SG12_+SUMIF('SG13'!$B:$B,$B129,'SG13'!L:L)*SG13_+SUMIF('SG14'!$B:$B,$B129,'SG14'!L:L)*SG14_+SUMIF('SG15'!$B:$B,$B129,'SG15'!L:L)*SG15_)</f>
        <v>6160000</v>
      </c>
      <c r="M129" s="253">
        <f t="shared" ca="1" si="330"/>
        <v>3729088</v>
      </c>
      <c r="N129" s="257">
        <f t="shared" ca="1" si="323"/>
        <v>0.39462857142857144</v>
      </c>
      <c r="O129" s="258">
        <f t="shared" ca="1" si="324"/>
        <v>3.9727505428673324E-3</v>
      </c>
      <c r="P129" s="258">
        <f t="shared" ca="1" si="325"/>
        <v>3.6245341148902479E-3</v>
      </c>
      <c r="Q129" s="258">
        <f t="shared" ca="1" si="326"/>
        <v>1.0964365811113879E-2</v>
      </c>
      <c r="R129" s="259">
        <f t="shared" ca="1" si="327"/>
        <v>4.765773084213377</v>
      </c>
      <c r="S129" s="545">
        <f t="shared" ca="1" si="306"/>
        <v>14.001591089896579</v>
      </c>
      <c r="T129" s="546">
        <f t="shared" ca="1" si="307"/>
        <v>490055.68814638024</v>
      </c>
      <c r="U129" s="83"/>
      <c r="V129" s="327" t="str">
        <f t="shared" ca="1" si="265"/>
        <v>High</v>
      </c>
      <c r="W129" s="327" t="str">
        <f t="shared" ca="1" si="266"/>
        <v>High</v>
      </c>
      <c r="X129" s="328" t="str">
        <f t="shared" ca="1" si="267"/>
        <v>Star</v>
      </c>
    </row>
    <row r="130" spans="1:39" ht="19.5" customHeight="1" x14ac:dyDescent="0.35">
      <c r="A130" s="366">
        <v>3</v>
      </c>
      <c r="B130" s="509" t="s">
        <v>515</v>
      </c>
      <c r="C130" s="365" t="str">
        <f>VLOOKUP(B130,'SG01'!$B:$E,2,0)</f>
        <v>Nước Táo Lên Men Strongbow Vị Thơm Và Lựu</v>
      </c>
      <c r="D130" s="365"/>
      <c r="E130" s="468" t="str">
        <f>VLOOKUP(B130,'SG01'!$B:$E,4,0)</f>
        <v>Lon</v>
      </c>
      <c r="F130" s="61" t="e">
        <f t="shared" ca="1" si="328"/>
        <v>#DIV/0!</v>
      </c>
      <c r="G130" s="61" t="e">
        <f t="shared" ca="1" si="329"/>
        <v>#DIV/0!</v>
      </c>
      <c r="H130" s="254" t="e">
        <f t="shared" ca="1" si="322"/>
        <v>#DIV/0!</v>
      </c>
      <c r="I130" s="255">
        <f ca="1">(SUMIF('SG01'!$B:$B,$B130,'SG01'!I:I)*SG01_+SUMIF('SG02'!$B:$B,$B130,'SG02'!I:I)*SG02_+SUMIF('SG03'!$B:$B,$B130,'SG03'!I:I)*SG03_+SUMIF('SG04'!$B:$B,$B130,'SG04'!I:I)*SG04_+SUMIF('SG05'!$B:$B,$B130,'SG05'!I:I)*SG05_+SUMIF('SG06'!$B:$B,$B130,'SG06'!I:I)*SG06_+SUMIF('SG07'!$B:$B,$B130,'SG07'!I:I)*SG07_+SUMIF('SG08'!$B:$B,$B130,'SG08'!I:I)*SG08_+SUMIF('SG09'!$B:$B,$B130,'SG09'!I:I)*SG09_+SUMIF('SG10'!$B:$B,$B130,'SG10'!I:I)*SG10_+SUMIF('SG11'!$B:$B,$B130,'SG11'!I:I)*SG11_+SUMIF('SG12'!$B:$B,$B130,'SG12'!I:I)*SG12_+SUMIF('SG13'!$B:$B,$B130,'SG13'!I:I)*SG13_+SUMIF('SG14'!$B:$B,$B130,'SG14'!I:I)*SG14_+SUMIF('SG15'!$B:$B,$B130,'SG15'!I:I)*SG15_)</f>
        <v>0</v>
      </c>
      <c r="J130" s="256"/>
      <c r="K130" s="61">
        <f ca="1">(SUMIF('SG01'!$B:$B,$B130,'SG01'!K:K)*SG01_+SUMIF('SG02'!$B:$B,$B130,'SG02'!K:K)*SG02_+SUMIF('SG03'!$B:$B,$B130,'SG03'!K:K)*SG03_+SUMIF('SG04'!$B:$B,$B130,'SG04'!K:K)*SG04_+SUMIF('SG05'!$B:$B,$B130,'SG05'!K:K)*SG05_+SUMIF('SG06'!$B:$B,$B130,'SG06'!K:K)*SG06_+SUMIF('SG07'!$B:$B,$B130,'SG07'!K:K)*SG07_+SUMIF('SG08'!$B:$B,$B130,'SG08'!K:K)*SG08_+SUMIF('SG09'!$B:$B,$B130,'SG09'!K:K)*SG09_+SUMIF('SG10'!$B:$B,$B130,'SG10'!K:K)*SG10_+SUMIF('SG11'!$B:$B,$B130,'SG11'!K:K)*SG11_+SUMIF('SG12'!$B:$B,$B130,'SG12'!K:K)*SG12_+SUMIF('SG13'!$B:$B,$B130,'SG13'!K:K)*SG13_+SUMIF('SG14'!$B:$B,$B130,'SG14'!K:K)*SG14_+SUMIF('SG15'!$B:$B,$B130,'SG15'!K:K)*SG15_)</f>
        <v>0</v>
      </c>
      <c r="L130" s="61">
        <f ca="1">(SUMIF('SG01'!$B:$B,$B130,'SG01'!L:L)*SG01_+SUMIF('SG02'!$B:$B,$B130,'SG02'!L:L)*SG02_+SUMIF('SG03'!$B:$B,$B130,'SG03'!L:L)*SG03_+SUMIF('SG04'!$B:$B,$B130,'SG04'!L:L)*SG04_+SUMIF('SG05'!$B:$B,$B130,'SG05'!L:L)*SG05_+SUMIF('SG06'!$B:$B,$B130,'SG06'!L:L)*SG06_+SUMIF('SG07'!$B:$B,$B130,'SG07'!L:L)*SG07_+SUMIF('SG08'!$B:$B,$B130,'SG08'!L:L)*SG08_+SUMIF('SG09'!$B:$B,$B130,'SG09'!L:L)*SG09_+SUMIF('SG10'!$B:$B,$B130,'SG10'!L:L)*SG10_+SUMIF('SG11'!$B:$B,$B130,'SG11'!L:L)*SG11_+SUMIF('SG12'!$B:$B,$B130,'SG12'!L:L)*SG12_+SUMIF('SG13'!$B:$B,$B130,'SG13'!L:L)*SG13_+SUMIF('SG14'!$B:$B,$B130,'SG14'!L:L)*SG14_+SUMIF('SG15'!$B:$B,$B130,'SG15'!L:L)*SG15_)</f>
        <v>0</v>
      </c>
      <c r="M130" s="253">
        <f t="shared" ca="1" si="330"/>
        <v>0</v>
      </c>
      <c r="N130" s="257" t="e">
        <f t="shared" ca="1" si="323"/>
        <v>#DIV/0!</v>
      </c>
      <c r="O130" s="258">
        <f t="shared" ca="1" si="324"/>
        <v>0</v>
      </c>
      <c r="P130" s="258">
        <f t="shared" ca="1" si="325"/>
        <v>0</v>
      </c>
      <c r="Q130" s="258">
        <f t="shared" ca="1" si="326"/>
        <v>0</v>
      </c>
      <c r="R130" s="259">
        <f t="shared" ca="1" si="327"/>
        <v>0</v>
      </c>
      <c r="S130" s="545">
        <f t="shared" ca="1" si="306"/>
        <v>0</v>
      </c>
      <c r="T130" s="546">
        <f t="shared" ca="1" si="307"/>
        <v>0</v>
      </c>
      <c r="U130" s="83"/>
      <c r="V130" s="327" t="str">
        <f t="shared" ca="1" si="265"/>
        <v>Low</v>
      </c>
      <c r="W130" s="327" t="str">
        <f t="shared" ca="1" si="266"/>
        <v>Low</v>
      </c>
      <c r="X130" s="328" t="str">
        <f t="shared" ca="1" si="267"/>
        <v>Dog</v>
      </c>
    </row>
    <row r="131" spans="1:39" ht="19.5" customHeight="1" x14ac:dyDescent="0.35">
      <c r="A131" s="366">
        <v>4</v>
      </c>
      <c r="B131" s="509" t="s">
        <v>707</v>
      </c>
      <c r="C131" s="365" t="str">
        <f>VLOOKUP(B131,'SG01'!$B:$E,2,0)</f>
        <v>Rượu Highball Táo</v>
      </c>
      <c r="D131" s="365"/>
      <c r="E131" s="468" t="str">
        <f>VLOOKUP(B131,'SG01'!$B:$E,4,0)</f>
        <v>Ly</v>
      </c>
      <c r="F131" s="61">
        <f t="shared" ca="1" si="328"/>
        <v>26760.396551724138</v>
      </c>
      <c r="G131" s="61">
        <f t="shared" ca="1" si="329"/>
        <v>65357.142857142855</v>
      </c>
      <c r="H131" s="254">
        <f t="shared" ca="1" si="322"/>
        <v>38596.746305418717</v>
      </c>
      <c r="I131" s="255">
        <f ca="1">(SUMIF('SG01'!$B:$B,$B131,'SG01'!I:I)*SG01_+SUMIF('SG02'!$B:$B,$B131,'SG02'!I:I)*SG02_+SUMIF('SG03'!$B:$B,$B131,'SG03'!I:I)*SG03_+SUMIF('SG04'!$B:$B,$B131,'SG04'!I:I)*SG04_+SUMIF('SG05'!$B:$B,$B131,'SG05'!I:I)*SG05_+SUMIF('SG06'!$B:$B,$B131,'SG06'!I:I)*SG06_+SUMIF('SG07'!$B:$B,$B131,'SG07'!I:I)*SG07_+SUMIF('SG08'!$B:$B,$B131,'SG08'!I:I)*SG08_+SUMIF('SG09'!$B:$B,$B131,'SG09'!I:I)*SG09_+SUMIF('SG10'!$B:$B,$B131,'SG10'!I:I)*SG10_+SUMIF('SG11'!$B:$B,$B131,'SG11'!I:I)*SG11_+SUMIF('SG12'!$B:$B,$B131,'SG12'!I:I)*SG12_+SUMIF('SG13'!$B:$B,$B131,'SG13'!I:I)*SG13_+SUMIF('SG14'!$B:$B,$B131,'SG14'!I:I)*SG14_+SUMIF('SG15'!$B:$B,$B131,'SG15'!I:I)*SG15_)</f>
        <v>56</v>
      </c>
      <c r="J131" s="256"/>
      <c r="K131" s="61">
        <f ca="1">(SUMIF('SG01'!$B:$B,$B131,'SG01'!K:K)*SG01_+SUMIF('SG02'!$B:$B,$B131,'SG02'!K:K)*SG02_+SUMIF('SG03'!$B:$B,$B131,'SG03'!K:K)*SG03_+SUMIF('SG04'!$B:$B,$B131,'SG04'!K:K)*SG04_+SUMIF('SG05'!$B:$B,$B131,'SG05'!K:K)*SG05_+SUMIF('SG06'!$B:$B,$B131,'SG06'!K:K)*SG06_+SUMIF('SG07'!$B:$B,$B131,'SG07'!K:K)*SG07_+SUMIF('SG08'!$B:$B,$B131,'SG08'!K:K)*SG08_+SUMIF('SG09'!$B:$B,$B131,'SG09'!K:K)*SG09_+SUMIF('SG10'!$B:$B,$B131,'SG10'!K:K)*SG10_+SUMIF('SG11'!$B:$B,$B131,'SG11'!K:K)*SG11_+SUMIF('SG12'!$B:$B,$B131,'SG12'!K:K)*SG12_+SUMIF('SG13'!$B:$B,$B131,'SG13'!K:K)*SG13_+SUMIF('SG14'!$B:$B,$B131,'SG14'!K:K)*SG14_+SUMIF('SG15'!$B:$B,$B131,'SG15'!K:K)*SG15_)</f>
        <v>1498582.2068965517</v>
      </c>
      <c r="L131" s="61">
        <f ca="1">(SUMIF('SG01'!$B:$B,$B131,'SG01'!L:L)*SG01_+SUMIF('SG02'!$B:$B,$B131,'SG02'!L:L)*SG02_+SUMIF('SG03'!$B:$B,$B131,'SG03'!L:L)*SG03_+SUMIF('SG04'!$B:$B,$B131,'SG04'!L:L)*SG04_+SUMIF('SG05'!$B:$B,$B131,'SG05'!L:L)*SG05_+SUMIF('SG06'!$B:$B,$B131,'SG06'!L:L)*SG06_+SUMIF('SG07'!$B:$B,$B131,'SG07'!L:L)*SG07_+SUMIF('SG08'!$B:$B,$B131,'SG08'!L:L)*SG08_+SUMIF('SG09'!$B:$B,$B131,'SG09'!L:L)*SG09_+SUMIF('SG10'!$B:$B,$B131,'SG10'!L:L)*SG10_+SUMIF('SG11'!$B:$B,$B131,'SG11'!L:L)*SG11_+SUMIF('SG12'!$B:$B,$B131,'SG12'!L:L)*SG12_+SUMIF('SG13'!$B:$B,$B131,'SG13'!L:L)*SG13_+SUMIF('SG14'!$B:$B,$B131,'SG14'!L:L)*SG14_+SUMIF('SG15'!$B:$B,$B131,'SG15'!L:L)*SG15_)</f>
        <v>3660000</v>
      </c>
      <c r="M131" s="253">
        <f t="shared" ca="1" si="330"/>
        <v>2161417.7931034481</v>
      </c>
      <c r="N131" s="257">
        <f t="shared" ca="1" si="323"/>
        <v>0.40944869040889387</v>
      </c>
      <c r="O131" s="258">
        <f t="shared" ca="1" si="324"/>
        <v>2.3604329524179284E-3</v>
      </c>
      <c r="P131" s="258">
        <f t="shared" ca="1" si="325"/>
        <v>2.1008172849860986E-3</v>
      </c>
      <c r="Q131" s="258">
        <f t="shared" ca="1" si="326"/>
        <v>3.4886618489907801E-3</v>
      </c>
      <c r="R131" s="259">
        <f t="shared" ca="1" si="327"/>
        <v>1.5163823449769833</v>
      </c>
      <c r="S131" s="545">
        <f t="shared" ref="S131:S136" ca="1" si="331">R131*T$5</f>
        <v>4.4550517104216381</v>
      </c>
      <c r="T131" s="546">
        <f t="shared" ref="T131:T136" ca="1" si="332">IFERROR(S131*G131,0)</f>
        <v>291169.45107398561</v>
      </c>
      <c r="U131" s="83"/>
      <c r="V131" s="327" t="str">
        <f t="shared" ca="1" si="265"/>
        <v>Low</v>
      </c>
      <c r="W131" s="327" t="str">
        <f t="shared" ca="1" si="266"/>
        <v>High</v>
      </c>
      <c r="X131" s="328" t="str">
        <f t="shared" ca="1" si="267"/>
        <v>Puzzle</v>
      </c>
    </row>
    <row r="132" spans="1:39" ht="19.5" customHeight="1" x14ac:dyDescent="0.35">
      <c r="A132" s="366">
        <v>5</v>
      </c>
      <c r="B132" s="509" t="s">
        <v>702</v>
      </c>
      <c r="C132" s="365" t="str">
        <f>VLOOKUP(B132,'SG01'!$B:$E,2,0)</f>
        <v>Rượu Kumquat Sour</v>
      </c>
      <c r="D132" s="365"/>
      <c r="E132" s="468" t="str">
        <f>VLOOKUP(B132,'SG01'!$B:$E,4,0)</f>
        <v>Ly</v>
      </c>
      <c r="F132" s="61">
        <f t="shared" ca="1" si="328"/>
        <v>6967.9390243902435</v>
      </c>
      <c r="G132" s="61">
        <f t="shared" ca="1" si="329"/>
        <v>59636.36363636364</v>
      </c>
      <c r="H132" s="254">
        <f t="shared" ca="1" si="322"/>
        <v>52668.424611973394</v>
      </c>
      <c r="I132" s="255">
        <f ca="1">(SUMIF('SG01'!$B:$B,$B132,'SG01'!I:I)*SG01_+SUMIF('SG02'!$B:$B,$B132,'SG02'!I:I)*SG02_+SUMIF('SG03'!$B:$B,$B132,'SG03'!I:I)*SG03_+SUMIF('SG04'!$B:$B,$B132,'SG04'!I:I)*SG04_+SUMIF('SG05'!$B:$B,$B132,'SG05'!I:I)*SG05_+SUMIF('SG06'!$B:$B,$B132,'SG06'!I:I)*SG06_+SUMIF('SG07'!$B:$B,$B132,'SG07'!I:I)*SG07_+SUMIF('SG08'!$B:$B,$B132,'SG08'!I:I)*SG08_+SUMIF('SG09'!$B:$B,$B132,'SG09'!I:I)*SG09_+SUMIF('SG10'!$B:$B,$B132,'SG10'!I:I)*SG10_+SUMIF('SG11'!$B:$B,$B132,'SG11'!I:I)*SG11_+SUMIF('SG12'!$B:$B,$B132,'SG12'!I:I)*SG12_+SUMIF('SG13'!$B:$B,$B132,'SG13'!I:I)*SG13_+SUMIF('SG14'!$B:$B,$B132,'SG14'!I:I)*SG14_+SUMIF('SG15'!$B:$B,$B132,'SG15'!I:I)*SG15_)</f>
        <v>66</v>
      </c>
      <c r="J132" s="256"/>
      <c r="K132" s="61">
        <f ca="1">(SUMIF('SG01'!$B:$B,$B132,'SG01'!K:K)*SG01_+SUMIF('SG02'!$B:$B,$B132,'SG02'!K:K)*SG02_+SUMIF('SG03'!$B:$B,$B132,'SG03'!K:K)*SG03_+SUMIF('SG04'!$B:$B,$B132,'SG04'!K:K)*SG04_+SUMIF('SG05'!$B:$B,$B132,'SG05'!K:K)*SG05_+SUMIF('SG06'!$B:$B,$B132,'SG06'!K:K)*SG06_+SUMIF('SG07'!$B:$B,$B132,'SG07'!K:K)*SG07_+SUMIF('SG08'!$B:$B,$B132,'SG08'!K:K)*SG08_+SUMIF('SG09'!$B:$B,$B132,'SG09'!K:K)*SG09_+SUMIF('SG10'!$B:$B,$B132,'SG10'!K:K)*SG10_+SUMIF('SG11'!$B:$B,$B132,'SG11'!K:K)*SG11_+SUMIF('SG12'!$B:$B,$B132,'SG12'!K:K)*SG12_+SUMIF('SG13'!$B:$B,$B132,'SG13'!K:K)*SG13_+SUMIF('SG14'!$B:$B,$B132,'SG14'!K:K)*SG14_+SUMIF('SG15'!$B:$B,$B132,'SG15'!K:K)*SG15_)</f>
        <v>459883.97560975607</v>
      </c>
      <c r="L132" s="61">
        <f ca="1">(SUMIF('SG01'!$B:$B,$B132,'SG01'!L:L)*SG01_+SUMIF('SG02'!$B:$B,$B132,'SG02'!L:L)*SG02_+SUMIF('SG03'!$B:$B,$B132,'SG03'!L:L)*SG03_+SUMIF('SG04'!$B:$B,$B132,'SG04'!L:L)*SG04_+SUMIF('SG05'!$B:$B,$B132,'SG05'!L:L)*SG05_+SUMIF('SG06'!$B:$B,$B132,'SG06'!L:L)*SG06_+SUMIF('SG07'!$B:$B,$B132,'SG07'!L:L)*SG07_+SUMIF('SG08'!$B:$B,$B132,'SG08'!L:L)*SG08_+SUMIF('SG09'!$B:$B,$B132,'SG09'!L:L)*SG09_+SUMIF('SG10'!$B:$B,$B132,'SG10'!L:L)*SG10_+SUMIF('SG11'!$B:$B,$B132,'SG11'!L:L)*SG11_+SUMIF('SG12'!$B:$B,$B132,'SG12'!L:L)*SG12_+SUMIF('SG13'!$B:$B,$B132,'SG13'!L:L)*SG13_+SUMIF('SG14'!$B:$B,$B132,'SG14'!L:L)*SG14_+SUMIF('SG15'!$B:$B,$B132,'SG15'!L:L)*SG15_)</f>
        <v>3936000</v>
      </c>
      <c r="M132" s="253">
        <f t="shared" ca="1" si="330"/>
        <v>3476116.0243902439</v>
      </c>
      <c r="N132" s="257">
        <f t="shared" ca="1" si="323"/>
        <v>0.11684044095776323</v>
      </c>
      <c r="O132" s="258">
        <f t="shared" ca="1" si="324"/>
        <v>2.5384328144035426E-3</v>
      </c>
      <c r="P132" s="258">
        <f t="shared" ca="1" si="325"/>
        <v>3.3786548125759167E-3</v>
      </c>
      <c r="Q132" s="258">
        <f t="shared" ca="1" si="326"/>
        <v>4.1116371791677046E-3</v>
      </c>
      <c r="R132" s="259">
        <f t="shared" ca="1" si="327"/>
        <v>1.7871649065800164</v>
      </c>
      <c r="S132" s="545">
        <f t="shared" ca="1" si="331"/>
        <v>5.2505966587112169</v>
      </c>
      <c r="T132" s="546">
        <f t="shared" ca="1" si="332"/>
        <v>313126.49164677807</v>
      </c>
      <c r="U132" s="83"/>
      <c r="V132" s="327" t="str">
        <f t="shared" ca="1" si="265"/>
        <v>Low</v>
      </c>
      <c r="W132" s="327" t="str">
        <f t="shared" ca="1" si="266"/>
        <v>High</v>
      </c>
      <c r="X132" s="328" t="str">
        <f t="shared" ca="1" si="267"/>
        <v>Puzzle</v>
      </c>
    </row>
    <row r="133" spans="1:39" ht="19.5" customHeight="1" x14ac:dyDescent="0.35">
      <c r="A133" s="366">
        <v>6</v>
      </c>
      <c r="B133" s="509" t="s">
        <v>692</v>
      </c>
      <c r="C133" s="365" t="str">
        <f>VLOOKUP(B133,'SG01'!$B:$E,2,0)</f>
        <v>Rượu Mơ Hoa Thông 500ML</v>
      </c>
      <c r="D133" s="365"/>
      <c r="E133" s="468" t="str">
        <f>VLOOKUP(B133,'SG01'!$B:$E,4,0)</f>
        <v>Chai</v>
      </c>
      <c r="F133" s="61">
        <f t="shared" ca="1" si="328"/>
        <v>192000</v>
      </c>
      <c r="G133" s="61">
        <f t="shared" ca="1" si="329"/>
        <v>450000</v>
      </c>
      <c r="H133" s="254">
        <f t="shared" ca="1" si="322"/>
        <v>258000</v>
      </c>
      <c r="I133" s="255">
        <f ca="1">(SUMIF('SG01'!$B:$B,$B133,'SG01'!I:I)*SG01_+SUMIF('SG02'!$B:$B,$B133,'SG02'!I:I)*SG02_+SUMIF('SG03'!$B:$B,$B133,'SG03'!I:I)*SG03_+SUMIF('SG04'!$B:$B,$B133,'SG04'!I:I)*SG04_+SUMIF('SG05'!$B:$B,$B133,'SG05'!I:I)*SG05_+SUMIF('SG06'!$B:$B,$B133,'SG06'!I:I)*SG06_+SUMIF('SG07'!$B:$B,$B133,'SG07'!I:I)*SG07_+SUMIF('SG08'!$B:$B,$B133,'SG08'!I:I)*SG08_+SUMIF('SG09'!$B:$B,$B133,'SG09'!I:I)*SG09_+SUMIF('SG10'!$B:$B,$B133,'SG10'!I:I)*SG10_+SUMIF('SG11'!$B:$B,$B133,'SG11'!I:I)*SG11_+SUMIF('SG12'!$B:$B,$B133,'SG12'!I:I)*SG12_+SUMIF('SG13'!$B:$B,$B133,'SG13'!I:I)*SG13_+SUMIF('SG14'!$B:$B,$B133,'SG14'!I:I)*SG14_+SUMIF('SG15'!$B:$B,$B133,'SG15'!I:I)*SG15_)</f>
        <v>3</v>
      </c>
      <c r="J133" s="256"/>
      <c r="K133" s="61">
        <f ca="1">(SUMIF('SG01'!$B:$B,$B133,'SG01'!K:K)*SG01_+SUMIF('SG02'!$B:$B,$B133,'SG02'!K:K)*SG02_+SUMIF('SG03'!$B:$B,$B133,'SG03'!K:K)*SG03_+SUMIF('SG04'!$B:$B,$B133,'SG04'!K:K)*SG04_+SUMIF('SG05'!$B:$B,$B133,'SG05'!K:K)*SG05_+SUMIF('SG06'!$B:$B,$B133,'SG06'!K:K)*SG06_+SUMIF('SG07'!$B:$B,$B133,'SG07'!K:K)*SG07_+SUMIF('SG08'!$B:$B,$B133,'SG08'!K:K)*SG08_+SUMIF('SG09'!$B:$B,$B133,'SG09'!K:K)*SG09_+SUMIF('SG10'!$B:$B,$B133,'SG10'!K:K)*SG10_+SUMIF('SG11'!$B:$B,$B133,'SG11'!K:K)*SG11_+SUMIF('SG12'!$B:$B,$B133,'SG12'!K:K)*SG12_+SUMIF('SG13'!$B:$B,$B133,'SG13'!K:K)*SG13_+SUMIF('SG14'!$B:$B,$B133,'SG14'!K:K)*SG14_+SUMIF('SG15'!$B:$B,$B133,'SG15'!K:K)*SG15_)</f>
        <v>576000</v>
      </c>
      <c r="L133" s="61">
        <f ca="1">(SUMIF('SG01'!$B:$B,$B133,'SG01'!L:L)*SG01_+SUMIF('SG02'!$B:$B,$B133,'SG02'!L:L)*SG02_+SUMIF('SG03'!$B:$B,$B133,'SG03'!L:L)*SG03_+SUMIF('SG04'!$B:$B,$B133,'SG04'!L:L)*SG04_+SUMIF('SG05'!$B:$B,$B133,'SG05'!L:L)*SG05_+SUMIF('SG06'!$B:$B,$B133,'SG06'!L:L)*SG06_+SUMIF('SG07'!$B:$B,$B133,'SG07'!L:L)*SG07_+SUMIF('SG08'!$B:$B,$B133,'SG08'!L:L)*SG08_+SUMIF('SG09'!$B:$B,$B133,'SG09'!L:L)*SG09_+SUMIF('SG10'!$B:$B,$B133,'SG10'!L:L)*SG10_+SUMIF('SG11'!$B:$B,$B133,'SG11'!L:L)*SG11_+SUMIF('SG12'!$B:$B,$B133,'SG12'!L:L)*SG12_+SUMIF('SG13'!$B:$B,$B133,'SG13'!L:L)*SG13_+SUMIF('SG14'!$B:$B,$B133,'SG14'!L:L)*SG14_+SUMIF('SG15'!$B:$B,$B133,'SG15'!L:L)*SG15_)</f>
        <v>1350000</v>
      </c>
      <c r="M133" s="253">
        <f t="shared" ca="1" si="330"/>
        <v>774000</v>
      </c>
      <c r="N133" s="257">
        <f t="shared" ca="1" si="323"/>
        <v>0.42666666666666669</v>
      </c>
      <c r="O133" s="258">
        <f t="shared" ca="1" si="324"/>
        <v>8.7065149884267838E-4</v>
      </c>
      <c r="P133" s="258">
        <f t="shared" ca="1" si="325"/>
        <v>7.5229906210983811E-4</v>
      </c>
      <c r="Q133" s="258">
        <f t="shared" ca="1" si="326"/>
        <v>1.8689259905307749E-4</v>
      </c>
      <c r="R133" s="259">
        <f t="shared" ca="1" si="327"/>
        <v>8.1234768480909825E-2</v>
      </c>
      <c r="S133" s="545">
        <f t="shared" ca="1" si="331"/>
        <v>0.23866348448687347</v>
      </c>
      <c r="T133" s="546">
        <f t="shared" ca="1" si="332"/>
        <v>107398.56801909306</v>
      </c>
      <c r="U133" s="83"/>
      <c r="V133" s="327" t="str">
        <f t="shared" ca="1" si="265"/>
        <v>Low</v>
      </c>
      <c r="W133" s="327" t="str">
        <f t="shared" ca="1" si="266"/>
        <v>Low</v>
      </c>
      <c r="X133" s="328" t="str">
        <f t="shared" ca="1" si="267"/>
        <v>Dog</v>
      </c>
    </row>
    <row r="134" spans="1:39" ht="19.5" customHeight="1" x14ac:dyDescent="0.35">
      <c r="A134" s="366">
        <v>7</v>
      </c>
      <c r="B134" s="509" t="s">
        <v>697</v>
      </c>
      <c r="C134" s="365" t="str">
        <f>VLOOKUP(B134,'SG01'!$B:$E,2,0)</f>
        <v>Rượu Mơ Sapa 370ML</v>
      </c>
      <c r="D134" s="365"/>
      <c r="E134" s="468" t="str">
        <f>VLOOKUP(B134,'SG01'!$B:$E,4,0)</f>
        <v>Chai</v>
      </c>
      <c r="F134" s="61">
        <f t="shared" ca="1" si="328"/>
        <v>85444</v>
      </c>
      <c r="G134" s="61">
        <f t="shared" ca="1" si="329"/>
        <v>195000</v>
      </c>
      <c r="H134" s="254">
        <f t="shared" ca="1" si="322"/>
        <v>109556</v>
      </c>
      <c r="I134" s="255">
        <f ca="1">(SUMIF('SG01'!$B:$B,$B134,'SG01'!I:I)*SG01_+SUMIF('SG02'!$B:$B,$B134,'SG02'!I:I)*SG02_+SUMIF('SG03'!$B:$B,$B134,'SG03'!I:I)*SG03_+SUMIF('SG04'!$B:$B,$B134,'SG04'!I:I)*SG04_+SUMIF('SG05'!$B:$B,$B134,'SG05'!I:I)*SG05_+SUMIF('SG06'!$B:$B,$B134,'SG06'!I:I)*SG06_+SUMIF('SG07'!$B:$B,$B134,'SG07'!I:I)*SG07_+SUMIF('SG08'!$B:$B,$B134,'SG08'!I:I)*SG08_+SUMIF('SG09'!$B:$B,$B134,'SG09'!I:I)*SG09_+SUMIF('SG10'!$B:$B,$B134,'SG10'!I:I)*SG10_+SUMIF('SG11'!$B:$B,$B134,'SG11'!I:I)*SG11_+SUMIF('SG12'!$B:$B,$B134,'SG12'!I:I)*SG12_+SUMIF('SG13'!$B:$B,$B134,'SG13'!I:I)*SG13_+SUMIF('SG14'!$B:$B,$B134,'SG14'!I:I)*SG14_+SUMIF('SG15'!$B:$B,$B134,'SG15'!I:I)*SG15_)</f>
        <v>9</v>
      </c>
      <c r="J134" s="256"/>
      <c r="K134" s="61">
        <f ca="1">(SUMIF('SG01'!$B:$B,$B134,'SG01'!K:K)*SG01_+SUMIF('SG02'!$B:$B,$B134,'SG02'!K:K)*SG02_+SUMIF('SG03'!$B:$B,$B134,'SG03'!K:K)*SG03_+SUMIF('SG04'!$B:$B,$B134,'SG04'!K:K)*SG04_+SUMIF('SG05'!$B:$B,$B134,'SG05'!K:K)*SG05_+SUMIF('SG06'!$B:$B,$B134,'SG06'!K:K)*SG06_+SUMIF('SG07'!$B:$B,$B134,'SG07'!K:K)*SG07_+SUMIF('SG08'!$B:$B,$B134,'SG08'!K:K)*SG08_+SUMIF('SG09'!$B:$B,$B134,'SG09'!K:K)*SG09_+SUMIF('SG10'!$B:$B,$B134,'SG10'!K:K)*SG10_+SUMIF('SG11'!$B:$B,$B134,'SG11'!K:K)*SG11_+SUMIF('SG12'!$B:$B,$B134,'SG12'!K:K)*SG12_+SUMIF('SG13'!$B:$B,$B134,'SG13'!K:K)*SG13_+SUMIF('SG14'!$B:$B,$B134,'SG14'!K:K)*SG14_+SUMIF('SG15'!$B:$B,$B134,'SG15'!K:K)*SG15_)</f>
        <v>768996</v>
      </c>
      <c r="L134" s="61">
        <f ca="1">(SUMIF('SG01'!$B:$B,$B134,'SG01'!L:L)*SG01_+SUMIF('SG02'!$B:$B,$B134,'SG02'!L:L)*SG02_+SUMIF('SG03'!$B:$B,$B134,'SG03'!L:L)*SG03_+SUMIF('SG04'!$B:$B,$B134,'SG04'!L:L)*SG04_+SUMIF('SG05'!$B:$B,$B134,'SG05'!L:L)*SG05_+SUMIF('SG06'!$B:$B,$B134,'SG06'!L:L)*SG06_+SUMIF('SG07'!$B:$B,$B134,'SG07'!L:L)*SG07_+SUMIF('SG08'!$B:$B,$B134,'SG08'!L:L)*SG08_+SUMIF('SG09'!$B:$B,$B134,'SG09'!L:L)*SG09_+SUMIF('SG10'!$B:$B,$B134,'SG10'!L:L)*SG10_+SUMIF('SG11'!$B:$B,$B134,'SG11'!L:L)*SG11_+SUMIF('SG12'!$B:$B,$B134,'SG12'!L:L)*SG12_+SUMIF('SG13'!$B:$B,$B134,'SG13'!L:L)*SG13_+SUMIF('SG14'!$B:$B,$B134,'SG14'!L:L)*SG14_+SUMIF('SG15'!$B:$B,$B134,'SG15'!L:L)*SG15_)</f>
        <v>1755000</v>
      </c>
      <c r="M134" s="253">
        <f t="shared" ca="1" si="330"/>
        <v>986004</v>
      </c>
      <c r="N134" s="257">
        <f t="shared" ca="1" si="323"/>
        <v>0.43817435897435897</v>
      </c>
      <c r="O134" s="258">
        <f t="shared" ca="1" si="324"/>
        <v>1.131846948495482E-3</v>
      </c>
      <c r="P134" s="258">
        <f t="shared" ca="1" si="325"/>
        <v>9.5835902381983054E-4</v>
      </c>
      <c r="Q134" s="258">
        <f t="shared" ca="1" si="326"/>
        <v>5.6067779715923249E-4</v>
      </c>
      <c r="R134" s="259">
        <f t="shared" ca="1" si="327"/>
        <v>0.2437043054427295</v>
      </c>
      <c r="S134" s="545">
        <f t="shared" ca="1" si="331"/>
        <v>0.71599045346062051</v>
      </c>
      <c r="T134" s="546">
        <f t="shared" ca="1" si="332"/>
        <v>139618.13842482099</v>
      </c>
      <c r="U134" s="83"/>
      <c r="V134" s="327" t="str">
        <f t="shared" ca="1" si="265"/>
        <v>Low</v>
      </c>
      <c r="W134" s="327" t="str">
        <f t="shared" ca="1" si="266"/>
        <v>Low</v>
      </c>
      <c r="X134" s="328" t="str">
        <f t="shared" ca="1" si="267"/>
        <v>Dog</v>
      </c>
    </row>
    <row r="135" spans="1:39" ht="19.5" customHeight="1" x14ac:dyDescent="0.35">
      <c r="A135" s="366">
        <v>8</v>
      </c>
      <c r="B135" s="509" t="s">
        <v>699</v>
      </c>
      <c r="C135" s="365" t="str">
        <f>VLOOKUP(B135,'SG01'!$B:$E,2,0)</f>
        <v>Rượu Mùa Craft Sake Vị Chanh Dây &amp; Tiêu Thất 300ML</v>
      </c>
      <c r="D135" s="365"/>
      <c r="E135" s="468" t="str">
        <f>VLOOKUP(B135,'SG01'!$B:$E,4,0)</f>
        <v>Chai</v>
      </c>
      <c r="F135" s="61">
        <f t="shared" ref="F135" ca="1" si="333">K135/I135</f>
        <v>142954.6</v>
      </c>
      <c r="G135" s="61">
        <f t="shared" ref="G135" ca="1" si="334">L135/I135</f>
        <v>380000</v>
      </c>
      <c r="H135" s="254">
        <f t="shared" ref="H135" ca="1" si="335">G135-F135</f>
        <v>237045.4</v>
      </c>
      <c r="I135" s="255">
        <f ca="1">(SUMIF('SG01'!$B:$B,$B135,'SG01'!I:I)*SG01_+SUMIF('SG02'!$B:$B,$B135,'SG02'!I:I)*SG02_+SUMIF('SG03'!$B:$B,$B135,'SG03'!I:I)*SG03_+SUMIF('SG04'!$B:$B,$B135,'SG04'!I:I)*SG04_+SUMIF('SG05'!$B:$B,$B135,'SG05'!I:I)*SG05_+SUMIF('SG06'!$B:$B,$B135,'SG06'!I:I)*SG06_+SUMIF('SG07'!$B:$B,$B135,'SG07'!I:I)*SG07_+SUMIF('SG08'!$B:$B,$B135,'SG08'!I:I)*SG08_+SUMIF('SG09'!$B:$B,$B135,'SG09'!I:I)*SG09_+SUMIF('SG10'!$B:$B,$B135,'SG10'!I:I)*SG10_+SUMIF('SG11'!$B:$B,$B135,'SG11'!I:I)*SG11_+SUMIF('SG12'!$B:$B,$B135,'SG12'!I:I)*SG12_+SUMIF('SG13'!$B:$B,$B135,'SG13'!I:I)*SG13_+SUMIF('SG14'!$B:$B,$B135,'SG14'!I:I)*SG14_+SUMIF('SG15'!$B:$B,$B135,'SG15'!I:I)*SG15_)</f>
        <v>4</v>
      </c>
      <c r="J135" s="256"/>
      <c r="K135" s="61">
        <f ca="1">(SUMIF('SG01'!$B:$B,$B135,'SG01'!K:K)*SG01_+SUMIF('SG02'!$B:$B,$B135,'SG02'!K:K)*SG02_+SUMIF('SG03'!$B:$B,$B135,'SG03'!K:K)*SG03_+SUMIF('SG04'!$B:$B,$B135,'SG04'!K:K)*SG04_+SUMIF('SG05'!$B:$B,$B135,'SG05'!K:K)*SG05_+SUMIF('SG06'!$B:$B,$B135,'SG06'!K:K)*SG06_+SUMIF('SG07'!$B:$B,$B135,'SG07'!K:K)*SG07_+SUMIF('SG08'!$B:$B,$B135,'SG08'!K:K)*SG08_+SUMIF('SG09'!$B:$B,$B135,'SG09'!K:K)*SG09_+SUMIF('SG10'!$B:$B,$B135,'SG10'!K:K)*SG10_+SUMIF('SG11'!$B:$B,$B135,'SG11'!K:K)*SG11_+SUMIF('SG12'!$B:$B,$B135,'SG12'!K:K)*SG12_+SUMIF('SG13'!$B:$B,$B135,'SG13'!K:K)*SG13_+SUMIF('SG14'!$B:$B,$B135,'SG14'!K:K)*SG14_+SUMIF('SG15'!$B:$B,$B135,'SG15'!K:K)*SG15_)</f>
        <v>571818.4</v>
      </c>
      <c r="L135" s="61">
        <f ca="1">(SUMIF('SG01'!$B:$B,$B135,'SG01'!L:L)*SG01_+SUMIF('SG02'!$B:$B,$B135,'SG02'!L:L)*SG02_+SUMIF('SG03'!$B:$B,$B135,'SG03'!L:L)*SG03_+SUMIF('SG04'!$B:$B,$B135,'SG04'!L:L)*SG04_+SUMIF('SG05'!$B:$B,$B135,'SG05'!L:L)*SG05_+SUMIF('SG06'!$B:$B,$B135,'SG06'!L:L)*SG06_+SUMIF('SG07'!$B:$B,$B135,'SG07'!L:L)*SG07_+SUMIF('SG08'!$B:$B,$B135,'SG08'!L:L)*SG08_+SUMIF('SG09'!$B:$B,$B135,'SG09'!L:L)*SG09_+SUMIF('SG10'!$B:$B,$B135,'SG10'!L:L)*SG10_+SUMIF('SG11'!$B:$B,$B135,'SG11'!L:L)*SG11_+SUMIF('SG12'!$B:$B,$B135,'SG12'!L:L)*SG12_+SUMIF('SG13'!$B:$B,$B135,'SG13'!L:L)*SG13_+SUMIF('SG14'!$B:$B,$B135,'SG14'!L:L)*SG14_+SUMIF('SG15'!$B:$B,$B135,'SG15'!L:L)*SG15_)</f>
        <v>1520000</v>
      </c>
      <c r="M135" s="253">
        <f t="shared" ref="M135" ca="1" si="336">L135-K135</f>
        <v>948181.6</v>
      </c>
      <c r="N135" s="257">
        <f t="shared" ref="N135" ca="1" si="337">K135/L135</f>
        <v>0.37619631578947371</v>
      </c>
      <c r="O135" s="258">
        <f t="shared" ref="O135" ca="1" si="338">L135/L$10</f>
        <v>9.8028909499323796E-4</v>
      </c>
      <c r="P135" s="258">
        <f t="shared" ref="P135" ca="1" si="339">M135/M$10</f>
        <v>9.2159706510310804E-4</v>
      </c>
      <c r="Q135" s="258">
        <f t="shared" ref="Q135" ca="1" si="340">I135/I$10</f>
        <v>2.4919013207077E-4</v>
      </c>
      <c r="R135" s="259">
        <f t="shared" ref="R135" ca="1" si="341">I135/$K$5*100</f>
        <v>0.1083130246412131</v>
      </c>
      <c r="S135" s="545">
        <f t="shared" ref="S135" ca="1" si="342">R135*T$5</f>
        <v>0.31821797931583135</v>
      </c>
      <c r="T135" s="546">
        <f t="shared" ref="T135" ca="1" si="343">IFERROR(S135*G135,0)</f>
        <v>120922.83214001592</v>
      </c>
      <c r="U135" s="83"/>
      <c r="V135" s="327" t="str">
        <f t="shared" ref="V135" ca="1" si="344">IF(B135&lt;&gt;"",IFERROR(IF($I135&gt;=$X$10,"High","Low"),""),"")</f>
        <v>Low</v>
      </c>
      <c r="W135" s="327" t="str">
        <f t="shared" ref="W135" ca="1" si="345">IF(B135&lt;&gt;"",IFERROR(IF($L135&gt;=$X$12,"High","Low"),""),"")</f>
        <v>Low</v>
      </c>
      <c r="X135" s="328" t="str">
        <f t="shared" ref="X135" ca="1" si="346">IF(B135&lt;&gt;"",IFERROR(IF(AND(V135="high",W135="high"),"Star",IF(AND(V135="low",W135="high"),"Puzzle",(IF(AND(V135="high",W135="low"),"Horse","Dog")))),""),"")</f>
        <v>Dog</v>
      </c>
    </row>
    <row r="136" spans="1:39" ht="19.5" customHeight="1" x14ac:dyDescent="0.35">
      <c r="A136" s="366">
        <v>9</v>
      </c>
      <c r="B136" s="509" t="s">
        <v>709</v>
      </c>
      <c r="C136" s="365" t="str">
        <f>VLOOKUP(B136,'SG01'!$B:$E,2,0)</f>
        <v>Rượu Sake Chotokusen Osakaya Chobei Daiginjo 15% 500ML</v>
      </c>
      <c r="D136" s="365"/>
      <c r="E136" s="468" t="str">
        <f>VLOOKUP(B136,'SG01'!$B:$E,4,0)</f>
        <v>Chai</v>
      </c>
      <c r="F136" s="61">
        <f t="shared" ca="1" si="328"/>
        <v>306818.15384615387</v>
      </c>
      <c r="G136" s="61">
        <f t="shared" ca="1" si="329"/>
        <v>600000</v>
      </c>
      <c r="H136" s="254">
        <f t="shared" ca="1" si="322"/>
        <v>293181.84615384613</v>
      </c>
      <c r="I136" s="255">
        <f ca="1">(SUMIF('SG01'!$B:$B,$B136,'SG01'!I:I)*SG01_+SUMIF('SG02'!$B:$B,$B136,'SG02'!I:I)*SG02_+SUMIF('SG03'!$B:$B,$B136,'SG03'!I:I)*SG03_+SUMIF('SG04'!$B:$B,$B136,'SG04'!I:I)*SG04_+SUMIF('SG05'!$B:$B,$B136,'SG05'!I:I)*SG05_+SUMIF('SG06'!$B:$B,$B136,'SG06'!I:I)*SG06_+SUMIF('SG07'!$B:$B,$B136,'SG07'!I:I)*SG07_+SUMIF('SG08'!$B:$B,$B136,'SG08'!I:I)*SG08_+SUMIF('SG09'!$B:$B,$B136,'SG09'!I:I)*SG09_+SUMIF('SG10'!$B:$B,$B136,'SG10'!I:I)*SG10_+SUMIF('SG11'!$B:$B,$B136,'SG11'!I:I)*SG11_+SUMIF('SG12'!$B:$B,$B136,'SG12'!I:I)*SG12_+SUMIF('SG13'!$B:$B,$B136,'SG13'!I:I)*SG13_+SUMIF('SG14'!$B:$B,$B136,'SG14'!I:I)*SG14_+SUMIF('SG15'!$B:$B,$B136,'SG15'!I:I)*SG15_)</f>
        <v>4</v>
      </c>
      <c r="J136" s="256"/>
      <c r="K136" s="61">
        <f ca="1">(SUMIF('SG01'!$B:$B,$B136,'SG01'!K:K)*SG01_+SUMIF('SG02'!$B:$B,$B136,'SG02'!K:K)*SG02_+SUMIF('SG03'!$B:$B,$B136,'SG03'!K:K)*SG03_+SUMIF('SG04'!$B:$B,$B136,'SG04'!K:K)*SG04_+SUMIF('SG05'!$B:$B,$B136,'SG05'!K:K)*SG05_+SUMIF('SG06'!$B:$B,$B136,'SG06'!K:K)*SG06_+SUMIF('SG07'!$B:$B,$B136,'SG07'!K:K)*SG07_+SUMIF('SG08'!$B:$B,$B136,'SG08'!K:K)*SG08_+SUMIF('SG09'!$B:$B,$B136,'SG09'!K:K)*SG09_+SUMIF('SG10'!$B:$B,$B136,'SG10'!K:K)*SG10_+SUMIF('SG11'!$B:$B,$B136,'SG11'!K:K)*SG11_+SUMIF('SG12'!$B:$B,$B136,'SG12'!K:K)*SG12_+SUMIF('SG13'!$B:$B,$B136,'SG13'!K:K)*SG13_+SUMIF('SG14'!$B:$B,$B136,'SG14'!K:K)*SG14_+SUMIF('SG15'!$B:$B,$B136,'SG15'!K:K)*SG15_)</f>
        <v>1227272.6153846155</v>
      </c>
      <c r="L136" s="61">
        <f ca="1">(SUMIF('SG01'!$B:$B,$B136,'SG01'!L:L)*SG01_+SUMIF('SG02'!$B:$B,$B136,'SG02'!L:L)*SG02_+SUMIF('SG03'!$B:$B,$B136,'SG03'!L:L)*SG03_+SUMIF('SG04'!$B:$B,$B136,'SG04'!L:L)*SG04_+SUMIF('SG05'!$B:$B,$B136,'SG05'!L:L)*SG05_+SUMIF('SG06'!$B:$B,$B136,'SG06'!L:L)*SG06_+SUMIF('SG07'!$B:$B,$B136,'SG07'!L:L)*SG07_+SUMIF('SG08'!$B:$B,$B136,'SG08'!L:L)*SG08_+SUMIF('SG09'!$B:$B,$B136,'SG09'!L:L)*SG09_+SUMIF('SG10'!$B:$B,$B136,'SG10'!L:L)*SG10_+SUMIF('SG11'!$B:$B,$B136,'SG11'!L:L)*SG11_+SUMIF('SG12'!$B:$B,$B136,'SG12'!L:L)*SG12_+SUMIF('SG13'!$B:$B,$B136,'SG13'!L:L)*SG13_+SUMIF('SG14'!$B:$B,$B136,'SG14'!L:L)*SG14_+SUMIF('SG15'!$B:$B,$B136,'SG15'!L:L)*SG15_)</f>
        <v>2400000</v>
      </c>
      <c r="M136" s="253">
        <f t="shared" ca="1" si="330"/>
        <v>1172727.3846153845</v>
      </c>
      <c r="N136" s="257">
        <f t="shared" ca="1" si="323"/>
        <v>0.51136358974358975</v>
      </c>
      <c r="O136" s="258">
        <f t="shared" ca="1" si="324"/>
        <v>1.5478248868314283E-3</v>
      </c>
      <c r="P136" s="258">
        <f t="shared" ca="1" si="325"/>
        <v>1.1398471725538465E-3</v>
      </c>
      <c r="Q136" s="258">
        <f t="shared" ca="1" si="326"/>
        <v>2.4919013207077E-4</v>
      </c>
      <c r="R136" s="259">
        <f t="shared" ca="1" si="327"/>
        <v>0.1083130246412131</v>
      </c>
      <c r="S136" s="545">
        <f t="shared" ca="1" si="331"/>
        <v>0.31821797931583135</v>
      </c>
      <c r="T136" s="546">
        <f t="shared" ca="1" si="332"/>
        <v>190930.7875894988</v>
      </c>
      <c r="U136" s="83"/>
      <c r="V136" s="327" t="str">
        <f t="shared" ca="1" si="265"/>
        <v>Low</v>
      </c>
      <c r="W136" s="327" t="str">
        <f t="shared" ca="1" si="266"/>
        <v>Low</v>
      </c>
      <c r="X136" s="328" t="str">
        <f t="shared" ca="1" si="267"/>
        <v>Dog</v>
      </c>
    </row>
    <row r="137" spans="1:39" ht="19.5" customHeight="1" x14ac:dyDescent="0.35">
      <c r="A137" s="366">
        <v>10</v>
      </c>
      <c r="B137" s="509" t="s">
        <v>575</v>
      </c>
      <c r="C137" s="365" t="str">
        <f>VLOOKUP(B137,'SG01'!$B:$E,2,0)</f>
        <v>Rượu Sake Ozeki Honjozo Karatamba 300ML</v>
      </c>
      <c r="D137" s="365"/>
      <c r="E137" s="468" t="str">
        <f>VLOOKUP(B137,'SG01'!$B:$E,4,0)</f>
        <v>Chai</v>
      </c>
      <c r="F137" s="61">
        <f t="shared" ref="F137" ca="1" si="347">K137/I137</f>
        <v>176210</v>
      </c>
      <c r="G137" s="61">
        <f t="shared" ref="G137:G142" ca="1" si="348">L137/I137</f>
        <v>350000</v>
      </c>
      <c r="H137" s="254">
        <f t="shared" ref="H137:H142" ca="1" si="349">G137-F137</f>
        <v>173790</v>
      </c>
      <c r="I137" s="255">
        <f ca="1">(SUMIF('SG01'!$B:$B,$B137,'SG01'!I:I)*SG01_+SUMIF('SG02'!$B:$B,$B137,'SG02'!I:I)*SG02_+SUMIF('SG03'!$B:$B,$B137,'SG03'!I:I)*SG03_+SUMIF('SG04'!$B:$B,$B137,'SG04'!I:I)*SG04_+SUMIF('SG05'!$B:$B,$B137,'SG05'!I:I)*SG05_+SUMIF('SG06'!$B:$B,$B137,'SG06'!I:I)*SG06_+SUMIF('SG07'!$B:$B,$B137,'SG07'!I:I)*SG07_+SUMIF('SG08'!$B:$B,$B137,'SG08'!I:I)*SG08_+SUMIF('SG09'!$B:$B,$B137,'SG09'!I:I)*SG09_+SUMIF('SG10'!$B:$B,$B137,'SG10'!I:I)*SG10_+SUMIF('SG11'!$B:$B,$B137,'SG11'!I:I)*SG11_+SUMIF('SG12'!$B:$B,$B137,'SG12'!I:I)*SG12_+SUMIF('SG13'!$B:$B,$B137,'SG13'!I:I)*SG13_+SUMIF('SG14'!$B:$B,$B137,'SG14'!I:I)*SG14_+SUMIF('SG15'!$B:$B,$B137,'SG15'!I:I)*SG15_)</f>
        <v>5</v>
      </c>
      <c r="J137" s="256"/>
      <c r="K137" s="61">
        <f ca="1">(SUMIF('SG01'!$B:$B,$B137,'SG01'!K:K)*SG01_+SUMIF('SG02'!$B:$B,$B137,'SG02'!K:K)*SG02_+SUMIF('SG03'!$B:$B,$B137,'SG03'!K:K)*SG03_+SUMIF('SG04'!$B:$B,$B137,'SG04'!K:K)*SG04_+SUMIF('SG05'!$B:$B,$B137,'SG05'!K:K)*SG05_+SUMIF('SG06'!$B:$B,$B137,'SG06'!K:K)*SG06_+SUMIF('SG07'!$B:$B,$B137,'SG07'!K:K)*SG07_+SUMIF('SG08'!$B:$B,$B137,'SG08'!K:K)*SG08_+SUMIF('SG09'!$B:$B,$B137,'SG09'!K:K)*SG09_+SUMIF('SG10'!$B:$B,$B137,'SG10'!K:K)*SG10_+SUMIF('SG11'!$B:$B,$B137,'SG11'!K:K)*SG11_+SUMIF('SG12'!$B:$B,$B137,'SG12'!K:K)*SG12_+SUMIF('SG13'!$B:$B,$B137,'SG13'!K:K)*SG13_+SUMIF('SG14'!$B:$B,$B137,'SG14'!K:K)*SG14_+SUMIF('SG15'!$B:$B,$B137,'SG15'!K:K)*SG15_)</f>
        <v>881050</v>
      </c>
      <c r="L137" s="61">
        <f ca="1">(SUMIF('SG01'!$B:$B,$B137,'SG01'!L:L)*SG01_+SUMIF('SG02'!$B:$B,$B137,'SG02'!L:L)*SG02_+SUMIF('SG03'!$B:$B,$B137,'SG03'!L:L)*SG03_+SUMIF('SG04'!$B:$B,$B137,'SG04'!L:L)*SG04_+SUMIF('SG05'!$B:$B,$B137,'SG05'!L:L)*SG05_+SUMIF('SG06'!$B:$B,$B137,'SG06'!L:L)*SG06_+SUMIF('SG07'!$B:$B,$B137,'SG07'!L:L)*SG07_+SUMIF('SG08'!$B:$B,$B137,'SG08'!L:L)*SG08_+SUMIF('SG09'!$B:$B,$B137,'SG09'!L:L)*SG09_+SUMIF('SG10'!$B:$B,$B137,'SG10'!L:L)*SG10_+SUMIF('SG11'!$B:$B,$B137,'SG11'!L:L)*SG11_+SUMIF('SG12'!$B:$B,$B137,'SG12'!L:L)*SG12_+SUMIF('SG13'!$B:$B,$B137,'SG13'!L:L)*SG13_+SUMIF('SG14'!$B:$B,$B137,'SG14'!L:L)*SG14_+SUMIF('SG15'!$B:$B,$B137,'SG15'!L:L)*SG15_)</f>
        <v>1750000</v>
      </c>
      <c r="M137" s="253">
        <f t="shared" ref="M137:M142" ca="1" si="350">L137-K137</f>
        <v>868950</v>
      </c>
      <c r="N137" s="257">
        <f t="shared" ref="N137:N142" ca="1" si="351">K137/L137</f>
        <v>0.50345714285714283</v>
      </c>
      <c r="O137" s="258">
        <f t="shared" ref="O137:O142" ca="1" si="352">L137/L$10</f>
        <v>1.1286223133145832E-3</v>
      </c>
      <c r="P137" s="258">
        <f t="shared" ref="P137:P142" ca="1" si="353">M137/M$10</f>
        <v>8.4458691217098689E-4</v>
      </c>
      <c r="Q137" s="258">
        <f t="shared" ref="Q137:Q142" ca="1" si="354">I137/I$10</f>
        <v>3.1148766508846249E-4</v>
      </c>
      <c r="R137" s="259">
        <f t="shared" ref="R137:R142" ca="1" si="355">I137/$K$5*100</f>
        <v>0.13539128080151638</v>
      </c>
      <c r="S137" s="545">
        <f t="shared" ref="S137:S142" ca="1" si="356">R137*T$5</f>
        <v>0.39777247414478917</v>
      </c>
      <c r="T137" s="546">
        <f t="shared" ref="T137:T142" ca="1" si="357">IFERROR(S137*G137,0)</f>
        <v>139220.36595067621</v>
      </c>
      <c r="U137" s="83"/>
      <c r="V137" s="327" t="str">
        <f t="shared" ref="V137:V142" ca="1" si="358">IF(B137&lt;&gt;"",IFERROR(IF($I137&gt;=$X$10,"High","Low"),""),"")</f>
        <v>Low</v>
      </c>
      <c r="W137" s="327" t="str">
        <f t="shared" ref="W137:W142" ca="1" si="359">IF(B137&lt;&gt;"",IFERROR(IF($L137&gt;=$X$12,"High","Low"),""),"")</f>
        <v>Low</v>
      </c>
      <c r="X137" s="328" t="str">
        <f t="shared" ref="X137:X142" ca="1" si="360">IF(B137&lt;&gt;"",IFERROR(IF(AND(V137="high",W137="high"),"Star",IF(AND(V137="low",W137="high"),"Puzzle",(IF(AND(V137="high",W137="low"),"Horse","Dog")))),""),"")</f>
        <v>Dog</v>
      </c>
    </row>
    <row r="138" spans="1:39" ht="19.5" customHeight="1" x14ac:dyDescent="0.35">
      <c r="A138" s="366">
        <v>11</v>
      </c>
      <c r="B138" s="509" t="s">
        <v>576</v>
      </c>
      <c r="C138" s="365" t="str">
        <f>VLOOKUP(B138,'SG01'!$B:$E,2,0)</f>
        <v>Rượu Sake Ozeki Namachozo 300ML</v>
      </c>
      <c r="D138" s="365"/>
      <c r="E138" s="468" t="str">
        <f>VLOOKUP(B138,'SG01'!$B:$E,4,0)</f>
        <v>Chai</v>
      </c>
      <c r="F138" s="61">
        <f t="shared" ref="F138:F142" ca="1" si="361">K138/I138</f>
        <v>162727.5</v>
      </c>
      <c r="G138" s="61">
        <f t="shared" ref="G138:G141" ca="1" si="362">L138/I138</f>
        <v>350000</v>
      </c>
      <c r="H138" s="254">
        <f t="shared" ref="H138:H141" ca="1" si="363">G138-F138</f>
        <v>187272.5</v>
      </c>
      <c r="I138" s="255">
        <f ca="1">(SUMIF('SG01'!$B:$B,$B138,'SG01'!I:I)*SG01_+SUMIF('SG02'!$B:$B,$B138,'SG02'!I:I)*SG02_+SUMIF('SG03'!$B:$B,$B138,'SG03'!I:I)*SG03_+SUMIF('SG04'!$B:$B,$B138,'SG04'!I:I)*SG04_+SUMIF('SG05'!$B:$B,$B138,'SG05'!I:I)*SG05_+SUMIF('SG06'!$B:$B,$B138,'SG06'!I:I)*SG06_+SUMIF('SG07'!$B:$B,$B138,'SG07'!I:I)*SG07_+SUMIF('SG08'!$B:$B,$B138,'SG08'!I:I)*SG08_+SUMIF('SG09'!$B:$B,$B138,'SG09'!I:I)*SG09_+SUMIF('SG10'!$B:$B,$B138,'SG10'!I:I)*SG10_+SUMIF('SG11'!$B:$B,$B138,'SG11'!I:I)*SG11_+SUMIF('SG12'!$B:$B,$B138,'SG12'!I:I)*SG12_+SUMIF('SG13'!$B:$B,$B138,'SG13'!I:I)*SG13_+SUMIF('SG14'!$B:$B,$B138,'SG14'!I:I)*SG14_+SUMIF('SG15'!$B:$B,$B138,'SG15'!I:I)*SG15_)</f>
        <v>9</v>
      </c>
      <c r="J138" s="256"/>
      <c r="K138" s="61">
        <f ca="1">(SUMIF('SG01'!$B:$B,$B138,'SG01'!K:K)*SG01_+SUMIF('SG02'!$B:$B,$B138,'SG02'!K:K)*SG02_+SUMIF('SG03'!$B:$B,$B138,'SG03'!K:K)*SG03_+SUMIF('SG04'!$B:$B,$B138,'SG04'!K:K)*SG04_+SUMIF('SG05'!$B:$B,$B138,'SG05'!K:K)*SG05_+SUMIF('SG06'!$B:$B,$B138,'SG06'!K:K)*SG06_+SUMIF('SG07'!$B:$B,$B138,'SG07'!K:K)*SG07_+SUMIF('SG08'!$B:$B,$B138,'SG08'!K:K)*SG08_+SUMIF('SG09'!$B:$B,$B138,'SG09'!K:K)*SG09_+SUMIF('SG10'!$B:$B,$B138,'SG10'!K:K)*SG10_+SUMIF('SG11'!$B:$B,$B138,'SG11'!K:K)*SG11_+SUMIF('SG12'!$B:$B,$B138,'SG12'!K:K)*SG12_+SUMIF('SG13'!$B:$B,$B138,'SG13'!K:K)*SG13_+SUMIF('SG14'!$B:$B,$B138,'SG14'!K:K)*SG14_+SUMIF('SG15'!$B:$B,$B138,'SG15'!K:K)*SG15_)</f>
        <v>1464547.5</v>
      </c>
      <c r="L138" s="61">
        <f ca="1">(SUMIF('SG01'!$B:$B,$B138,'SG01'!L:L)*SG01_+SUMIF('SG02'!$B:$B,$B138,'SG02'!L:L)*SG02_+SUMIF('SG03'!$B:$B,$B138,'SG03'!L:L)*SG03_+SUMIF('SG04'!$B:$B,$B138,'SG04'!L:L)*SG04_+SUMIF('SG05'!$B:$B,$B138,'SG05'!L:L)*SG05_+SUMIF('SG06'!$B:$B,$B138,'SG06'!L:L)*SG06_+SUMIF('SG07'!$B:$B,$B138,'SG07'!L:L)*SG07_+SUMIF('SG08'!$B:$B,$B138,'SG08'!L:L)*SG08_+SUMIF('SG09'!$B:$B,$B138,'SG09'!L:L)*SG09_+SUMIF('SG10'!$B:$B,$B138,'SG10'!L:L)*SG10_+SUMIF('SG11'!$B:$B,$B138,'SG11'!L:L)*SG11_+SUMIF('SG12'!$B:$B,$B138,'SG12'!L:L)*SG12_+SUMIF('SG13'!$B:$B,$B138,'SG13'!L:L)*SG13_+SUMIF('SG14'!$B:$B,$B138,'SG14'!L:L)*SG14_+SUMIF('SG15'!$B:$B,$B138,'SG15'!L:L)*SG15_)</f>
        <v>3150000</v>
      </c>
      <c r="M138" s="253">
        <f t="shared" ref="M138:M141" ca="1" si="364">L138-K138</f>
        <v>1685452.5</v>
      </c>
      <c r="N138" s="257">
        <f t="shared" ref="N138:N141" ca="1" si="365">K138/L138</f>
        <v>0.46493571428571429</v>
      </c>
      <c r="O138" s="258">
        <f t="shared" ref="O138:O141" ca="1" si="366">L138/L$10</f>
        <v>2.0315201639662496E-3</v>
      </c>
      <c r="P138" s="258">
        <f t="shared" ref="P138:P141" ca="1" si="367">M138/M$10</f>
        <v>1.6381968152205193E-3</v>
      </c>
      <c r="Q138" s="258">
        <f t="shared" ref="Q138:Q141" ca="1" si="368">I138/I$10</f>
        <v>5.6067779715923249E-4</v>
      </c>
      <c r="R138" s="259">
        <f t="shared" ref="R138:R141" ca="1" si="369">I138/$K$5*100</f>
        <v>0.2437043054427295</v>
      </c>
      <c r="S138" s="545">
        <f t="shared" ref="S138:S141" ca="1" si="370">R138*T$5</f>
        <v>0.71599045346062051</v>
      </c>
      <c r="T138" s="546">
        <f t="shared" ref="T138:T141" ca="1" si="371">IFERROR(S138*G138,0)</f>
        <v>250596.65871121717</v>
      </c>
      <c r="U138" s="83"/>
      <c r="V138" s="327" t="str">
        <f t="shared" ref="V138:V141" ca="1" si="372">IF(B138&lt;&gt;"",IFERROR(IF($I138&gt;=$X$10,"High","Low"),""),"")</f>
        <v>Low</v>
      </c>
      <c r="W138" s="327" t="str">
        <f t="shared" ref="W138:W141" ca="1" si="373">IF(B138&lt;&gt;"",IFERROR(IF($L138&gt;=$X$12,"High","Low"),""),"")</f>
        <v>High</v>
      </c>
      <c r="X138" s="328" t="str">
        <f t="shared" ref="X138:X141" ca="1" si="374">IF(B138&lt;&gt;"",IFERROR(IF(AND(V138="high",W138="high"),"Star",IF(AND(V138="low",W138="high"),"Puzzle",(IF(AND(V138="high",W138="low"),"Horse","Dog")))),""),"")</f>
        <v>Puzzle</v>
      </c>
    </row>
    <row r="139" spans="1:39" ht="19.5" customHeight="1" x14ac:dyDescent="0.35">
      <c r="A139" s="366">
        <v>12</v>
      </c>
      <c r="B139" s="509" t="s">
        <v>698</v>
      </c>
      <c r="C139" s="365" t="str">
        <f>VLOOKUP(B139,'SG01'!$B:$E,2,0)</f>
        <v>Rượu Sake Ozeki One Cup 14% 180ML</v>
      </c>
      <c r="D139" s="365"/>
      <c r="E139" s="468" t="str">
        <f>VLOOKUP(B139,'SG01'!$B:$E,4,0)</f>
        <v>Chai</v>
      </c>
      <c r="F139" s="61">
        <f t="shared" ca="1" si="361"/>
        <v>67909.368421052626</v>
      </c>
      <c r="G139" s="61">
        <f t="shared" ca="1" si="362"/>
        <v>190000</v>
      </c>
      <c r="H139" s="254">
        <f t="shared" ca="1" si="363"/>
        <v>122090.63157894737</v>
      </c>
      <c r="I139" s="255">
        <f ca="1">(SUMIF('SG01'!$B:$B,$B139,'SG01'!I:I)*SG01_+SUMIF('SG02'!$B:$B,$B139,'SG02'!I:I)*SG02_+SUMIF('SG03'!$B:$B,$B139,'SG03'!I:I)*SG03_+SUMIF('SG04'!$B:$B,$B139,'SG04'!I:I)*SG04_+SUMIF('SG05'!$B:$B,$B139,'SG05'!I:I)*SG05_+SUMIF('SG06'!$B:$B,$B139,'SG06'!I:I)*SG06_+SUMIF('SG07'!$B:$B,$B139,'SG07'!I:I)*SG07_+SUMIF('SG08'!$B:$B,$B139,'SG08'!I:I)*SG08_+SUMIF('SG09'!$B:$B,$B139,'SG09'!I:I)*SG09_+SUMIF('SG10'!$B:$B,$B139,'SG10'!I:I)*SG10_+SUMIF('SG11'!$B:$B,$B139,'SG11'!I:I)*SG11_+SUMIF('SG12'!$B:$B,$B139,'SG12'!I:I)*SG12_+SUMIF('SG13'!$B:$B,$B139,'SG13'!I:I)*SG13_+SUMIF('SG14'!$B:$B,$B139,'SG14'!I:I)*SG14_+SUMIF('SG15'!$B:$B,$B139,'SG15'!I:I)*SG15_)</f>
        <v>3</v>
      </c>
      <c r="J139" s="256"/>
      <c r="K139" s="61">
        <f ca="1">(SUMIF('SG01'!$B:$B,$B139,'SG01'!K:K)*SG01_+SUMIF('SG02'!$B:$B,$B139,'SG02'!K:K)*SG02_+SUMIF('SG03'!$B:$B,$B139,'SG03'!K:K)*SG03_+SUMIF('SG04'!$B:$B,$B139,'SG04'!K:K)*SG04_+SUMIF('SG05'!$B:$B,$B139,'SG05'!K:K)*SG05_+SUMIF('SG06'!$B:$B,$B139,'SG06'!K:K)*SG06_+SUMIF('SG07'!$B:$B,$B139,'SG07'!K:K)*SG07_+SUMIF('SG08'!$B:$B,$B139,'SG08'!K:K)*SG08_+SUMIF('SG09'!$B:$B,$B139,'SG09'!K:K)*SG09_+SUMIF('SG10'!$B:$B,$B139,'SG10'!K:K)*SG10_+SUMIF('SG11'!$B:$B,$B139,'SG11'!K:K)*SG11_+SUMIF('SG12'!$B:$B,$B139,'SG12'!K:K)*SG12_+SUMIF('SG13'!$B:$B,$B139,'SG13'!K:K)*SG13_+SUMIF('SG14'!$B:$B,$B139,'SG14'!K:K)*SG14_+SUMIF('SG15'!$B:$B,$B139,'SG15'!K:K)*SG15_)</f>
        <v>203728.10526315786</v>
      </c>
      <c r="L139" s="61">
        <f ca="1">(SUMIF('SG01'!$B:$B,$B139,'SG01'!L:L)*SG01_+SUMIF('SG02'!$B:$B,$B139,'SG02'!L:L)*SG02_+SUMIF('SG03'!$B:$B,$B139,'SG03'!L:L)*SG03_+SUMIF('SG04'!$B:$B,$B139,'SG04'!L:L)*SG04_+SUMIF('SG05'!$B:$B,$B139,'SG05'!L:L)*SG05_+SUMIF('SG06'!$B:$B,$B139,'SG06'!L:L)*SG06_+SUMIF('SG07'!$B:$B,$B139,'SG07'!L:L)*SG07_+SUMIF('SG08'!$B:$B,$B139,'SG08'!L:L)*SG08_+SUMIF('SG09'!$B:$B,$B139,'SG09'!L:L)*SG09_+SUMIF('SG10'!$B:$B,$B139,'SG10'!L:L)*SG10_+SUMIF('SG11'!$B:$B,$B139,'SG11'!L:L)*SG11_+SUMIF('SG12'!$B:$B,$B139,'SG12'!L:L)*SG12_+SUMIF('SG13'!$B:$B,$B139,'SG13'!L:L)*SG13_+SUMIF('SG14'!$B:$B,$B139,'SG14'!L:L)*SG14_+SUMIF('SG15'!$B:$B,$B139,'SG15'!L:L)*SG15_)</f>
        <v>570000</v>
      </c>
      <c r="M139" s="253">
        <f t="shared" ca="1" si="364"/>
        <v>366271.89473684214</v>
      </c>
      <c r="N139" s="257">
        <f t="shared" ca="1" si="365"/>
        <v>0.35741772853185588</v>
      </c>
      <c r="O139" s="258">
        <f t="shared" ca="1" si="366"/>
        <v>3.6760841062246421E-4</v>
      </c>
      <c r="P139" s="258">
        <f t="shared" ca="1" si="367"/>
        <v>3.5600258771023216E-4</v>
      </c>
      <c r="Q139" s="258">
        <f t="shared" ca="1" si="368"/>
        <v>1.8689259905307749E-4</v>
      </c>
      <c r="R139" s="259">
        <f t="shared" ca="1" si="369"/>
        <v>8.1234768480909825E-2</v>
      </c>
      <c r="S139" s="545">
        <f t="shared" ca="1" si="370"/>
        <v>0.23866348448687347</v>
      </c>
      <c r="T139" s="546">
        <f t="shared" ca="1" si="371"/>
        <v>45346.062052505957</v>
      </c>
      <c r="U139" s="83"/>
      <c r="V139" s="327" t="str">
        <f t="shared" ca="1" si="372"/>
        <v>Low</v>
      </c>
      <c r="W139" s="327" t="str">
        <f t="shared" ca="1" si="373"/>
        <v>Low</v>
      </c>
      <c r="X139" s="328" t="str">
        <f t="shared" ca="1" si="374"/>
        <v>Dog</v>
      </c>
    </row>
    <row r="140" spans="1:39" ht="19.5" customHeight="1" x14ac:dyDescent="0.35">
      <c r="A140" s="366">
        <v>13</v>
      </c>
      <c r="B140" s="509" t="s">
        <v>733</v>
      </c>
      <c r="C140" s="365" t="str">
        <f>VLOOKUP(B140,'SG01'!$B:$E,2,0)</f>
        <v>Rượu Sake Ozeki One Cup 14% 180ML (Size S)</v>
      </c>
      <c r="D140" s="365"/>
      <c r="E140" s="468" t="str">
        <f>VLOOKUP(B140,'SG01'!$B:$E,4,0)</f>
        <v>Bình</v>
      </c>
      <c r="F140" s="61">
        <f t="shared" ca="1" si="361"/>
        <v>67909.333333333328</v>
      </c>
      <c r="G140" s="61">
        <f t="shared" ca="1" si="362"/>
        <v>190000</v>
      </c>
      <c r="H140" s="254">
        <f t="shared" ca="1" si="363"/>
        <v>122090.66666666667</v>
      </c>
      <c r="I140" s="255">
        <f ca="1">(SUMIF('SG01'!$B:$B,$B140,'SG01'!I:I)*SG01_+SUMIF('SG02'!$B:$B,$B140,'SG02'!I:I)*SG02_+SUMIF('SG03'!$B:$B,$B140,'SG03'!I:I)*SG03_+SUMIF('SG04'!$B:$B,$B140,'SG04'!I:I)*SG04_+SUMIF('SG05'!$B:$B,$B140,'SG05'!I:I)*SG05_+SUMIF('SG06'!$B:$B,$B140,'SG06'!I:I)*SG06_+SUMIF('SG07'!$B:$B,$B140,'SG07'!I:I)*SG07_+SUMIF('SG08'!$B:$B,$B140,'SG08'!I:I)*SG08_+SUMIF('SG09'!$B:$B,$B140,'SG09'!I:I)*SG09_+SUMIF('SG10'!$B:$B,$B140,'SG10'!I:I)*SG10_+SUMIF('SG11'!$B:$B,$B140,'SG11'!I:I)*SG11_+SUMIF('SG12'!$B:$B,$B140,'SG12'!I:I)*SG12_+SUMIF('SG13'!$B:$B,$B140,'SG13'!I:I)*SG13_+SUMIF('SG14'!$B:$B,$B140,'SG14'!I:I)*SG14_+SUMIF('SG15'!$B:$B,$B140,'SG15'!I:I)*SG15_)</f>
        <v>2</v>
      </c>
      <c r="J140" s="256"/>
      <c r="K140" s="61">
        <f ca="1">(SUMIF('SG01'!$B:$B,$B140,'SG01'!K:K)*SG01_+SUMIF('SG02'!$B:$B,$B140,'SG02'!K:K)*SG02_+SUMIF('SG03'!$B:$B,$B140,'SG03'!K:K)*SG03_+SUMIF('SG04'!$B:$B,$B140,'SG04'!K:K)*SG04_+SUMIF('SG05'!$B:$B,$B140,'SG05'!K:K)*SG05_+SUMIF('SG06'!$B:$B,$B140,'SG06'!K:K)*SG06_+SUMIF('SG07'!$B:$B,$B140,'SG07'!K:K)*SG07_+SUMIF('SG08'!$B:$B,$B140,'SG08'!K:K)*SG08_+SUMIF('SG09'!$B:$B,$B140,'SG09'!K:K)*SG09_+SUMIF('SG10'!$B:$B,$B140,'SG10'!K:K)*SG10_+SUMIF('SG11'!$B:$B,$B140,'SG11'!K:K)*SG11_+SUMIF('SG12'!$B:$B,$B140,'SG12'!K:K)*SG12_+SUMIF('SG13'!$B:$B,$B140,'SG13'!K:K)*SG13_+SUMIF('SG14'!$B:$B,$B140,'SG14'!K:K)*SG14_+SUMIF('SG15'!$B:$B,$B140,'SG15'!K:K)*SG15_)</f>
        <v>135818.66666666666</v>
      </c>
      <c r="L140" s="61">
        <f ca="1">(SUMIF('SG01'!$B:$B,$B140,'SG01'!L:L)*SG01_+SUMIF('SG02'!$B:$B,$B140,'SG02'!L:L)*SG02_+SUMIF('SG03'!$B:$B,$B140,'SG03'!L:L)*SG03_+SUMIF('SG04'!$B:$B,$B140,'SG04'!L:L)*SG04_+SUMIF('SG05'!$B:$B,$B140,'SG05'!L:L)*SG05_+SUMIF('SG06'!$B:$B,$B140,'SG06'!L:L)*SG06_+SUMIF('SG07'!$B:$B,$B140,'SG07'!L:L)*SG07_+SUMIF('SG08'!$B:$B,$B140,'SG08'!L:L)*SG08_+SUMIF('SG09'!$B:$B,$B140,'SG09'!L:L)*SG09_+SUMIF('SG10'!$B:$B,$B140,'SG10'!L:L)*SG10_+SUMIF('SG11'!$B:$B,$B140,'SG11'!L:L)*SG11_+SUMIF('SG12'!$B:$B,$B140,'SG12'!L:L)*SG12_+SUMIF('SG13'!$B:$B,$B140,'SG13'!L:L)*SG13_+SUMIF('SG14'!$B:$B,$B140,'SG14'!L:L)*SG14_+SUMIF('SG15'!$B:$B,$B140,'SG15'!L:L)*SG15_)</f>
        <v>380000</v>
      </c>
      <c r="M140" s="253">
        <f t="shared" ca="1" si="364"/>
        <v>244181.33333333334</v>
      </c>
      <c r="N140" s="257">
        <f t="shared" ca="1" si="365"/>
        <v>0.35741754385964908</v>
      </c>
      <c r="O140" s="258">
        <f t="shared" ca="1" si="366"/>
        <v>2.4507227374830949E-4</v>
      </c>
      <c r="P140" s="258">
        <f t="shared" ca="1" si="367"/>
        <v>2.3733512668139072E-4</v>
      </c>
      <c r="Q140" s="258">
        <f t="shared" ca="1" si="368"/>
        <v>1.24595066035385E-4</v>
      </c>
      <c r="R140" s="259">
        <f t="shared" ca="1" si="369"/>
        <v>5.4156512320606552E-2</v>
      </c>
      <c r="S140" s="545">
        <f t="shared" ca="1" si="370"/>
        <v>0.15910898965791567</v>
      </c>
      <c r="T140" s="546">
        <f t="shared" ca="1" si="371"/>
        <v>30230.70803500398</v>
      </c>
      <c r="U140" s="83"/>
      <c r="V140" s="327" t="str">
        <f t="shared" ca="1" si="372"/>
        <v>Low</v>
      </c>
      <c r="W140" s="327" t="str">
        <f t="shared" ca="1" si="373"/>
        <v>Low</v>
      </c>
      <c r="X140" s="328" t="str">
        <f t="shared" ca="1" si="374"/>
        <v>Dog</v>
      </c>
    </row>
    <row r="141" spans="1:39" ht="19.5" customHeight="1" x14ac:dyDescent="0.35">
      <c r="A141" s="366">
        <v>14</v>
      </c>
      <c r="B141" s="509" t="s">
        <v>730</v>
      </c>
      <c r="C141" s="365" t="str">
        <f>VLOOKUP(B141,'SG01'!$B:$E,2,0)</f>
        <v>Rượu Sake Ozeki Traditional (Size S)</v>
      </c>
      <c r="D141" s="365"/>
      <c r="E141" s="468" t="str">
        <f>VLOOKUP(B141,'SG01'!$B:$E,4,0)</f>
        <v>Bình</v>
      </c>
      <c r="F141" s="61">
        <f t="shared" ca="1" si="361"/>
        <v>51954.833333333336</v>
      </c>
      <c r="G141" s="61">
        <f t="shared" ca="1" si="362"/>
        <v>150000</v>
      </c>
      <c r="H141" s="254">
        <f t="shared" ca="1" si="363"/>
        <v>98045.166666666657</v>
      </c>
      <c r="I141" s="255">
        <f ca="1">(SUMIF('SG01'!$B:$B,$B141,'SG01'!I:I)*SG01_+SUMIF('SG02'!$B:$B,$B141,'SG02'!I:I)*SG02_+SUMIF('SG03'!$B:$B,$B141,'SG03'!I:I)*SG03_+SUMIF('SG04'!$B:$B,$B141,'SG04'!I:I)*SG04_+SUMIF('SG05'!$B:$B,$B141,'SG05'!I:I)*SG05_+SUMIF('SG06'!$B:$B,$B141,'SG06'!I:I)*SG06_+SUMIF('SG07'!$B:$B,$B141,'SG07'!I:I)*SG07_+SUMIF('SG08'!$B:$B,$B141,'SG08'!I:I)*SG08_+SUMIF('SG09'!$B:$B,$B141,'SG09'!I:I)*SG09_+SUMIF('SG10'!$B:$B,$B141,'SG10'!I:I)*SG10_+SUMIF('SG11'!$B:$B,$B141,'SG11'!I:I)*SG11_+SUMIF('SG12'!$B:$B,$B141,'SG12'!I:I)*SG12_+SUMIF('SG13'!$B:$B,$B141,'SG13'!I:I)*SG13_+SUMIF('SG14'!$B:$B,$B141,'SG14'!I:I)*SG14_+SUMIF('SG15'!$B:$B,$B141,'SG15'!I:I)*SG15_)</f>
        <v>17</v>
      </c>
      <c r="J141" s="256"/>
      <c r="K141" s="61">
        <f ca="1">(SUMIF('SG01'!$B:$B,$B141,'SG01'!K:K)*SG01_+SUMIF('SG02'!$B:$B,$B141,'SG02'!K:K)*SG02_+SUMIF('SG03'!$B:$B,$B141,'SG03'!K:K)*SG03_+SUMIF('SG04'!$B:$B,$B141,'SG04'!K:K)*SG04_+SUMIF('SG05'!$B:$B,$B141,'SG05'!K:K)*SG05_+SUMIF('SG06'!$B:$B,$B141,'SG06'!K:K)*SG06_+SUMIF('SG07'!$B:$B,$B141,'SG07'!K:K)*SG07_+SUMIF('SG08'!$B:$B,$B141,'SG08'!K:K)*SG08_+SUMIF('SG09'!$B:$B,$B141,'SG09'!K:K)*SG09_+SUMIF('SG10'!$B:$B,$B141,'SG10'!K:K)*SG10_+SUMIF('SG11'!$B:$B,$B141,'SG11'!K:K)*SG11_+SUMIF('SG12'!$B:$B,$B141,'SG12'!K:K)*SG12_+SUMIF('SG13'!$B:$B,$B141,'SG13'!K:K)*SG13_+SUMIF('SG14'!$B:$B,$B141,'SG14'!K:K)*SG14_+SUMIF('SG15'!$B:$B,$B141,'SG15'!K:K)*SG15_)</f>
        <v>883232.16666666674</v>
      </c>
      <c r="L141" s="61">
        <f ca="1">(SUMIF('SG01'!$B:$B,$B141,'SG01'!L:L)*SG01_+SUMIF('SG02'!$B:$B,$B141,'SG02'!L:L)*SG02_+SUMIF('SG03'!$B:$B,$B141,'SG03'!L:L)*SG03_+SUMIF('SG04'!$B:$B,$B141,'SG04'!L:L)*SG04_+SUMIF('SG05'!$B:$B,$B141,'SG05'!L:L)*SG05_+SUMIF('SG06'!$B:$B,$B141,'SG06'!L:L)*SG06_+SUMIF('SG07'!$B:$B,$B141,'SG07'!L:L)*SG07_+SUMIF('SG08'!$B:$B,$B141,'SG08'!L:L)*SG08_+SUMIF('SG09'!$B:$B,$B141,'SG09'!L:L)*SG09_+SUMIF('SG10'!$B:$B,$B141,'SG10'!L:L)*SG10_+SUMIF('SG11'!$B:$B,$B141,'SG11'!L:L)*SG11_+SUMIF('SG12'!$B:$B,$B141,'SG12'!L:L)*SG12_+SUMIF('SG13'!$B:$B,$B141,'SG13'!L:L)*SG13_+SUMIF('SG14'!$B:$B,$B141,'SG14'!L:L)*SG14_+SUMIF('SG15'!$B:$B,$B141,'SG15'!L:L)*SG15_)</f>
        <v>2550000</v>
      </c>
      <c r="M141" s="253">
        <f t="shared" ca="1" si="364"/>
        <v>1666767.8333333333</v>
      </c>
      <c r="N141" s="257">
        <f t="shared" ca="1" si="365"/>
        <v>0.34636555555555559</v>
      </c>
      <c r="O141" s="258">
        <f t="shared" ca="1" si="366"/>
        <v>1.6445639422583925E-3</v>
      </c>
      <c r="P141" s="258">
        <f t="shared" ca="1" si="367"/>
        <v>1.6200360177926532E-3</v>
      </c>
      <c r="Q141" s="258">
        <f t="shared" ca="1" si="368"/>
        <v>1.0590580613007725E-3</v>
      </c>
      <c r="R141" s="259">
        <f t="shared" ca="1" si="369"/>
        <v>0.46033035472515571</v>
      </c>
      <c r="S141" s="545">
        <f t="shared" ca="1" si="370"/>
        <v>1.3524264120922831</v>
      </c>
      <c r="T141" s="546">
        <f t="shared" ca="1" si="371"/>
        <v>202863.96181384247</v>
      </c>
      <c r="U141" s="83"/>
      <c r="V141" s="327" t="str">
        <f t="shared" ca="1" si="372"/>
        <v>Low</v>
      </c>
      <c r="W141" s="327" t="str">
        <f t="shared" ca="1" si="373"/>
        <v>Low</v>
      </c>
      <c r="X141" s="328" t="str">
        <f t="shared" ca="1" si="374"/>
        <v>Dog</v>
      </c>
    </row>
    <row r="142" spans="1:39" ht="19.5" customHeight="1" x14ac:dyDescent="0.35">
      <c r="A142" s="366">
        <v>15</v>
      </c>
      <c r="B142" s="509" t="s">
        <v>711</v>
      </c>
      <c r="C142" s="365" t="str">
        <f>VLOOKUP(B142,'SG01'!$B:$E,2,0)</f>
        <v>Rượu Umeshu Yuzu 500ML</v>
      </c>
      <c r="D142" s="365"/>
      <c r="E142" s="468" t="str">
        <f>VLOOKUP(B142,'SG01'!$B:$E,4,0)</f>
        <v>Chai</v>
      </c>
      <c r="F142" s="61">
        <f t="shared" ca="1" si="361"/>
        <v>450000</v>
      </c>
      <c r="G142" s="61">
        <f t="shared" ca="1" si="348"/>
        <v>850000</v>
      </c>
      <c r="H142" s="254">
        <f t="shared" ca="1" si="349"/>
        <v>400000</v>
      </c>
      <c r="I142" s="255">
        <f ca="1">(SUMIF('SG01'!$B:$B,$B142,'SG01'!I:I)*SG01_+SUMIF('SG02'!$B:$B,$B142,'SG02'!I:I)*SG02_+SUMIF('SG03'!$B:$B,$B142,'SG03'!I:I)*SG03_+SUMIF('SG04'!$B:$B,$B142,'SG04'!I:I)*SG04_+SUMIF('SG05'!$B:$B,$B142,'SG05'!I:I)*SG05_+SUMIF('SG06'!$B:$B,$B142,'SG06'!I:I)*SG06_+SUMIF('SG07'!$B:$B,$B142,'SG07'!I:I)*SG07_+SUMIF('SG08'!$B:$B,$B142,'SG08'!I:I)*SG08_+SUMIF('SG09'!$B:$B,$B142,'SG09'!I:I)*SG09_+SUMIF('SG10'!$B:$B,$B142,'SG10'!I:I)*SG10_+SUMIF('SG11'!$B:$B,$B142,'SG11'!I:I)*SG11_+SUMIF('SG12'!$B:$B,$B142,'SG12'!I:I)*SG12_+SUMIF('SG13'!$B:$B,$B142,'SG13'!I:I)*SG13_+SUMIF('SG14'!$B:$B,$B142,'SG14'!I:I)*SG14_+SUMIF('SG15'!$B:$B,$B142,'SG15'!I:I)*SG15_)</f>
        <v>3</v>
      </c>
      <c r="J142" s="256"/>
      <c r="K142" s="61">
        <f ca="1">(SUMIF('SG01'!$B:$B,$B142,'SG01'!K:K)*SG01_+SUMIF('SG02'!$B:$B,$B142,'SG02'!K:K)*SG02_+SUMIF('SG03'!$B:$B,$B142,'SG03'!K:K)*SG03_+SUMIF('SG04'!$B:$B,$B142,'SG04'!K:K)*SG04_+SUMIF('SG05'!$B:$B,$B142,'SG05'!K:K)*SG05_+SUMIF('SG06'!$B:$B,$B142,'SG06'!K:K)*SG06_+SUMIF('SG07'!$B:$B,$B142,'SG07'!K:K)*SG07_+SUMIF('SG08'!$B:$B,$B142,'SG08'!K:K)*SG08_+SUMIF('SG09'!$B:$B,$B142,'SG09'!K:K)*SG09_+SUMIF('SG10'!$B:$B,$B142,'SG10'!K:K)*SG10_+SUMIF('SG11'!$B:$B,$B142,'SG11'!K:K)*SG11_+SUMIF('SG12'!$B:$B,$B142,'SG12'!K:K)*SG12_+SUMIF('SG13'!$B:$B,$B142,'SG13'!K:K)*SG13_+SUMIF('SG14'!$B:$B,$B142,'SG14'!K:K)*SG14_+SUMIF('SG15'!$B:$B,$B142,'SG15'!K:K)*SG15_)</f>
        <v>1350000</v>
      </c>
      <c r="L142" s="61">
        <f ca="1">(SUMIF('SG01'!$B:$B,$B142,'SG01'!L:L)*SG01_+SUMIF('SG02'!$B:$B,$B142,'SG02'!L:L)*SG02_+SUMIF('SG03'!$B:$B,$B142,'SG03'!L:L)*SG03_+SUMIF('SG04'!$B:$B,$B142,'SG04'!L:L)*SG04_+SUMIF('SG05'!$B:$B,$B142,'SG05'!L:L)*SG05_+SUMIF('SG06'!$B:$B,$B142,'SG06'!L:L)*SG06_+SUMIF('SG07'!$B:$B,$B142,'SG07'!L:L)*SG07_+SUMIF('SG08'!$B:$B,$B142,'SG08'!L:L)*SG08_+SUMIF('SG09'!$B:$B,$B142,'SG09'!L:L)*SG09_+SUMIF('SG10'!$B:$B,$B142,'SG10'!L:L)*SG10_+SUMIF('SG11'!$B:$B,$B142,'SG11'!L:L)*SG11_+SUMIF('SG12'!$B:$B,$B142,'SG12'!L:L)*SG12_+SUMIF('SG13'!$B:$B,$B142,'SG13'!L:L)*SG13_+SUMIF('SG14'!$B:$B,$B142,'SG14'!L:L)*SG14_+SUMIF('SG15'!$B:$B,$B142,'SG15'!L:L)*SG15_)</f>
        <v>2550000</v>
      </c>
      <c r="M142" s="253">
        <f t="shared" ca="1" si="350"/>
        <v>1200000</v>
      </c>
      <c r="N142" s="257">
        <f t="shared" ca="1" si="351"/>
        <v>0.52941176470588236</v>
      </c>
      <c r="O142" s="258">
        <f t="shared" ca="1" si="352"/>
        <v>1.6445639422583925E-3</v>
      </c>
      <c r="P142" s="258">
        <f t="shared" ca="1" si="353"/>
        <v>1.1663551350540127E-3</v>
      </c>
      <c r="Q142" s="258">
        <f t="shared" ca="1" si="354"/>
        <v>1.8689259905307749E-4</v>
      </c>
      <c r="R142" s="259">
        <f t="shared" ca="1" si="355"/>
        <v>8.1234768480909825E-2</v>
      </c>
      <c r="S142" s="545">
        <f t="shared" ca="1" si="356"/>
        <v>0.23866348448687347</v>
      </c>
      <c r="T142" s="546">
        <f t="shared" ca="1" si="357"/>
        <v>202863.96181384244</v>
      </c>
      <c r="U142" s="83"/>
      <c r="V142" s="327" t="str">
        <f t="shared" ca="1" si="358"/>
        <v>Low</v>
      </c>
      <c r="W142" s="327" t="str">
        <f t="shared" ca="1" si="359"/>
        <v>Low</v>
      </c>
      <c r="X142" s="328" t="str">
        <f t="shared" ca="1" si="360"/>
        <v>Dog</v>
      </c>
    </row>
    <row r="143" spans="1:39" ht="19.5" customHeight="1" x14ac:dyDescent="0.35">
      <c r="A143" s="366"/>
      <c r="B143" s="518"/>
      <c r="C143" s="518"/>
      <c r="D143" s="495"/>
      <c r="E143" s="468"/>
      <c r="F143" s="61"/>
      <c r="G143" s="254"/>
      <c r="H143" s="254"/>
      <c r="I143" s="255"/>
      <c r="J143" s="256"/>
      <c r="K143" s="253"/>
      <c r="L143" s="253"/>
      <c r="M143" s="253"/>
      <c r="N143" s="257"/>
      <c r="O143" s="258"/>
      <c r="P143" s="258"/>
      <c r="Q143" s="258"/>
      <c r="R143" s="259"/>
      <c r="S143" s="545">
        <f t="shared" ca="1" si="306"/>
        <v>0</v>
      </c>
      <c r="T143" s="546">
        <f t="shared" ca="1" si="307"/>
        <v>0</v>
      </c>
      <c r="U143" s="83"/>
      <c r="V143" s="327" t="str">
        <f t="shared" si="265"/>
        <v/>
      </c>
      <c r="W143" s="327" t="str">
        <f t="shared" si="266"/>
        <v/>
      </c>
      <c r="X143" s="328" t="str">
        <f t="shared" si="267"/>
        <v/>
      </c>
    </row>
    <row r="144" spans="1:39" s="280" customFormat="1" ht="19.5" customHeight="1" x14ac:dyDescent="0.35">
      <c r="A144" s="76"/>
      <c r="B144" s="303" t="s">
        <v>449</v>
      </c>
      <c r="C144" s="303" t="s">
        <v>454</v>
      </c>
      <c r="D144" s="308"/>
      <c r="E144" s="312"/>
      <c r="F144" s="313"/>
      <c r="G144" s="312"/>
      <c r="H144" s="312"/>
      <c r="I144" s="307">
        <f ca="1">SUBTOTAL(9,I145:I148)</f>
        <v>1362</v>
      </c>
      <c r="J144" s="308"/>
      <c r="K144" s="304">
        <f ca="1">SUBTOTAL(9,K145:K148)</f>
        <v>23150644.708778463</v>
      </c>
      <c r="L144" s="304">
        <f ca="1">SUBTOTAL(9,L145:L148)</f>
        <v>1350000</v>
      </c>
      <c r="M144" s="304">
        <f ca="1">SUBTOTAL(9,M145:M148)</f>
        <v>-21800644.708778463</v>
      </c>
      <c r="N144" s="314">
        <f ca="1">K144/L144</f>
        <v>17.148625710206268</v>
      </c>
      <c r="O144" s="310">
        <f t="shared" ref="O144:P147" ca="1" si="375">L144/L$10</f>
        <v>8.7065149884267838E-4</v>
      </c>
      <c r="P144" s="310">
        <f t="shared" ca="1" si="375"/>
        <v>-2.1189411586309874E-2</v>
      </c>
      <c r="Q144" s="310">
        <f ca="1">I144/I$10</f>
        <v>8.484923997009719E-2</v>
      </c>
      <c r="R144" s="311">
        <f ca="1">I144/$K$5*100</f>
        <v>36.880584890333061</v>
      </c>
      <c r="S144" s="311">
        <f t="shared" ca="1" si="306"/>
        <v>108.35322195704056</v>
      </c>
      <c r="T144" s="311">
        <f t="shared" ca="1" si="307"/>
        <v>0</v>
      </c>
      <c r="U144" s="83"/>
      <c r="V144" s="327"/>
      <c r="W144" s="327"/>
      <c r="X144" s="328"/>
      <c r="Y144" s="219"/>
      <c r="AG144" s="346"/>
      <c r="AK144" s="346"/>
      <c r="AL144" s="343"/>
      <c r="AM144" s="344"/>
    </row>
    <row r="145" spans="1:40" ht="19.5" customHeight="1" x14ac:dyDescent="0.35">
      <c r="A145" s="366">
        <v>1</v>
      </c>
      <c r="B145" s="467" t="s">
        <v>453</v>
      </c>
      <c r="C145" s="277" t="s">
        <v>451</v>
      </c>
      <c r="D145" s="277"/>
      <c r="E145" s="277"/>
      <c r="F145" s="469">
        <v>1508.5797633136096</v>
      </c>
      <c r="G145" s="61">
        <f ca="1">L145/I145</f>
        <v>0</v>
      </c>
      <c r="H145" s="254">
        <f t="shared" ref="H145:H147" ca="1" si="376">G145-F145</f>
        <v>-1508.5797633136096</v>
      </c>
      <c r="I145" s="255">
        <f ca="1">(SUMIF('SG01'!$B:$B,$B145,'SG01'!I:I)*SG01_+SUMIF('SG02'!$B:$B,$B145,'SG02'!I:I)*SG02_+SUMIF('SG03'!$B:$B,$B145,'SG03'!I:I)*SG03_+SUMIF('SG04'!$B:$B,$B145,'SG04'!I:I)*SG04_+SUMIF('SG05'!$B:$B,$B145,'SG05'!I:I)*SG05_+SUMIF('SG06'!$B:$B,$B145,'SG06'!I:I)*SG06_+SUMIF('SG07'!$B:$B,$B145,'SG07'!I:I)*SG07_+SUMIF('SG08'!$B:$B,$B145,'SG08'!I:I)*SG08_+SUMIF('SG09'!$B:$B,$B145,'SG09'!I:I)*SG09_+SUMIF('SG10'!$B:$B,$B145,'SG10'!I:I)*SG10_+SUMIF('SG11'!$B:$B,$B145,'SG11'!I:I)*SG11_+SUMIF('SG12'!$B:$B,$B145,'SG12'!I:I)*SG12_+SUMIF('SG13'!$B:$B,$B145,'SG13'!I:I)*SG13_+SUMIF('SG14'!$B:$B,$B145,'SG14'!I:I)*SG14_+SUMIF('SG15'!$B:$B,$B145,'SG15'!I:I)*SG15_)</f>
        <v>1</v>
      </c>
      <c r="J145" s="256"/>
      <c r="K145" s="61">
        <f ca="1">(SUMIF('SG01'!$B:$B,$B145,'SG01'!K:K)*SG01_+SUMIF('SG02'!$B:$B,$B145,'SG02'!K:K)*SG02_+SUMIF('SG03'!$B:$B,$B145,'SG03'!K:K)*SG03_+SUMIF('SG04'!$B:$B,$B145,'SG04'!K:K)*SG04_+SUMIF('SG05'!$B:$B,$B145,'SG05'!K:K)*SG05_+SUMIF('SG06'!$B:$B,$B145,'SG06'!K:K)*SG06_+SUMIF('SG07'!$B:$B,$B145,'SG07'!K:K)*SG07_+SUMIF('SG08'!$B:$B,$B145,'SG08'!K:K)*SG08_+SUMIF('SG09'!$B:$B,$B145,'SG09'!K:K)*SG09_+SUMIF('SG10'!$B:$B,$B145,'SG10'!K:K)*SG10_+SUMIF('SG11'!$B:$B,$B145,'SG11'!K:K)*SG11_+SUMIF('SG12'!$B:$B,$B145,'SG12'!K:K)*SG12_+SUMIF('SG13'!$B:$B,$B145,'SG13'!K:K)*SG13_+SUMIF('SG14'!$B:$B,$B145,'SG14'!K:K)*SG14_+SUMIF('SG15'!$B:$B,$B145,'SG15'!K:K)*SG15_)</f>
        <v>5571185.0659171604</v>
      </c>
      <c r="L145" s="61">
        <f ca="1">(SUMIF('SG01'!$B:$B,$B145,'SG01'!L:L)*SG01_+SUMIF('SG02'!$B:$B,$B145,'SG02'!L:L)*SG02_+SUMIF('SG03'!$B:$B,$B145,'SG03'!L:L)*SG03_+SUMIF('SG04'!$B:$B,$B145,'SG04'!L:L)*SG04_+SUMIF('SG05'!$B:$B,$B145,'SG05'!L:L)*SG05_+SUMIF('SG06'!$B:$B,$B145,'SG06'!L:L)*SG06_+SUMIF('SG07'!$B:$B,$B145,'SG07'!L:L)*SG07_+SUMIF('SG08'!$B:$B,$B145,'SG08'!L:L)*SG08_+SUMIF('SG09'!$B:$B,$B145,'SG09'!L:L)*SG09_+SUMIF('SG10'!$B:$B,$B145,'SG10'!L:L)*SG10_+SUMIF('SG11'!$B:$B,$B145,'SG11'!L:L)*SG11_+SUMIF('SG12'!$B:$B,$B145,'SG12'!L:L)*SG12_+SUMIF('SG13'!$B:$B,$B145,'SG13'!L:L)*SG13_+SUMIF('SG14'!$B:$B,$B145,'SG14'!L:L)*SG14_+SUMIF('SG15'!$B:$B,$B145,'SG15'!L:L)*SG15_)</f>
        <v>0</v>
      </c>
      <c r="M145" s="253">
        <f t="shared" ref="M145" ca="1" si="377">L145-K145</f>
        <v>-5571185.0659171604</v>
      </c>
      <c r="N145" s="257" t="e">
        <f ca="1">K145/L145</f>
        <v>#DIV/0!</v>
      </c>
      <c r="O145" s="258">
        <f t="shared" ca="1" si="375"/>
        <v>0</v>
      </c>
      <c r="P145" s="258">
        <f t="shared" ca="1" si="375"/>
        <v>-5.4149835916405898E-3</v>
      </c>
      <c r="Q145" s="258">
        <f ca="1">I145/I$10</f>
        <v>6.22975330176925E-5</v>
      </c>
      <c r="R145" s="259">
        <f ca="1">I145/$K$5*100</f>
        <v>2.7078256160303276E-2</v>
      </c>
      <c r="S145" s="545">
        <f t="shared" ca="1" si="306"/>
        <v>7.9554494828957836E-2</v>
      </c>
      <c r="T145" s="546">
        <f t="shared" ca="1" si="307"/>
        <v>0</v>
      </c>
      <c r="U145" s="83"/>
      <c r="V145" s="327" t="str">
        <f ca="1">IF(B145&lt;&gt;"",IFERROR(IF($I145&gt;=$X$10,"High","Low"),""),"")</f>
        <v>Low</v>
      </c>
      <c r="W145" s="327" t="str">
        <f ca="1">IF(B145&lt;&gt;"",IFERROR(IF($L145&gt;=$X$12,"High","Low"),""),"")</f>
        <v>Low</v>
      </c>
      <c r="X145" s="328" t="str">
        <f ca="1">IF(B145&lt;&gt;"",IFERROR(IF(AND(V145="high",W145="high"),"Star",IF(AND(V145="low",W145="high"),"Puzzle",(IF(AND(V145="high",W145="low"),"Horse","Dog")))),""),"")</f>
        <v>Dog</v>
      </c>
    </row>
    <row r="146" spans="1:40" s="84" customFormat="1" ht="17.25" customHeight="1" x14ac:dyDescent="0.3">
      <c r="A146" s="366">
        <v>2</v>
      </c>
      <c r="B146" s="590" t="s">
        <v>728</v>
      </c>
      <c r="C146" s="365" t="s">
        <v>729</v>
      </c>
      <c r="D146" s="365"/>
      <c r="E146" s="468" t="s">
        <v>437</v>
      </c>
      <c r="F146" s="61">
        <f ca="1">K146/I146</f>
        <v>13625.171352074967</v>
      </c>
      <c r="G146" s="470">
        <v>10000</v>
      </c>
      <c r="H146" s="494">
        <f t="shared" ca="1" si="376"/>
        <v>-3625.1713520749672</v>
      </c>
      <c r="I146" s="255">
        <f ca="1">(SUMIF('SG01'!$B:$B,$B146,'SG01'!I:I)*SG01_+SUMIF('SG02'!$B:$B,$B146,'SG02'!I:I)*SG02_+SUMIF('SG03'!$B:$B,$B146,'SG03'!I:I)*SG03_+SUMIF('SG04'!$B:$B,$B146,'SG04'!I:I)*SG04_+SUMIF('SG05'!$B:$B,$B146,'SG05'!I:I)*SG05_+SUMIF('SG06'!$B:$B,$B146,'SG06'!I:I)*SG06_+SUMIF('SG07'!$B:$B,$B146,'SG07'!I:I)*SG07_+SUMIF('SG08'!$B:$B,$B146,'SG08'!I:I)*SG08_+SUMIF('SG09'!$B:$B,$B146,'SG09'!I:I)*SG09_+SUMIF('SG10'!$B:$B,$B146,'SG10'!I:I)*SG10_+SUMIF('SG11'!$B:$B,$B146,'SG11'!I:I)*SG11_+SUMIF('SG12'!$B:$B,$B146,'SG12'!I:I)*SG12_+SUMIF('SG13'!$B:$B,$B146,'SG13'!I:I)*SG13_+SUMIF('SG14'!$B:$B,$B146,'SG14'!I:I)*SG14_+SUMIF('SG15'!$B:$B,$B146,'SG15'!I:I)*SG15_)</f>
        <v>1226</v>
      </c>
      <c r="J146" s="424"/>
      <c r="K146" s="61">
        <f ca="1">(SUMIF('SG01'!$B:$B,$B146,'SG01'!K:K)*SG01_+SUMIF('SG02'!$B:$B,$B146,'SG02'!K:K)*SG02_+SUMIF('SG03'!$B:$B,$B146,'SG03'!K:K)*SG03_+SUMIF('SG04'!$B:$B,$B146,'SG04'!K:K)*SG04_+SUMIF('SG05'!$B:$B,$B146,'SG05'!K:K)*SG05_+SUMIF('SG06'!$B:$B,$B146,'SG06'!K:K)*SG06_+SUMIF('SG07'!$B:$B,$B146,'SG07'!K:K)*SG07_+SUMIF('SG08'!$B:$B,$B146,'SG08'!K:K)*SG08_+SUMIF('SG09'!$B:$B,$B146,'SG09'!K:K)*SG09_+SUMIF('SG10'!$B:$B,$B146,'SG10'!K:K)*SG10_+SUMIF('SG11'!$B:$B,$B146,'SG11'!K:K)*SG11_+SUMIF('SG12'!$B:$B,$B146,'SG12'!K:K)*SG12_+SUMIF('SG13'!$B:$B,$B146,'SG13'!K:K)*SG13_+SUMIF('SG14'!$B:$B,$B146,'SG14'!K:K)*SG14_+SUMIF('SG15'!$B:$B,$B146,'SG15'!K:K)*SG15_)</f>
        <v>16704460.07764391</v>
      </c>
      <c r="L146" s="61">
        <f ca="1">(SUMIF('SG01'!$B:$B,$B146,'SG01'!L:L)*SG01_+SUMIF('SG02'!$B:$B,$B146,'SG02'!L:L)*SG02_+SUMIF('SG03'!$B:$B,$B146,'SG03'!L:L)*SG03_+SUMIF('SG04'!$B:$B,$B146,'SG04'!L:L)*SG04_+SUMIF('SG05'!$B:$B,$B146,'SG05'!L:L)*SG05_+SUMIF('SG06'!$B:$B,$B146,'SG06'!L:L)*SG06_+SUMIF('SG07'!$B:$B,$B146,'SG07'!L:L)*SG07_+SUMIF('SG08'!$B:$B,$B146,'SG08'!L:L)*SG08_+SUMIF('SG09'!$B:$B,$B146,'SG09'!L:L)*SG09_+SUMIF('SG10'!$B:$B,$B146,'SG10'!L:L)*SG10_+SUMIF('SG11'!$B:$B,$B146,'SG11'!L:L)*SG11_+SUMIF('SG12'!$B:$B,$B146,'SG12'!L:L)*SG12_+SUMIF('SG13'!$B:$B,$B146,'SG13'!L:L)*SG13_+SUMIF('SG14'!$B:$B,$B146,'SG14'!L:L)*SG14_+SUMIF('SG15'!$B:$B,$B146,'SG15'!L:L)*SG15_)</f>
        <v>0</v>
      </c>
      <c r="M146" s="253">
        <f t="shared" ref="M146:M147" ca="1" si="378">L146-K146</f>
        <v>-16704460.07764391</v>
      </c>
      <c r="N146" s="496" t="e">
        <f t="shared" ref="N146:N147" ca="1" si="379">K146/L146</f>
        <v>#DIV/0!</v>
      </c>
      <c r="O146" s="497">
        <f t="shared" ca="1" si="375"/>
        <v>0</v>
      </c>
      <c r="P146" s="497">
        <f t="shared" ca="1" si="375"/>
        <v>-1.6236110658220605E-2</v>
      </c>
      <c r="Q146" s="497">
        <f t="shared" ref="Q146:Q147" ca="1" si="380">I146/I$10</f>
        <v>7.6376775479691003E-2</v>
      </c>
      <c r="R146" s="498">
        <f t="shared" ref="R146:R147" ca="1" si="381">I146/$K$5*100</f>
        <v>33.197942052531815</v>
      </c>
      <c r="S146" s="545">
        <f t="shared" ca="1" si="306"/>
        <v>97.533810660302294</v>
      </c>
      <c r="T146" s="546">
        <f t="shared" ca="1" si="307"/>
        <v>975338.1066030229</v>
      </c>
      <c r="U146" s="404"/>
      <c r="V146" s="476" t="str">
        <f t="shared" ref="V146:V147" ca="1" si="382">IF(B146&lt;&gt;"",IFERROR(IF($I146&gt;=$X$10,"High","Low"),""),"")</f>
        <v>High</v>
      </c>
      <c r="W146" s="476" t="str">
        <f t="shared" ref="W146:W147" ca="1" si="383">IF(B146&lt;&gt;"",IFERROR(IF($L146&gt;=$X$12,"High","Low"),""),"")</f>
        <v>Low</v>
      </c>
      <c r="X146" s="477" t="str">
        <f t="shared" ref="X146:X147" ca="1" si="384">IF(B146&lt;&gt;"",IFERROR(IF(AND(V146="high",W146="high"),"Star",IF(AND(V146="low",W146="high"),"Puzzle",(IF(AND(V146="high",W146="low"),"Horse","Dog")))),""),"")</f>
        <v>Horse</v>
      </c>
      <c r="Y146" s="488"/>
      <c r="Z146" s="571"/>
      <c r="AA146" s="366"/>
      <c r="AB146" s="503"/>
      <c r="AC146" s="366"/>
      <c r="AD146" s="366"/>
      <c r="AE146" s="366"/>
      <c r="AF146" s="366"/>
      <c r="AG146" s="366"/>
      <c r="AH146" s="366"/>
      <c r="AI146" s="366"/>
      <c r="AJ146" s="366"/>
      <c r="AK146" s="375"/>
      <c r="AL146" s="376"/>
      <c r="AM146" s="76"/>
      <c r="AN146" s="76"/>
    </row>
    <row r="147" spans="1:40" ht="19.5" customHeight="1" x14ac:dyDescent="0.35">
      <c r="A147" s="366">
        <v>3</v>
      </c>
      <c r="B147" s="509" t="s">
        <v>735</v>
      </c>
      <c r="C147" s="365" t="s">
        <v>737</v>
      </c>
      <c r="D147" s="365"/>
      <c r="E147" s="468" t="s">
        <v>437</v>
      </c>
      <c r="F147" s="61">
        <f t="shared" ref="F147" ca="1" si="385">K147/I147</f>
        <v>6481.478260869565</v>
      </c>
      <c r="G147" s="61">
        <f t="shared" ref="G147" ca="1" si="386">L147/I147</f>
        <v>10000</v>
      </c>
      <c r="H147" s="254">
        <f t="shared" ca="1" si="376"/>
        <v>3518.521739130435</v>
      </c>
      <c r="I147" s="255">
        <f ca="1">(SUMIF('SG01'!$B:$B,$B147,'SG01'!I:I)*SG01_+SUMIF('SG02'!$B:$B,$B147,'SG02'!I:I)*SG02_+SUMIF('SG03'!$B:$B,$B147,'SG03'!I:I)*SG03_+SUMIF('SG04'!$B:$B,$B147,'SG04'!I:I)*SG04_+SUMIF('SG05'!$B:$B,$B147,'SG05'!I:I)*SG05_+SUMIF('SG06'!$B:$B,$B147,'SG06'!I:I)*SG06_+SUMIF('SG07'!$B:$B,$B147,'SG07'!I:I)*SG07_+SUMIF('SG08'!$B:$B,$B147,'SG08'!I:I)*SG08_+SUMIF('SG09'!$B:$B,$B147,'SG09'!I:I)*SG09_+SUMIF('SG10'!$B:$B,$B147,'SG10'!I:I)*SG10_+SUMIF('SG11'!$B:$B,$B147,'SG11'!I:I)*SG11_+SUMIF('SG12'!$B:$B,$B147,'SG12'!I:I)*SG12_+SUMIF('SG13'!$B:$B,$B147,'SG13'!I:I)*SG13_+SUMIF('SG14'!$B:$B,$B147,'SG14'!I:I)*SG14_+SUMIF('SG15'!$B:$B,$B147,'SG15'!I:I)*SG15_)</f>
        <v>135</v>
      </c>
      <c r="J147" s="256"/>
      <c r="K147" s="61">
        <f ca="1">(SUMIF('SG01'!$B:$B,$B147,'SG01'!K:K)*SG01_+SUMIF('SG02'!$B:$B,$B147,'SG02'!K:K)*SG02_+SUMIF('SG03'!$B:$B,$B147,'SG03'!K:K)*SG03_+SUMIF('SG04'!$B:$B,$B147,'SG04'!K:K)*SG04_+SUMIF('SG05'!$B:$B,$B147,'SG05'!K:K)*SG05_+SUMIF('SG06'!$B:$B,$B147,'SG06'!K:K)*SG06_+SUMIF('SG07'!$B:$B,$B147,'SG07'!K:K)*SG07_+SUMIF('SG08'!$B:$B,$B147,'SG08'!K:K)*SG08_+SUMIF('SG09'!$B:$B,$B147,'SG09'!K:K)*SG09_+SUMIF('SG10'!$B:$B,$B147,'SG10'!K:K)*SG10_+SUMIF('SG11'!$B:$B,$B147,'SG11'!K:K)*SG11_+SUMIF('SG12'!$B:$B,$B147,'SG12'!K:K)*SG12_+SUMIF('SG13'!$B:$B,$B147,'SG13'!K:K)*SG13_+SUMIF('SG14'!$B:$B,$B147,'SG14'!K:K)*SG14_+SUMIF('SG15'!$B:$B,$B147,'SG15'!K:K)*SG15_)</f>
        <v>874999.56521739124</v>
      </c>
      <c r="L147" s="61">
        <f ca="1">(SUMIF('SG01'!$B:$B,$B147,'SG01'!L:L)*SG01_+SUMIF('SG02'!$B:$B,$B147,'SG02'!L:L)*SG02_+SUMIF('SG03'!$B:$B,$B147,'SG03'!L:L)*SG03_+SUMIF('SG04'!$B:$B,$B147,'SG04'!L:L)*SG04_+SUMIF('SG05'!$B:$B,$B147,'SG05'!L:L)*SG05_+SUMIF('SG06'!$B:$B,$B147,'SG06'!L:L)*SG06_+SUMIF('SG07'!$B:$B,$B147,'SG07'!L:L)*SG07_+SUMIF('SG08'!$B:$B,$B147,'SG08'!L:L)*SG08_+SUMIF('SG09'!$B:$B,$B147,'SG09'!L:L)*SG09_+SUMIF('SG10'!$B:$B,$B147,'SG10'!L:L)*SG10_+SUMIF('SG11'!$B:$B,$B147,'SG11'!L:L)*SG11_+SUMIF('SG12'!$B:$B,$B147,'SG12'!L:L)*SG12_+SUMIF('SG13'!$B:$B,$B147,'SG13'!L:L)*SG13_+SUMIF('SG14'!$B:$B,$B147,'SG14'!L:L)*SG14_+SUMIF('SG15'!$B:$B,$B147,'SG15'!L:L)*SG15_)</f>
        <v>1350000</v>
      </c>
      <c r="M147" s="253">
        <f t="shared" ca="1" si="378"/>
        <v>475000.43478260876</v>
      </c>
      <c r="N147" s="257">
        <f t="shared" ca="1" si="379"/>
        <v>0.64814782608695642</v>
      </c>
      <c r="O147" s="258">
        <f t="shared" ca="1" si="375"/>
        <v>8.7065149884267838E-4</v>
      </c>
      <c r="P147" s="258">
        <f t="shared" ca="1" si="375"/>
        <v>4.6168266355132027E-4</v>
      </c>
      <c r="Q147" s="258">
        <f t="shared" ca="1" si="380"/>
        <v>8.4101669573884881E-3</v>
      </c>
      <c r="R147" s="259">
        <f t="shared" ca="1" si="381"/>
        <v>3.6555645816409426</v>
      </c>
      <c r="S147" s="545">
        <f t="shared" ca="1" si="306"/>
        <v>10.739856801909308</v>
      </c>
      <c r="T147" s="546">
        <f t="shared" ca="1" si="307"/>
        <v>107398.56801909309</v>
      </c>
      <c r="U147" s="83"/>
      <c r="V147" s="327" t="str">
        <f t="shared" ca="1" si="382"/>
        <v>High</v>
      </c>
      <c r="W147" s="327" t="str">
        <f t="shared" ca="1" si="383"/>
        <v>Low</v>
      </c>
      <c r="X147" s="328" t="str">
        <f t="shared" ca="1" si="384"/>
        <v>Horse</v>
      </c>
    </row>
    <row r="148" spans="1:40" ht="19.5" customHeight="1" x14ac:dyDescent="0.35">
      <c r="A148" s="76"/>
      <c r="B148" s="253"/>
      <c r="C148" s="253"/>
      <c r="D148" s="253"/>
      <c r="E148" s="254"/>
      <c r="F148" s="317"/>
      <c r="G148" s="254"/>
      <c r="H148" s="254"/>
      <c r="I148" s="255"/>
      <c r="J148" s="256"/>
      <c r="K148" s="253"/>
      <c r="L148" s="253"/>
      <c r="M148" s="253"/>
      <c r="N148" s="257"/>
      <c r="O148" s="258"/>
      <c r="P148" s="258"/>
      <c r="Q148" s="258"/>
      <c r="R148" s="259"/>
      <c r="S148" s="545">
        <f t="shared" ca="1" si="306"/>
        <v>0</v>
      </c>
      <c r="T148" s="546">
        <f t="shared" ca="1" si="307"/>
        <v>0</v>
      </c>
      <c r="U148" s="83"/>
      <c r="V148" s="327" t="str">
        <f>IF(B148&lt;&gt;"",IFERROR(IF($I148&gt;=$X$10,"High","Low"),""),"")</f>
        <v/>
      </c>
      <c r="W148" s="327" t="str">
        <f>IF(B148&lt;&gt;"",IFERROR(IF($L148&gt;=$X$12,"High","Low"),""),"")</f>
        <v/>
      </c>
      <c r="X148" s="328" t="str">
        <f>IF(B148&lt;&gt;"",IFERROR(IF(AND(V148="high",W148="high"),"Star",IF(AND(V148="low",W148="high"),"Puzzle",(IF(AND(V148="high",W148="low"),"Horse","Dog")))),""),"")</f>
        <v/>
      </c>
    </row>
    <row r="149" spans="1:40" ht="19.5" customHeight="1" x14ac:dyDescent="0.35">
      <c r="A149" s="453"/>
      <c r="B149" s="479" t="s">
        <v>493</v>
      </c>
      <c r="C149" s="479" t="s">
        <v>440</v>
      </c>
      <c r="D149" s="480"/>
      <c r="E149" s="480"/>
      <c r="F149" s="306">
        <f ca="1">('SG01'!F261*SG01_+'SG02'!F262*SG02_+'SG03'!F255*SG03_+'SG04'!F272*SG04_+'SG05'!F272*SG05_+'SG06'!F273*SG06_+'SG07'!F274*SG07_+'SG08'!F278*SG08_+'SG09'!F278*SG09_+'SG10'!F278*SG10_+'SG11'!F278*SG11_++'SG12'!F278*SG12_)/SUM(Control!$B$2:$B$16)</f>
        <v>0</v>
      </c>
      <c r="G149" s="305">
        <f ca="1">('SG01'!G261*SG01_+'SG02'!G262*SG02_+'SG03'!G255*SG03_+'SG04'!G272*SG04_+'SG05'!G272*SG05_+'SG06'!G273*SG06_+'SG07'!G274*SG07_+'SG08'!G278*SG08_+'SG09'!G278*SG09_+'SG10'!G278*SG10_+'SG11'!G278*SG11_)/SUM(Control!$B$2:$B$16)</f>
        <v>0</v>
      </c>
      <c r="H149" s="305">
        <f t="shared" ref="H149:H154" ca="1" si="387">G149-F149</f>
        <v>0</v>
      </c>
      <c r="I149" s="307">
        <f ca="1">SUBTOTAL(9,I150:I155)</f>
        <v>3163</v>
      </c>
      <c r="J149" s="308"/>
      <c r="K149" s="304">
        <f ca="1">SUBTOTAL(9,K150:K155)</f>
        <v>1808994.7293023255</v>
      </c>
      <c r="L149" s="304">
        <f ca="1">SUBTOTAL(9,L150:L155)</f>
        <v>9489000</v>
      </c>
      <c r="M149" s="304">
        <f ca="1">SUBTOTAL(9,M150:M155)</f>
        <v>7680005.2706976747</v>
      </c>
      <c r="N149" s="309">
        <f t="shared" ca="1" si="323"/>
        <v>0.19064124031007751</v>
      </c>
      <c r="O149" s="310">
        <f t="shared" ca="1" si="324"/>
        <v>6.1197126463097594E-3</v>
      </c>
      <c r="P149" s="310">
        <f t="shared" ca="1" si="325"/>
        <v>7.4646779872667626E-3</v>
      </c>
      <c r="Q149" s="310">
        <f t="shared" ca="1" si="326"/>
        <v>0.19704709693496136</v>
      </c>
      <c r="R149" s="311">
        <f t="shared" ca="1" si="327"/>
        <v>85.648524235039261</v>
      </c>
      <c r="S149" s="311">
        <f t="shared" ca="1" si="306"/>
        <v>251.63086714399361</v>
      </c>
      <c r="T149" s="311">
        <f t="shared" ca="1" si="307"/>
        <v>0</v>
      </c>
      <c r="U149" s="83"/>
      <c r="V149" s="327"/>
      <c r="W149" s="327"/>
      <c r="X149" s="328"/>
    </row>
    <row r="150" spans="1:40" ht="18.75" customHeight="1" x14ac:dyDescent="0.35">
      <c r="A150" s="366">
        <v>1</v>
      </c>
      <c r="B150" s="518" t="s">
        <v>568</v>
      </c>
      <c r="C150" s="365" t="str">
        <f>VLOOKUP(B150,'SG01'!$B:$E,2,0)</f>
        <v>Khăn Ướt</v>
      </c>
      <c r="D150" s="365"/>
      <c r="E150" s="468" t="str">
        <f>VLOOKUP(B150,'SG01'!$B:$E,4,0)</f>
        <v>Cái</v>
      </c>
      <c r="F150" s="61">
        <f t="shared" ref="F150" ca="1" si="388">K150/I150</f>
        <v>571.92372093023255</v>
      </c>
      <c r="G150" s="61">
        <f t="shared" ref="G150" ca="1" si="389">L150/I150</f>
        <v>3000</v>
      </c>
      <c r="H150" s="254">
        <f t="shared" ref="H150" ca="1" si="390">G150-F150</f>
        <v>2428.0762790697672</v>
      </c>
      <c r="I150" s="255">
        <f ca="1">(SUMIF('SG01'!$B:$B,$B150,'SG01'!I:I)*SG01_+SUMIF('SG02'!$B:$B,$B150,'SG02'!I:I)*SG02_+SUMIF('SG03'!$B:$B,$B150,'SG03'!I:I)*SG03_+SUMIF('SG04'!$B:$B,$B150,'SG04'!I:I)*SG04_+SUMIF('SG05'!$B:$B,$B150,'SG05'!I:I)*SG05_+SUMIF('SG06'!$B:$B,$B150,'SG06'!I:I)*SG06_+SUMIF('SG07'!$B:$B,$B150,'SG07'!I:I)*SG07_+SUMIF('SG08'!$B:$B,$B150,'SG08'!I:I)*SG08_+SUMIF('SG09'!$B:$B,$B150,'SG09'!I:I)*SG09_+SUMIF('SG10'!$B:$B,$B150,'SG10'!I:I)*SG10_+SUMIF('SG11'!$B:$B,$B150,'SG11'!I:I)*SG11_+SUMIF('SG12'!$B:$B,$B150,'SG12'!I:I)*SG12_+SUMIF('SG13'!$B:$B,$B150,'SG13'!I:I)*SG13_+SUMIF('SG14'!$B:$B,$B150,'SG14'!I:I)*SG14_+SUMIF('SG15'!$B:$B,$B150,'SG15'!I:I)*SG15_)</f>
        <v>3163</v>
      </c>
      <c r="J150" s="256"/>
      <c r="K150" s="61">
        <f ca="1">(SUMIF('SG01'!$B:$B,$B150,'SG01'!K:K)*SG01_+SUMIF('SG02'!$B:$B,$B150,'SG02'!K:K)*SG02_+SUMIF('SG03'!$B:$B,$B150,'SG03'!K:K)*SG03_+SUMIF('SG04'!$B:$B,$B150,'SG04'!K:K)*SG04_+SUMIF('SG05'!$B:$B,$B150,'SG05'!K:K)*SG05_+SUMIF('SG06'!$B:$B,$B150,'SG06'!K:K)*SG06_+SUMIF('SG07'!$B:$B,$B150,'SG07'!K:K)*SG07_+SUMIF('SG08'!$B:$B,$B150,'SG08'!K:K)*SG08_+SUMIF('SG09'!$B:$B,$B150,'SG09'!K:K)*SG09_+SUMIF('SG10'!$B:$B,$B150,'SG10'!K:K)*SG10_+SUMIF('SG11'!$B:$B,$B150,'SG11'!K:K)*SG11_+SUMIF('SG12'!$B:$B,$B150,'SG12'!K:K)*SG12_+SUMIF('SG13'!$B:$B,$B150,'SG13'!K:K)*SG13_+SUMIF('SG14'!$B:$B,$B150,'SG14'!K:K)*SG14_+SUMIF('SG15'!$B:$B,$B150,'SG15'!K:K)*SG15_)</f>
        <v>1808994.7293023255</v>
      </c>
      <c r="L150" s="61">
        <f ca="1">(SUMIF('SG01'!$B:$B,$B150,'SG01'!L:L)*SG01_+SUMIF('SG02'!$B:$B,$B150,'SG02'!L:L)*SG02_+SUMIF('SG03'!$B:$B,$B150,'SG03'!L:L)*SG03_+SUMIF('SG04'!$B:$B,$B150,'SG04'!L:L)*SG04_+SUMIF('SG05'!$B:$B,$B150,'SG05'!L:L)*SG05_+SUMIF('SG06'!$B:$B,$B150,'SG06'!L:L)*SG06_+SUMIF('SG07'!$B:$B,$B150,'SG07'!L:L)*SG07_+SUMIF('SG08'!$B:$B,$B150,'SG08'!L:L)*SG08_+SUMIF('SG09'!$B:$B,$B150,'SG09'!L:L)*SG09_+SUMIF('SG10'!$B:$B,$B150,'SG10'!L:L)*SG10_+SUMIF('SG11'!$B:$B,$B150,'SG11'!L:L)*SG11_+SUMIF('SG12'!$B:$B,$B150,'SG12'!L:L)*SG12_+SUMIF('SG13'!$B:$B,$B150,'SG13'!L:L)*SG13_+SUMIF('SG14'!$B:$B,$B150,'SG14'!L:L)*SG14_+SUMIF('SG15'!$B:$B,$B150,'SG15'!L:L)*SG15_)</f>
        <v>9489000</v>
      </c>
      <c r="M150" s="253">
        <f t="shared" ref="M150" ca="1" si="391">L150-K150</f>
        <v>7680005.2706976747</v>
      </c>
      <c r="N150" s="257">
        <f t="shared" ref="N150" ca="1" si="392">K150/L150</f>
        <v>0.19064124031007751</v>
      </c>
      <c r="O150" s="258">
        <f t="shared" ref="O150" ca="1" si="393">L150/L$10</f>
        <v>6.1197126463097594E-3</v>
      </c>
      <c r="P150" s="258">
        <f t="shared" ref="P150" ca="1" si="394">M150/M$10</f>
        <v>7.4646779872667626E-3</v>
      </c>
      <c r="Q150" s="258">
        <f t="shared" ref="Q150" ca="1" si="395">I150/I$10</f>
        <v>0.19704709693496136</v>
      </c>
      <c r="R150" s="259">
        <f t="shared" ref="R150" ca="1" si="396">I150/$K$5*100</f>
        <v>85.648524235039261</v>
      </c>
      <c r="S150" s="545">
        <f t="shared" ref="S150" ca="1" si="397">R150*T$5</f>
        <v>251.63086714399361</v>
      </c>
      <c r="T150" s="546">
        <f t="shared" ref="T150" ca="1" si="398">IFERROR(S150*G150,0)</f>
        <v>754892.60143198085</v>
      </c>
      <c r="U150" s="83"/>
      <c r="V150" s="327" t="str">
        <f t="shared" ref="V150" ca="1" si="399">IF(B150&lt;&gt;"",IFERROR(IF($I150&gt;=$X$10,"High","Low"),""),"")</f>
        <v>High</v>
      </c>
      <c r="W150" s="327" t="str">
        <f t="shared" ref="W150" ca="1" si="400">IF(B150&lt;&gt;"",IFERROR(IF($L150&gt;=$X$12,"High","Low"),""),"")</f>
        <v>High</v>
      </c>
      <c r="X150" s="328" t="str">
        <f t="shared" ref="X150" ca="1" si="401">IF(B150&lt;&gt;"",IFERROR(IF(AND(V150="high",W150="high"),"Star",IF(AND(V150="low",W150="high"),"Puzzle",(IF(AND(V150="high",W150="low"),"Horse","Dog")))),""),"")</f>
        <v>Star</v>
      </c>
    </row>
    <row r="151" spans="1:40" ht="18.75" customHeight="1" x14ac:dyDescent="0.35">
      <c r="A151" s="366">
        <v>2</v>
      </c>
      <c r="B151" s="518" t="s">
        <v>516</v>
      </c>
      <c r="C151" s="365" t="str">
        <f>VLOOKUP(B151,'SG01'!$B:$E,2,0)</f>
        <v>Phí Rượu Vang Ngoại</v>
      </c>
      <c r="D151" s="365"/>
      <c r="E151" s="468" t="str">
        <f>VLOOKUP(B151,'SG01'!$B:$E,4,0)</f>
        <v>Chai</v>
      </c>
      <c r="F151" s="61"/>
      <c r="G151" s="61" t="e">
        <f t="shared" ref="G151:G154" ca="1" si="402">L151/I151</f>
        <v>#DIV/0!</v>
      </c>
      <c r="H151" s="254" t="e">
        <f t="shared" ca="1" si="387"/>
        <v>#DIV/0!</v>
      </c>
      <c r="I151" s="255">
        <f ca="1">(SUMIF('SG01'!$B:$B,$B151,'SG01'!I:I)*SG01_+SUMIF('SG02'!$B:$B,$B151,'SG02'!I:I)*SG02_+SUMIF('SG03'!$B:$B,$B151,'SG03'!I:I)*SG03_+SUMIF('SG04'!$B:$B,$B151,'SG04'!I:I)*SG04_+SUMIF('SG05'!$B:$B,$B151,'SG05'!I:I)*SG05_+SUMIF('SG06'!$B:$B,$B151,'SG06'!I:I)*SG06_+SUMIF('SG07'!$B:$B,$B151,'SG07'!I:I)*SG07_+SUMIF('SG08'!$B:$B,$B151,'SG08'!I:I)*SG08_+SUMIF('SG09'!$B:$B,$B151,'SG09'!I:I)*SG09_+SUMIF('SG10'!$B:$B,$B151,'SG10'!I:I)*SG10_+SUMIF('SG11'!$B:$B,$B151,'SG11'!I:I)*SG11_+SUMIF('SG12'!$B:$B,$B151,'SG12'!I:I)*SG12_+SUMIF('SG13'!$B:$B,$B151,'SG13'!I:I)*SG13_+SUMIF('SG14'!$B:$B,$B151,'SG14'!I:I)*SG14_+SUMIF('SG15'!$B:$B,$B151,'SG15'!I:I)*SG15_)</f>
        <v>0</v>
      </c>
      <c r="J151" s="256"/>
      <c r="K151" s="61">
        <f ca="1">(SUMIF('SG01'!$B:$B,$B151,'SG01'!K:K)*SG01_+SUMIF('SG02'!$B:$B,$B151,'SG02'!K:K)*SG02_+SUMIF('SG03'!$B:$B,$B151,'SG03'!K:K)*SG03_+SUMIF('SG04'!$B:$B,$B151,'SG04'!K:K)*SG04_+SUMIF('SG05'!$B:$B,$B151,'SG05'!K:K)*SG05_+SUMIF('SG06'!$B:$B,$B151,'SG06'!K:K)*SG06_+SUMIF('SG07'!$B:$B,$B151,'SG07'!K:K)*SG07_+SUMIF('SG08'!$B:$B,$B151,'SG08'!K:K)*SG08_+SUMIF('SG09'!$B:$B,$B151,'SG09'!K:K)*SG09_+SUMIF('SG10'!$B:$B,$B151,'SG10'!K:K)*SG10_+SUMIF('SG11'!$B:$B,$B151,'SG11'!K:K)*SG11_+SUMIF('SG12'!$B:$B,$B151,'SG12'!K:K)*SG12_+SUMIF('SG13'!$B:$B,$B151,'SG13'!K:K)*SG13_+SUMIF('SG14'!$B:$B,$B151,'SG14'!K:K)*SG14_+SUMIF('SG15'!$B:$B,$B151,'SG15'!K:K)*SG15_)</f>
        <v>0</v>
      </c>
      <c r="L151" s="61">
        <f ca="1">(SUMIF('SG01'!$B:$B,$B151,'SG01'!L:L)*SG01_+SUMIF('SG02'!$B:$B,$B151,'SG02'!L:L)*SG02_+SUMIF('SG03'!$B:$B,$B151,'SG03'!L:L)*SG03_+SUMIF('SG04'!$B:$B,$B151,'SG04'!L:L)*SG04_+SUMIF('SG05'!$B:$B,$B151,'SG05'!L:L)*SG05_+SUMIF('SG06'!$B:$B,$B151,'SG06'!L:L)*SG06_+SUMIF('SG07'!$B:$B,$B151,'SG07'!L:L)*SG07_+SUMIF('SG08'!$B:$B,$B151,'SG08'!L:L)*SG08_+SUMIF('SG09'!$B:$B,$B151,'SG09'!L:L)*SG09_+SUMIF('SG10'!$B:$B,$B151,'SG10'!L:L)*SG10_+SUMIF('SG11'!$B:$B,$B151,'SG11'!L:L)*SG11_+SUMIF('SG12'!$B:$B,$B151,'SG12'!L:L)*SG12_+SUMIF('SG13'!$B:$B,$B151,'SG13'!L:L)*SG13_+SUMIF('SG14'!$B:$B,$B151,'SG14'!L:L)*SG14_+SUMIF('SG15'!$B:$B,$B151,'SG15'!L:L)*SG15_)</f>
        <v>0</v>
      </c>
      <c r="M151" s="253">
        <f t="shared" ref="M151:M154" ca="1" si="403">L151-K151</f>
        <v>0</v>
      </c>
      <c r="N151" s="257" t="e">
        <f t="shared" ca="1" si="323"/>
        <v>#DIV/0!</v>
      </c>
      <c r="O151" s="258">
        <f t="shared" ca="1" si="324"/>
        <v>0</v>
      </c>
      <c r="P151" s="258">
        <f t="shared" ca="1" si="325"/>
        <v>0</v>
      </c>
      <c r="Q151" s="258">
        <f t="shared" ca="1" si="326"/>
        <v>0</v>
      </c>
      <c r="R151" s="259">
        <f t="shared" ca="1" si="327"/>
        <v>0</v>
      </c>
      <c r="S151" s="545">
        <f t="shared" ca="1" si="306"/>
        <v>0</v>
      </c>
      <c r="T151" s="546">
        <f t="shared" ca="1" si="307"/>
        <v>0</v>
      </c>
      <c r="U151" s="83"/>
      <c r="V151" s="327" t="str">
        <f t="shared" ref="V151:V154" ca="1" si="404">IF(B151&lt;&gt;"",IFERROR(IF($I151&gt;=$X$10,"High","Low"),""),"")</f>
        <v>Low</v>
      </c>
      <c r="W151" s="327" t="str">
        <f t="shared" ref="W151:W154" ca="1" si="405">IF(B151&lt;&gt;"",IFERROR(IF($L151&gt;=$X$12,"High","Low"),""),"")</f>
        <v>Low</v>
      </c>
      <c r="X151" s="328" t="str">
        <f t="shared" ref="X151:X154" ca="1" si="406">IF(B151&lt;&gt;"",IFERROR(IF(AND(V151="high",W151="high"),"Star",IF(AND(V151="low",W151="high"),"Puzzle",(IF(AND(V151="high",W151="low"),"Horse","Dog")))),""),"")</f>
        <v>Dog</v>
      </c>
    </row>
    <row r="152" spans="1:40" ht="18.75" customHeight="1" x14ac:dyDescent="0.35">
      <c r="A152" s="366">
        <v>3</v>
      </c>
      <c r="B152" s="518" t="s">
        <v>517</v>
      </c>
      <c r="C152" s="365" t="str">
        <f>VLOOKUP(B152,'SG01'!$B:$E,2,0)</f>
        <v>Phí Rượu Mạnh Ngoại, Bia &amp; Nước Ngọt</v>
      </c>
      <c r="D152" s="365"/>
      <c r="E152" s="468" t="str">
        <f>VLOOKUP(B152,'SG01'!$B:$E,4,0)</f>
        <v>Chai/Thùng/Két</v>
      </c>
      <c r="F152" s="61"/>
      <c r="G152" s="61" t="e">
        <f t="shared" ca="1" si="402"/>
        <v>#DIV/0!</v>
      </c>
      <c r="H152" s="254" t="e">
        <f t="shared" ca="1" si="387"/>
        <v>#DIV/0!</v>
      </c>
      <c r="I152" s="255">
        <f ca="1">(SUMIF('SG01'!$B:$B,$B152,'SG01'!I:I)*SG01_+SUMIF('SG02'!$B:$B,$B152,'SG02'!I:I)*SG02_+SUMIF('SG03'!$B:$B,$B152,'SG03'!I:I)*SG03_+SUMIF('SG04'!$B:$B,$B152,'SG04'!I:I)*SG04_+SUMIF('SG05'!$B:$B,$B152,'SG05'!I:I)*SG05_+SUMIF('SG06'!$B:$B,$B152,'SG06'!I:I)*SG06_+SUMIF('SG07'!$B:$B,$B152,'SG07'!I:I)*SG07_+SUMIF('SG08'!$B:$B,$B152,'SG08'!I:I)*SG08_+SUMIF('SG09'!$B:$B,$B152,'SG09'!I:I)*SG09_+SUMIF('SG10'!$B:$B,$B152,'SG10'!I:I)*SG10_+SUMIF('SG11'!$B:$B,$B152,'SG11'!I:I)*SG11_+SUMIF('SG12'!$B:$B,$B152,'SG12'!I:I)*SG12_+SUMIF('SG13'!$B:$B,$B152,'SG13'!I:I)*SG13_+SUMIF('SG14'!$B:$B,$B152,'SG14'!I:I)*SG14_+SUMIF('SG15'!$B:$B,$B152,'SG15'!I:I)*SG15_)</f>
        <v>0</v>
      </c>
      <c r="J152" s="256"/>
      <c r="K152" s="61">
        <f ca="1">(SUMIF('SG01'!$B:$B,$B152,'SG01'!K:K)*SG01_+SUMIF('SG02'!$B:$B,$B152,'SG02'!K:K)*SG02_+SUMIF('SG03'!$B:$B,$B152,'SG03'!K:K)*SG03_+SUMIF('SG04'!$B:$B,$B152,'SG04'!K:K)*SG04_+SUMIF('SG05'!$B:$B,$B152,'SG05'!K:K)*SG05_+SUMIF('SG06'!$B:$B,$B152,'SG06'!K:K)*SG06_+SUMIF('SG07'!$B:$B,$B152,'SG07'!K:K)*SG07_+SUMIF('SG08'!$B:$B,$B152,'SG08'!K:K)*SG08_+SUMIF('SG09'!$B:$B,$B152,'SG09'!K:K)*SG09_+SUMIF('SG10'!$B:$B,$B152,'SG10'!K:K)*SG10_+SUMIF('SG11'!$B:$B,$B152,'SG11'!K:K)*SG11_+SUMIF('SG12'!$B:$B,$B152,'SG12'!K:K)*SG12_+SUMIF('SG13'!$B:$B,$B152,'SG13'!K:K)*SG13_+SUMIF('SG14'!$B:$B,$B152,'SG14'!K:K)*SG14_+SUMIF('SG15'!$B:$B,$B152,'SG15'!K:K)*SG15_)</f>
        <v>0</v>
      </c>
      <c r="L152" s="61">
        <f ca="1">(SUMIF('SG01'!$B:$B,$B152,'SG01'!L:L)*SG01_+SUMIF('SG02'!$B:$B,$B152,'SG02'!L:L)*SG02_+SUMIF('SG03'!$B:$B,$B152,'SG03'!L:L)*SG03_+SUMIF('SG04'!$B:$B,$B152,'SG04'!L:L)*SG04_+SUMIF('SG05'!$B:$B,$B152,'SG05'!L:L)*SG05_+SUMIF('SG06'!$B:$B,$B152,'SG06'!L:L)*SG06_+SUMIF('SG07'!$B:$B,$B152,'SG07'!L:L)*SG07_+SUMIF('SG08'!$B:$B,$B152,'SG08'!L:L)*SG08_+SUMIF('SG09'!$B:$B,$B152,'SG09'!L:L)*SG09_+SUMIF('SG10'!$B:$B,$B152,'SG10'!L:L)*SG10_+SUMIF('SG11'!$B:$B,$B152,'SG11'!L:L)*SG11_+SUMIF('SG12'!$B:$B,$B152,'SG12'!L:L)*SG12_+SUMIF('SG13'!$B:$B,$B152,'SG13'!L:L)*SG13_+SUMIF('SG14'!$B:$B,$B152,'SG14'!L:L)*SG14_+SUMIF('SG15'!$B:$B,$B152,'SG15'!L:L)*SG15_)</f>
        <v>0</v>
      </c>
      <c r="M152" s="253">
        <f t="shared" ca="1" si="403"/>
        <v>0</v>
      </c>
      <c r="N152" s="257" t="e">
        <f t="shared" ca="1" si="323"/>
        <v>#DIV/0!</v>
      </c>
      <c r="O152" s="258">
        <f t="shared" ca="1" si="324"/>
        <v>0</v>
      </c>
      <c r="P152" s="258">
        <f t="shared" ca="1" si="325"/>
        <v>0</v>
      </c>
      <c r="Q152" s="258">
        <f t="shared" ca="1" si="326"/>
        <v>0</v>
      </c>
      <c r="R152" s="259">
        <f t="shared" ca="1" si="327"/>
        <v>0</v>
      </c>
      <c r="S152" s="545">
        <f t="shared" ca="1" si="306"/>
        <v>0</v>
      </c>
      <c r="T152" s="546">
        <f t="shared" ca="1" si="307"/>
        <v>0</v>
      </c>
      <c r="U152" s="83"/>
      <c r="V152" s="327" t="str">
        <f t="shared" ca="1" si="404"/>
        <v>Low</v>
      </c>
      <c r="W152" s="327" t="str">
        <f t="shared" ca="1" si="405"/>
        <v>Low</v>
      </c>
      <c r="X152" s="328" t="str">
        <f t="shared" ca="1" si="406"/>
        <v>Dog</v>
      </c>
    </row>
    <row r="153" spans="1:40" ht="18.75" customHeight="1" x14ac:dyDescent="0.35">
      <c r="A153" s="366">
        <v>4</v>
      </c>
      <c r="B153" s="518" t="s">
        <v>518</v>
      </c>
      <c r="C153" s="365" t="str">
        <f>VLOOKUP(B153,'SG01'!$B:$E,2,0)</f>
        <v>Phí Rượu Thủ Công</v>
      </c>
      <c r="D153" s="365"/>
      <c r="E153" s="468" t="str">
        <f>VLOOKUP(B153,'SG01'!$B:$E,4,0)</f>
        <v>Lít</v>
      </c>
      <c r="F153" s="61"/>
      <c r="G153" s="61" t="e">
        <f t="shared" ca="1" si="402"/>
        <v>#DIV/0!</v>
      </c>
      <c r="H153" s="254" t="e">
        <f t="shared" ca="1" si="387"/>
        <v>#DIV/0!</v>
      </c>
      <c r="I153" s="255">
        <f ca="1">(SUMIF('SG01'!$B:$B,$B153,'SG01'!I:I)*SG01_+SUMIF('SG02'!$B:$B,$B153,'SG02'!I:I)*SG02_+SUMIF('SG03'!$B:$B,$B153,'SG03'!I:I)*SG03_+SUMIF('SG04'!$B:$B,$B153,'SG04'!I:I)*SG04_+SUMIF('SG05'!$B:$B,$B153,'SG05'!I:I)*SG05_+SUMIF('SG06'!$B:$B,$B153,'SG06'!I:I)*SG06_+SUMIF('SG07'!$B:$B,$B153,'SG07'!I:I)*SG07_+SUMIF('SG08'!$B:$B,$B153,'SG08'!I:I)*SG08_+SUMIF('SG09'!$B:$B,$B153,'SG09'!I:I)*SG09_+SUMIF('SG10'!$B:$B,$B153,'SG10'!I:I)*SG10_+SUMIF('SG11'!$B:$B,$B153,'SG11'!I:I)*SG11_+SUMIF('SG12'!$B:$B,$B153,'SG12'!I:I)*SG12_+SUMIF('SG13'!$B:$B,$B153,'SG13'!I:I)*SG13_+SUMIF('SG14'!$B:$B,$B153,'SG14'!I:I)*SG14_+SUMIF('SG15'!$B:$B,$B153,'SG15'!I:I)*SG15_)</f>
        <v>0</v>
      </c>
      <c r="J153" s="256"/>
      <c r="K153" s="61">
        <f ca="1">(SUMIF('SG01'!$B:$B,$B153,'SG01'!K:K)*SG01_+SUMIF('SG02'!$B:$B,$B153,'SG02'!K:K)*SG02_+SUMIF('SG03'!$B:$B,$B153,'SG03'!K:K)*SG03_+SUMIF('SG04'!$B:$B,$B153,'SG04'!K:K)*SG04_+SUMIF('SG05'!$B:$B,$B153,'SG05'!K:K)*SG05_+SUMIF('SG06'!$B:$B,$B153,'SG06'!K:K)*SG06_+SUMIF('SG07'!$B:$B,$B153,'SG07'!K:K)*SG07_+SUMIF('SG08'!$B:$B,$B153,'SG08'!K:K)*SG08_+SUMIF('SG09'!$B:$B,$B153,'SG09'!K:K)*SG09_+SUMIF('SG10'!$B:$B,$B153,'SG10'!K:K)*SG10_+SUMIF('SG11'!$B:$B,$B153,'SG11'!K:K)*SG11_+SUMIF('SG12'!$B:$B,$B153,'SG12'!K:K)*SG12_+SUMIF('SG13'!$B:$B,$B153,'SG13'!K:K)*SG13_+SUMIF('SG14'!$B:$B,$B153,'SG14'!K:K)*SG14_+SUMIF('SG15'!$B:$B,$B153,'SG15'!K:K)*SG15_)</f>
        <v>0</v>
      </c>
      <c r="L153" s="61">
        <f ca="1">(SUMIF('SG01'!$B:$B,$B153,'SG01'!L:L)*SG01_+SUMIF('SG02'!$B:$B,$B153,'SG02'!L:L)*SG02_+SUMIF('SG03'!$B:$B,$B153,'SG03'!L:L)*SG03_+SUMIF('SG04'!$B:$B,$B153,'SG04'!L:L)*SG04_+SUMIF('SG05'!$B:$B,$B153,'SG05'!L:L)*SG05_+SUMIF('SG06'!$B:$B,$B153,'SG06'!L:L)*SG06_+SUMIF('SG07'!$B:$B,$B153,'SG07'!L:L)*SG07_+SUMIF('SG08'!$B:$B,$B153,'SG08'!L:L)*SG08_+SUMIF('SG09'!$B:$B,$B153,'SG09'!L:L)*SG09_+SUMIF('SG10'!$B:$B,$B153,'SG10'!L:L)*SG10_+SUMIF('SG11'!$B:$B,$B153,'SG11'!L:L)*SG11_+SUMIF('SG12'!$B:$B,$B153,'SG12'!L:L)*SG12_+SUMIF('SG13'!$B:$B,$B153,'SG13'!L:L)*SG13_+SUMIF('SG14'!$B:$B,$B153,'SG14'!L:L)*SG14_+SUMIF('SG15'!$B:$B,$B153,'SG15'!L:L)*SG15_)</f>
        <v>0</v>
      </c>
      <c r="M153" s="253">
        <f t="shared" ca="1" si="403"/>
        <v>0</v>
      </c>
      <c r="N153" s="257" t="e">
        <f t="shared" ca="1" si="323"/>
        <v>#DIV/0!</v>
      </c>
      <c r="O153" s="258">
        <f t="shared" ca="1" si="324"/>
        <v>0</v>
      </c>
      <c r="P153" s="258">
        <f t="shared" ca="1" si="325"/>
        <v>0</v>
      </c>
      <c r="Q153" s="258">
        <f t="shared" ca="1" si="326"/>
        <v>0</v>
      </c>
      <c r="R153" s="259">
        <f t="shared" ca="1" si="327"/>
        <v>0</v>
      </c>
      <c r="S153" s="545">
        <f t="shared" ca="1" si="306"/>
        <v>0</v>
      </c>
      <c r="T153" s="546">
        <f t="shared" ca="1" si="307"/>
        <v>0</v>
      </c>
      <c r="U153" s="83"/>
      <c r="V153" s="327" t="str">
        <f t="shared" ca="1" si="404"/>
        <v>Low</v>
      </c>
      <c r="W153" s="327" t="str">
        <f t="shared" ca="1" si="405"/>
        <v>Low</v>
      </c>
      <c r="X153" s="328" t="str">
        <f t="shared" ca="1" si="406"/>
        <v>Dog</v>
      </c>
    </row>
    <row r="154" spans="1:40" ht="18.75" customHeight="1" x14ac:dyDescent="0.35">
      <c r="A154" s="366">
        <v>5</v>
      </c>
      <c r="B154" s="518" t="s">
        <v>519</v>
      </c>
      <c r="C154" s="365" t="str">
        <f>VLOOKUP(B154,'SG01'!$B:$E,2,0)</f>
        <v>Phí Đồ Ăn</v>
      </c>
      <c r="D154" s="365"/>
      <c r="E154" s="468" t="str">
        <f>VLOOKUP(B154,'SG01'!$B:$E,4,0)</f>
        <v>Đĩa</v>
      </c>
      <c r="F154" s="61"/>
      <c r="G154" s="61" t="e">
        <f t="shared" ca="1" si="402"/>
        <v>#DIV/0!</v>
      </c>
      <c r="H154" s="254" t="e">
        <f t="shared" ca="1" si="387"/>
        <v>#DIV/0!</v>
      </c>
      <c r="I154" s="255">
        <f ca="1">(SUMIF('SG01'!$B:$B,$B154,'SG01'!I:I)*SG01_+SUMIF('SG02'!$B:$B,$B154,'SG02'!I:I)*SG02_+SUMIF('SG03'!$B:$B,$B154,'SG03'!I:I)*SG03_+SUMIF('SG04'!$B:$B,$B154,'SG04'!I:I)*SG04_+SUMIF('SG05'!$B:$B,$B154,'SG05'!I:I)*SG05_+SUMIF('SG06'!$B:$B,$B154,'SG06'!I:I)*SG06_+SUMIF('SG07'!$B:$B,$B154,'SG07'!I:I)*SG07_+SUMIF('SG08'!$B:$B,$B154,'SG08'!I:I)*SG08_+SUMIF('SG09'!$B:$B,$B154,'SG09'!I:I)*SG09_+SUMIF('SG10'!$B:$B,$B154,'SG10'!I:I)*SG10_+SUMIF('SG11'!$B:$B,$B154,'SG11'!I:I)*SG11_+SUMIF('SG12'!$B:$B,$B154,'SG12'!I:I)*SG12_+SUMIF('SG13'!$B:$B,$B154,'SG13'!I:I)*SG13_+SUMIF('SG14'!$B:$B,$B154,'SG14'!I:I)*SG14_+SUMIF('SG15'!$B:$B,$B154,'SG15'!I:I)*SG15_)</f>
        <v>0</v>
      </c>
      <c r="J154" s="256"/>
      <c r="K154" s="61">
        <f ca="1">(SUMIF('SG01'!$B:$B,$B154,'SG01'!K:K)*SG01_+SUMIF('SG02'!$B:$B,$B154,'SG02'!K:K)*SG02_+SUMIF('SG03'!$B:$B,$B154,'SG03'!K:K)*SG03_+SUMIF('SG04'!$B:$B,$B154,'SG04'!K:K)*SG04_+SUMIF('SG05'!$B:$B,$B154,'SG05'!K:K)*SG05_+SUMIF('SG06'!$B:$B,$B154,'SG06'!K:K)*SG06_+SUMIF('SG07'!$B:$B,$B154,'SG07'!K:K)*SG07_+SUMIF('SG08'!$B:$B,$B154,'SG08'!K:K)*SG08_+SUMIF('SG09'!$B:$B,$B154,'SG09'!K:K)*SG09_+SUMIF('SG10'!$B:$B,$B154,'SG10'!K:K)*SG10_+SUMIF('SG11'!$B:$B,$B154,'SG11'!K:K)*SG11_+SUMIF('SG12'!$B:$B,$B154,'SG12'!K:K)*SG12_+SUMIF('SG13'!$B:$B,$B154,'SG13'!K:K)*SG13_+SUMIF('SG14'!$B:$B,$B154,'SG14'!K:K)*SG14_+SUMIF('SG15'!$B:$B,$B154,'SG15'!K:K)*SG15_)</f>
        <v>0</v>
      </c>
      <c r="L154" s="61">
        <f ca="1">(SUMIF('SG01'!$B:$B,$B154,'SG01'!L:L)*SG01_+SUMIF('SG02'!$B:$B,$B154,'SG02'!L:L)*SG02_+SUMIF('SG03'!$B:$B,$B154,'SG03'!L:L)*SG03_+SUMIF('SG04'!$B:$B,$B154,'SG04'!L:L)*SG04_+SUMIF('SG05'!$B:$B,$B154,'SG05'!L:L)*SG05_+SUMIF('SG06'!$B:$B,$B154,'SG06'!L:L)*SG06_+SUMIF('SG07'!$B:$B,$B154,'SG07'!L:L)*SG07_+SUMIF('SG08'!$B:$B,$B154,'SG08'!L:L)*SG08_+SUMIF('SG09'!$B:$B,$B154,'SG09'!L:L)*SG09_+SUMIF('SG10'!$B:$B,$B154,'SG10'!L:L)*SG10_+SUMIF('SG11'!$B:$B,$B154,'SG11'!L:L)*SG11_+SUMIF('SG12'!$B:$B,$B154,'SG12'!L:L)*SG12_+SUMIF('SG13'!$B:$B,$B154,'SG13'!L:L)*SG13_+SUMIF('SG14'!$B:$B,$B154,'SG14'!L:L)*SG14_+SUMIF('SG15'!$B:$B,$B154,'SG15'!L:L)*SG15_)</f>
        <v>0</v>
      </c>
      <c r="M154" s="253">
        <f t="shared" ca="1" si="403"/>
        <v>0</v>
      </c>
      <c r="N154" s="257" t="e">
        <f t="shared" ca="1" si="323"/>
        <v>#DIV/0!</v>
      </c>
      <c r="O154" s="258">
        <f t="shared" ca="1" si="324"/>
        <v>0</v>
      </c>
      <c r="P154" s="258">
        <f t="shared" ca="1" si="325"/>
        <v>0</v>
      </c>
      <c r="Q154" s="258">
        <f t="shared" ca="1" si="326"/>
        <v>0</v>
      </c>
      <c r="R154" s="259">
        <f t="shared" ca="1" si="327"/>
        <v>0</v>
      </c>
      <c r="S154" s="545">
        <f t="shared" ca="1" si="306"/>
        <v>0</v>
      </c>
      <c r="T154" s="546">
        <f t="shared" ca="1" si="307"/>
        <v>0</v>
      </c>
      <c r="U154" s="83"/>
      <c r="V154" s="327" t="str">
        <f t="shared" ca="1" si="404"/>
        <v>Low</v>
      </c>
      <c r="W154" s="327" t="str">
        <f t="shared" ca="1" si="405"/>
        <v>Low</v>
      </c>
      <c r="X154" s="328" t="str">
        <f t="shared" ca="1" si="406"/>
        <v>Dog</v>
      </c>
    </row>
    <row r="155" spans="1:40" ht="18.75" customHeight="1" x14ac:dyDescent="0.35">
      <c r="A155" s="76"/>
      <c r="B155" s="278"/>
      <c r="C155" s="278"/>
      <c r="D155" s="260"/>
      <c r="E155" s="278"/>
      <c r="F155" s="62"/>
      <c r="G155" s="62"/>
      <c r="H155" s="261"/>
      <c r="I155" s="262"/>
      <c r="J155" s="263"/>
      <c r="K155" s="62"/>
      <c r="L155" s="62"/>
      <c r="M155" s="260"/>
      <c r="N155" s="264"/>
      <c r="O155" s="265"/>
      <c r="P155" s="265"/>
      <c r="Q155" s="265"/>
      <c r="R155" s="266"/>
      <c r="S155" s="266">
        <f t="shared" ca="1" si="306"/>
        <v>0</v>
      </c>
      <c r="T155" s="266">
        <f t="shared" ca="1" si="307"/>
        <v>0</v>
      </c>
      <c r="U155" s="83"/>
      <c r="V155" s="271"/>
      <c r="W155" s="271"/>
      <c r="X155" s="272"/>
    </row>
    <row r="156" spans="1:40" ht="18.75" customHeight="1" x14ac:dyDescent="0.35"/>
  </sheetData>
  <sheetProtection formatColumns="0" formatRows="0" autoFilter="0"/>
  <autoFilter ref="A10:T155"/>
  <mergeCells count="28">
    <mergeCell ref="V10:W10"/>
    <mergeCell ref="V12:W12"/>
    <mergeCell ref="L4:M4"/>
    <mergeCell ref="N4:O4"/>
    <mergeCell ref="L5:M5"/>
    <mergeCell ref="N5:O5"/>
    <mergeCell ref="P7:P8"/>
    <mergeCell ref="G5:I5"/>
    <mergeCell ref="L7:L8"/>
    <mergeCell ref="M7:M8"/>
    <mergeCell ref="N7:N8"/>
    <mergeCell ref="O7:O8"/>
    <mergeCell ref="AD6:AG6"/>
    <mergeCell ref="AH6:AK6"/>
    <mergeCell ref="B7:B8"/>
    <mergeCell ref="C7:C8"/>
    <mergeCell ref="D7:D8"/>
    <mergeCell ref="E7:E8"/>
    <mergeCell ref="K7:K8"/>
    <mergeCell ref="AB7:AB8"/>
    <mergeCell ref="AC7:AC8"/>
    <mergeCell ref="Q7:Q8"/>
    <mergeCell ref="R7:R8"/>
    <mergeCell ref="V7:V8"/>
    <mergeCell ref="W7:W8"/>
    <mergeCell ref="X7:X8"/>
    <mergeCell ref="S7:S8"/>
    <mergeCell ref="T7:T8"/>
  </mergeCells>
  <phoneticPr fontId="51" type="noConversion"/>
  <conditionalFormatting sqref="B14">
    <cfRule type="duplicateValues" dxfId="602" priority="124"/>
  </conditionalFormatting>
  <conditionalFormatting sqref="B17:B30">
    <cfRule type="duplicateValues" dxfId="601" priority="3015"/>
  </conditionalFormatting>
  <conditionalFormatting sqref="B32:B41">
    <cfRule type="duplicateValues" dxfId="600" priority="3000"/>
  </conditionalFormatting>
  <conditionalFormatting sqref="B33:B41">
    <cfRule type="duplicateValues" dxfId="599" priority="3002"/>
  </conditionalFormatting>
  <conditionalFormatting sqref="B42 B31 B15:B16">
    <cfRule type="duplicateValues" dxfId="598" priority="123"/>
  </conditionalFormatting>
  <conditionalFormatting sqref="B43:B66">
    <cfRule type="duplicateValues" dxfId="597" priority="3016"/>
  </conditionalFormatting>
  <conditionalFormatting sqref="B68:B82">
    <cfRule type="duplicateValues" dxfId="596" priority="3025"/>
  </conditionalFormatting>
  <conditionalFormatting sqref="B84:B89">
    <cfRule type="duplicateValues" dxfId="595" priority="2982"/>
  </conditionalFormatting>
  <conditionalFormatting sqref="B90">
    <cfRule type="duplicateValues" dxfId="594" priority="1229"/>
  </conditionalFormatting>
  <conditionalFormatting sqref="B91:B97">
    <cfRule type="duplicateValues" dxfId="593" priority="67"/>
  </conditionalFormatting>
  <conditionalFormatting sqref="B99:B105">
    <cfRule type="duplicateValues" dxfId="592" priority="3034"/>
  </conditionalFormatting>
  <conditionalFormatting sqref="B106:B111">
    <cfRule type="duplicateValues" dxfId="591" priority="2973"/>
  </conditionalFormatting>
  <conditionalFormatting sqref="B114:B120">
    <cfRule type="duplicateValues" dxfId="590" priority="3013"/>
  </conditionalFormatting>
  <conditionalFormatting sqref="B144">
    <cfRule type="duplicateValues" dxfId="589" priority="107"/>
  </conditionalFormatting>
  <conditionalFormatting sqref="B145">
    <cfRule type="duplicateValues" dxfId="588" priority="10"/>
    <cfRule type="duplicateValues" dxfId="587" priority="11"/>
  </conditionalFormatting>
  <conditionalFormatting sqref="B146">
    <cfRule type="duplicateValues" dxfId="586" priority="8"/>
    <cfRule type="duplicateValues" dxfId="585" priority="12"/>
  </conditionalFormatting>
  <conditionalFormatting sqref="B147">
    <cfRule type="duplicateValues" dxfId="584" priority="5"/>
    <cfRule type="duplicateValues" dxfId="583" priority="7"/>
  </conditionalFormatting>
  <conditionalFormatting sqref="B149:B154">
    <cfRule type="duplicateValues" dxfId="582" priority="2815"/>
  </conditionalFormatting>
  <conditionalFormatting sqref="B155 B148 B10:B13 B67 B83 B98 B112:B113">
    <cfRule type="duplicateValues" dxfId="581" priority="1242"/>
  </conditionalFormatting>
  <conditionalFormatting sqref="B43:C43 B44:B66">
    <cfRule type="duplicateValues" dxfId="580" priority="3024"/>
  </conditionalFormatting>
  <conditionalFormatting sqref="B68:C68 B69:B82">
    <cfRule type="duplicateValues" dxfId="579" priority="3033"/>
  </conditionalFormatting>
  <conditionalFormatting sqref="B84:C84 B85:B89">
    <cfRule type="duplicateValues" dxfId="578" priority="2990"/>
  </conditionalFormatting>
  <conditionalFormatting sqref="B91:C91 B92:B97">
    <cfRule type="duplicateValues" dxfId="577" priority="68"/>
  </conditionalFormatting>
  <conditionalFormatting sqref="B99:C99 B100:B105">
    <cfRule type="duplicateValues" dxfId="576" priority="3042"/>
  </conditionalFormatting>
  <conditionalFormatting sqref="B106:C106 B107:B111">
    <cfRule type="duplicateValues" dxfId="575" priority="2981"/>
  </conditionalFormatting>
  <conditionalFormatting sqref="B120:C120 B114:C114 B115:B119">
    <cfRule type="duplicateValues" dxfId="574" priority="2548"/>
  </conditionalFormatting>
  <conditionalFormatting sqref="B126:C126 B121:C121 B122:B125">
    <cfRule type="duplicateValues" dxfId="573" priority="2594"/>
  </conditionalFormatting>
  <conditionalFormatting sqref="B143:C143 B127:C127 B128:B142">
    <cfRule type="duplicateValues" dxfId="572" priority="2601"/>
  </conditionalFormatting>
  <conditionalFormatting sqref="B149:C149 B150:B154">
    <cfRule type="duplicateValues" dxfId="571" priority="2817"/>
  </conditionalFormatting>
  <conditionalFormatting sqref="C146">
    <cfRule type="duplicateValues" dxfId="570" priority="13"/>
  </conditionalFormatting>
  <conditionalFormatting sqref="C147">
    <cfRule type="duplicateValues" dxfId="569" priority="6"/>
  </conditionalFormatting>
  <conditionalFormatting sqref="C150:C154 C15 B18:C30 C33:C41 C44:C66 C69:C82 C85:C89 C92:C97 C107:C111 C115:C119 C122:C125 C100:C105 C128:C142">
    <cfRule type="duplicateValues" dxfId="568" priority="2819"/>
  </conditionalFormatting>
  <conditionalFormatting sqref="C155 C90 C67 C14 C31 C42 C83 C98 C16 C112:C113 C144:C145 C148">
    <cfRule type="duplicateValues" dxfId="567" priority="2461"/>
    <cfRule type="duplicateValues" dxfId="566" priority="2462"/>
  </conditionalFormatting>
  <conditionalFormatting sqref="C155 C90 C67 C16 C31 C42 C83 C98 C112:C113 C144:C145 C148">
    <cfRule type="duplicateValues" dxfId="565" priority="2487"/>
  </conditionalFormatting>
  <conditionalFormatting sqref="J2:J3 J11:J155">
    <cfRule type="cellIs" dxfId="564" priority="248" operator="equal">
      <formula>"Disc"</formula>
    </cfRule>
  </conditionalFormatting>
  <conditionalFormatting sqref="J7:J9 I114">
    <cfRule type="cellIs" dxfId="563" priority="140" operator="equal">
      <formula>"Disc"</formula>
    </cfRule>
  </conditionalFormatting>
  <conditionalFormatting sqref="V2:V5">
    <cfRule type="containsText" dxfId="562" priority="244" operator="containsText" text="dog">
      <formula>NOT(ISERROR(SEARCH("dog",V2)))</formula>
    </cfRule>
    <cfRule type="containsText" dxfId="561" priority="245" operator="containsText" text="star">
      <formula>NOT(ISERROR(SEARCH("star",V2)))</formula>
    </cfRule>
    <cfRule type="containsText" dxfId="560" priority="246" operator="containsText" text="PUZZLE">
      <formula>NOT(ISERROR(SEARCH("PUZZLE",V2)))</formula>
    </cfRule>
    <cfRule type="containsText" dxfId="559" priority="247" operator="containsText" text="HORSE">
      <formula>NOT(ISERROR(SEARCH("HORSE",V2)))</formula>
    </cfRule>
  </conditionalFormatting>
  <conditionalFormatting sqref="X15 X44:X82 X147:X155 X85:X145">
    <cfRule type="containsText" dxfId="558" priority="241" operator="containsText" text="dog">
      <formula>NOT(ISERROR(SEARCH("dog",X15)))</formula>
    </cfRule>
    <cfRule type="containsText" dxfId="557" priority="242" operator="containsText" text="puzzle">
      <formula>NOT(ISERROR(SEARCH("puzzle",X15)))</formula>
    </cfRule>
    <cfRule type="containsText" dxfId="556" priority="243" operator="containsText" text="horse">
      <formula>NOT(ISERROR(SEARCH("horse",X15)))</formula>
    </cfRule>
  </conditionalFormatting>
  <conditionalFormatting sqref="X18:X30 X33:X41 X112 X127:X142 X149:X155 X121:X125">
    <cfRule type="containsText" dxfId="555" priority="82" operator="containsText" text="star">
      <formula>NOT(ISERROR(SEARCH("star",X18)))</formula>
    </cfRule>
    <cfRule type="containsText" dxfId="554" priority="83" operator="containsText" text="dog">
      <formula>NOT(ISERROR(SEARCH("dog",X18)))</formula>
    </cfRule>
    <cfRule type="containsText" dxfId="553" priority="84" operator="containsText" text="puzzle">
      <formula>NOT(ISERROR(SEARCH("puzzle",X18)))</formula>
    </cfRule>
    <cfRule type="containsText" dxfId="552" priority="85" operator="containsText" text="horse">
      <formula>NOT(ISERROR(SEARCH("horse",X18)))</formula>
    </cfRule>
  </conditionalFormatting>
  <conditionalFormatting sqref="X147:X155 X15 X44:X82 X85:X145">
    <cfRule type="containsText" dxfId="551" priority="240" operator="containsText" text="star">
      <formula>NOT(ISERROR(SEARCH("star",X15)))</formula>
    </cfRule>
  </conditionalFormatting>
  <conditionalFormatting sqref="X146:X147">
    <cfRule type="containsText" dxfId="550" priority="1" operator="containsText" text="star">
      <formula>NOT(ISERROR(SEARCH("star",X146)))</formula>
    </cfRule>
    <cfRule type="containsText" dxfId="549" priority="2" operator="containsText" text="dog">
      <formula>NOT(ISERROR(SEARCH("dog",X146)))</formula>
    </cfRule>
    <cfRule type="containsText" dxfId="548" priority="3" operator="containsText" text="puzzle">
      <formula>NOT(ISERROR(SEARCH("puzzle",X146)))</formula>
    </cfRule>
    <cfRule type="containsText" dxfId="547" priority="4" operator="containsText" text="horse">
      <formula>NOT(ISERROR(SEARCH("horse",X146)))</formula>
    </cfRule>
  </conditionalFormatting>
  <conditionalFormatting sqref="AA146">
    <cfRule type="duplicateValues" dxfId="546" priority="14"/>
  </conditionalFormatting>
  <conditionalFormatting sqref="AB7:AB8">
    <cfRule type="duplicateValues" dxfId="545" priority="91"/>
  </conditionalFormatting>
  <conditionalFormatting sqref="B121:B143">
    <cfRule type="duplicateValues" dxfId="544" priority="3043"/>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W324"/>
  <sheetViews>
    <sheetView tabSelected="1" topLeftCell="N1" zoomScale="70" zoomScaleNormal="70" workbookViewId="0">
      <pane ySplit="10" topLeftCell="A11" activePane="bottomLeft" state="frozen"/>
      <selection pane="bottomLeft" activeCell="S17" sqref="S17"/>
    </sheetView>
  </sheetViews>
  <sheetFormatPr defaultColWidth="12.54296875" defaultRowHeight="13" outlineLevelCol="1" x14ac:dyDescent="0.3"/>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6.0898437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8.81640625" style="375" customWidth="1"/>
    <col min="38" max="38" width="17.26953125" style="376" customWidth="1"/>
    <col min="39" max="39" width="7.54296875" style="84" customWidth="1"/>
    <col min="40" max="40" width="17.26953125" style="84" customWidth="1"/>
    <col min="41" max="16384" width="12.54296875" style="84"/>
  </cols>
  <sheetData>
    <row r="1" spans="1:49" ht="4.5" customHeight="1" x14ac:dyDescent="0.3">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76"/>
      <c r="AN1" s="76"/>
    </row>
    <row r="2" spans="1:49" ht="24.75" customHeight="1" x14ac:dyDescent="0.3">
      <c r="A2" s="377"/>
      <c r="B2" s="378" t="s">
        <v>472</v>
      </c>
      <c r="C2" s="377"/>
      <c r="D2" s="377"/>
      <c r="E2" s="369"/>
      <c r="F2" s="379"/>
      <c r="G2" s="380"/>
      <c r="H2" s="380"/>
      <c r="I2" s="377"/>
      <c r="J2" s="377"/>
      <c r="K2" s="377"/>
      <c r="L2" s="377"/>
      <c r="M2" s="377"/>
      <c r="N2" s="369"/>
      <c r="O2" s="371"/>
      <c r="P2" s="371"/>
      <c r="Q2" s="371"/>
      <c r="R2" s="372"/>
      <c r="S2" s="372"/>
      <c r="T2" s="381"/>
      <c r="U2" s="381"/>
      <c r="V2" s="382" t="s">
        <v>353</v>
      </c>
      <c r="W2" s="383" t="s">
        <v>354</v>
      </c>
      <c r="X2" s="383"/>
      <c r="Y2" s="383"/>
      <c r="AA2" s="377"/>
      <c r="AB2" s="377"/>
      <c r="AC2" s="377"/>
      <c r="AD2" s="377"/>
      <c r="AE2" s="377"/>
      <c r="AF2" s="377"/>
      <c r="AG2" s="377"/>
      <c r="AH2" s="377"/>
      <c r="AI2" s="377"/>
      <c r="AJ2" s="377"/>
      <c r="AK2" s="384"/>
      <c r="AL2" s="385"/>
      <c r="AM2" s="85"/>
      <c r="AN2" s="85"/>
    </row>
    <row r="3" spans="1:49" ht="34.5" customHeight="1" x14ac:dyDescent="0.3">
      <c r="A3" s="366"/>
      <c r="B3" s="378" t="s">
        <v>0</v>
      </c>
      <c r="C3" s="366"/>
      <c r="D3" s="366"/>
      <c r="E3" s="367"/>
      <c r="F3" s="368"/>
      <c r="G3" s="367"/>
      <c r="H3" s="367"/>
      <c r="I3" s="369"/>
      <c r="J3" s="366"/>
      <c r="K3" s="386"/>
      <c r="L3" s="387"/>
      <c r="M3" s="388"/>
      <c r="N3" s="389"/>
      <c r="O3" s="390"/>
      <c r="P3" s="371"/>
      <c r="Q3" s="371"/>
      <c r="R3" s="372"/>
      <c r="S3" s="372"/>
      <c r="T3" s="373"/>
      <c r="U3" s="373"/>
      <c r="V3" s="382" t="s">
        <v>355</v>
      </c>
      <c r="W3" s="391" t="s">
        <v>356</v>
      </c>
      <c r="X3" s="391"/>
      <c r="Y3" s="391"/>
      <c r="AA3" s="366"/>
      <c r="AB3" s="366"/>
      <c r="AC3" s="366"/>
      <c r="AD3" s="366"/>
      <c r="AE3" s="366"/>
      <c r="AF3" s="366"/>
      <c r="AG3" s="366"/>
      <c r="AH3" s="366"/>
      <c r="AI3" s="366"/>
      <c r="AJ3" s="366"/>
      <c r="AM3" s="76"/>
      <c r="AN3" s="76"/>
    </row>
    <row r="4" spans="1:49" ht="30" customHeight="1" thickBot="1" x14ac:dyDescent="0.35">
      <c r="A4" s="366"/>
      <c r="B4" s="392" t="s">
        <v>1</v>
      </c>
      <c r="C4" s="663" t="s">
        <v>473</v>
      </c>
      <c r="D4" s="664"/>
      <c r="E4" s="393"/>
      <c r="F4" s="368"/>
      <c r="G4" s="367"/>
      <c r="H4" s="367"/>
      <c r="I4" s="369"/>
      <c r="J4" s="366"/>
      <c r="K4" s="570" t="s">
        <v>18</v>
      </c>
      <c r="L4" s="669" t="s">
        <v>19</v>
      </c>
      <c r="M4" s="669"/>
      <c r="N4" s="669" t="s">
        <v>20</v>
      </c>
      <c r="O4" s="669"/>
      <c r="P4" s="394" t="s">
        <v>21</v>
      </c>
      <c r="Q4" s="371"/>
      <c r="R4" s="372"/>
      <c r="S4" s="582" t="s">
        <v>464</v>
      </c>
      <c r="T4" s="583">
        <v>1257</v>
      </c>
      <c r="U4" s="373"/>
      <c r="V4" s="382" t="s">
        <v>357</v>
      </c>
      <c r="W4" s="391" t="s">
        <v>358</v>
      </c>
      <c r="Y4" s="391"/>
      <c r="AA4" s="366"/>
      <c r="AB4" s="366"/>
      <c r="AC4" s="366"/>
      <c r="AD4" s="366"/>
      <c r="AE4" s="366"/>
      <c r="AF4" s="366"/>
      <c r="AG4" s="366"/>
      <c r="AH4" s="366"/>
      <c r="AI4" s="366"/>
      <c r="AJ4" s="366"/>
      <c r="AM4" s="76"/>
      <c r="AN4" s="76"/>
    </row>
    <row r="5" spans="1:49" ht="30" customHeight="1" thickBot="1" x14ac:dyDescent="0.35">
      <c r="A5" s="366"/>
      <c r="B5" s="392" t="s">
        <v>2</v>
      </c>
      <c r="C5" s="663" t="s">
        <v>754</v>
      </c>
      <c r="D5" s="664"/>
      <c r="E5" s="393"/>
      <c r="F5" s="368"/>
      <c r="G5" s="367"/>
      <c r="H5" s="367"/>
      <c r="I5" s="369"/>
      <c r="J5" s="366"/>
      <c r="K5" s="395">
        <v>3693</v>
      </c>
      <c r="L5" s="671">
        <f>L10</f>
        <v>1550563000</v>
      </c>
      <c r="M5" s="671"/>
      <c r="N5" s="670">
        <f>L5/K5</f>
        <v>419865.42106688331</v>
      </c>
      <c r="O5" s="670"/>
      <c r="P5" s="396">
        <f>K10/L10</f>
        <v>0.33646929639498285</v>
      </c>
      <c r="Q5" s="371"/>
      <c r="R5" s="372"/>
      <c r="S5" s="537" t="s">
        <v>456</v>
      </c>
      <c r="T5" s="538">
        <f>K5/T4</f>
        <v>2.9379474940334127</v>
      </c>
      <c r="U5" s="373"/>
      <c r="V5" s="382" t="s">
        <v>359</v>
      </c>
      <c r="W5" s="391" t="s">
        <v>360</v>
      </c>
      <c r="Y5" s="391"/>
      <c r="AA5" s="366"/>
      <c r="AB5" s="397" t="s">
        <v>18</v>
      </c>
      <c r="AC5" s="398"/>
      <c r="AD5" s="399">
        <f>K5</f>
        <v>3693</v>
      </c>
      <c r="AE5" s="400"/>
      <c r="AF5" s="366"/>
      <c r="AG5" s="398"/>
      <c r="AH5" s="399">
        <v>3521</v>
      </c>
      <c r="AI5" s="366"/>
      <c r="AJ5" s="366"/>
      <c r="AM5" s="76"/>
      <c r="AN5" s="76"/>
    </row>
    <row r="6" spans="1:49" ht="17.25" customHeight="1" x14ac:dyDescent="0.3">
      <c r="A6" s="366"/>
      <c r="B6" s="366">
        <v>1</v>
      </c>
      <c r="C6" s="366">
        <v>2</v>
      </c>
      <c r="D6" s="366">
        <v>3</v>
      </c>
      <c r="E6" s="367">
        <v>4</v>
      </c>
      <c r="F6" s="366">
        <v>5</v>
      </c>
      <c r="G6" s="366">
        <v>6</v>
      </c>
      <c r="H6" s="366">
        <v>7</v>
      </c>
      <c r="I6" s="401">
        <v>8</v>
      </c>
      <c r="J6" s="366">
        <v>9</v>
      </c>
      <c r="K6" s="366">
        <v>10</v>
      </c>
      <c r="L6" s="366">
        <v>11</v>
      </c>
      <c r="M6" s="366">
        <v>12</v>
      </c>
      <c r="N6" s="366">
        <v>13</v>
      </c>
      <c r="O6" s="366">
        <v>14</v>
      </c>
      <c r="P6" s="366">
        <v>15</v>
      </c>
      <c r="Q6" s="366">
        <v>16</v>
      </c>
      <c r="R6" s="366">
        <v>17</v>
      </c>
      <c r="S6" s="366">
        <v>18</v>
      </c>
      <c r="T6" s="366">
        <v>19</v>
      </c>
      <c r="U6" s="366"/>
      <c r="V6" s="366">
        <v>20</v>
      </c>
      <c r="W6" s="366">
        <v>21</v>
      </c>
      <c r="X6" s="366">
        <v>22</v>
      </c>
      <c r="AC6" s="660" t="str">
        <f>C5</f>
        <v>01.09.2026-&gt;30.09.2026</v>
      </c>
      <c r="AD6" s="660"/>
      <c r="AE6" s="660"/>
      <c r="AF6" s="660"/>
      <c r="AG6" s="660" t="s">
        <v>753</v>
      </c>
      <c r="AH6" s="660"/>
      <c r="AI6" s="660"/>
      <c r="AJ6" s="660"/>
    </row>
    <row r="7" spans="1:49" ht="25.9" customHeight="1" x14ac:dyDescent="0.3">
      <c r="A7" s="400"/>
      <c r="B7" s="678" t="s">
        <v>3</v>
      </c>
      <c r="C7" s="680" t="s">
        <v>4</v>
      </c>
      <c r="D7" s="680" t="s">
        <v>414</v>
      </c>
      <c r="E7" s="682" t="s">
        <v>5</v>
      </c>
      <c r="F7" s="402" t="s">
        <v>6</v>
      </c>
      <c r="G7" s="567" t="s">
        <v>7</v>
      </c>
      <c r="H7" s="567" t="s">
        <v>8</v>
      </c>
      <c r="I7" s="403" t="s">
        <v>9</v>
      </c>
      <c r="J7" s="567"/>
      <c r="K7" s="680" t="s">
        <v>10</v>
      </c>
      <c r="L7" s="680" t="s">
        <v>22</v>
      </c>
      <c r="M7" s="680" t="s">
        <v>23</v>
      </c>
      <c r="N7" s="684" t="s">
        <v>24</v>
      </c>
      <c r="O7" s="665" t="s">
        <v>25</v>
      </c>
      <c r="P7" s="665" t="s">
        <v>26</v>
      </c>
      <c r="Q7" s="665" t="s">
        <v>27</v>
      </c>
      <c r="R7" s="667" t="s">
        <v>11</v>
      </c>
      <c r="S7" s="672" t="s">
        <v>457</v>
      </c>
      <c r="T7" s="674" t="s">
        <v>458</v>
      </c>
      <c r="U7" s="404"/>
      <c r="V7" s="658" t="s">
        <v>361</v>
      </c>
      <c r="W7" s="658" t="s">
        <v>362</v>
      </c>
      <c r="X7" s="658" t="s">
        <v>363</v>
      </c>
      <c r="Y7" s="405"/>
      <c r="AA7" s="661" t="s">
        <v>442</v>
      </c>
      <c r="AB7" s="656" t="s">
        <v>443</v>
      </c>
      <c r="AC7" s="406" t="s">
        <v>22</v>
      </c>
      <c r="AD7" s="407" t="s">
        <v>20</v>
      </c>
      <c r="AE7" s="407" t="s">
        <v>15</v>
      </c>
      <c r="AF7" s="407" t="s">
        <v>11</v>
      </c>
      <c r="AG7" s="406" t="s">
        <v>22</v>
      </c>
      <c r="AH7" s="407" t="s">
        <v>20</v>
      </c>
      <c r="AI7" s="407" t="s">
        <v>15</v>
      </c>
      <c r="AJ7" s="407" t="s">
        <v>11</v>
      </c>
      <c r="AK7" s="408" t="s">
        <v>444</v>
      </c>
      <c r="AL7" s="409" t="s">
        <v>445</v>
      </c>
      <c r="AM7" s="100"/>
      <c r="AN7" s="100"/>
    </row>
    <row r="8" spans="1:49" ht="17.25" customHeight="1" x14ac:dyDescent="0.3">
      <c r="A8" s="410"/>
      <c r="B8" s="679"/>
      <c r="C8" s="681"/>
      <c r="D8" s="681"/>
      <c r="E8" s="683"/>
      <c r="F8" s="411" t="s">
        <v>12</v>
      </c>
      <c r="G8" s="568" t="s">
        <v>13</v>
      </c>
      <c r="H8" s="568" t="s">
        <v>14</v>
      </c>
      <c r="I8" s="412" t="s">
        <v>15</v>
      </c>
      <c r="J8" s="413"/>
      <c r="K8" s="681"/>
      <c r="L8" s="681"/>
      <c r="M8" s="681"/>
      <c r="N8" s="685"/>
      <c r="O8" s="666"/>
      <c r="P8" s="666"/>
      <c r="Q8" s="666"/>
      <c r="R8" s="668"/>
      <c r="S8" s="673"/>
      <c r="T8" s="675"/>
      <c r="U8" s="404"/>
      <c r="V8" s="659"/>
      <c r="W8" s="659"/>
      <c r="X8" s="659"/>
      <c r="Y8" s="415"/>
      <c r="AA8" s="662"/>
      <c r="AB8" s="657"/>
      <c r="AC8" s="573">
        <f t="shared" ref="AC8:AJ8" si="0">SUM(AC9:AC33)</f>
        <v>1471703000</v>
      </c>
      <c r="AD8" s="573">
        <f t="shared" si="0"/>
        <v>398511.50825886818</v>
      </c>
      <c r="AE8" s="573">
        <f t="shared" si="0"/>
        <v>13974</v>
      </c>
      <c r="AF8" s="573">
        <f t="shared" si="0"/>
        <v>378.39155158407794</v>
      </c>
      <c r="AG8" s="573">
        <f t="shared" si="0"/>
        <v>1403621000</v>
      </c>
      <c r="AH8" s="573">
        <f t="shared" si="0"/>
        <v>398642.7151377449</v>
      </c>
      <c r="AI8" s="573">
        <f t="shared" si="0"/>
        <v>13393</v>
      </c>
      <c r="AJ8" s="573">
        <f t="shared" si="0"/>
        <v>380.3748934961659</v>
      </c>
      <c r="AK8" s="573">
        <f>SUM(AK9:AK47)</f>
        <v>-131.20687887683954</v>
      </c>
      <c r="AL8" s="573">
        <f>SUM(AL9:AL47)</f>
        <v>-1.9833419120878952</v>
      </c>
      <c r="AM8" s="115"/>
      <c r="AN8" s="100"/>
    </row>
    <row r="9" spans="1:49" ht="17.25" customHeight="1" x14ac:dyDescent="0.3">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584" t="s">
        <v>446</v>
      </c>
      <c r="AB9" s="574" t="str">
        <f t="shared" ref="AB9:AB20" si="1">VLOOKUP(AA9,B:D,2,0)</f>
        <v>CHI PHÍ QUẦY LINE NƯỚC CHẤM</v>
      </c>
      <c r="AC9" s="575">
        <f t="shared" ref="AC9:AC20" si="2">VLOOKUP(AA9,$B:$M,11,0)</f>
        <v>0</v>
      </c>
      <c r="AD9" s="575">
        <f>AC9/$AD$5</f>
        <v>0</v>
      </c>
      <c r="AE9" s="575">
        <f t="shared" ref="AE9:AE20" si="3">VLOOKUP(AA9,$B:$M,8,0)</f>
        <v>1</v>
      </c>
      <c r="AF9" s="576">
        <f>AE9/$AD$5*100</f>
        <v>2.7078256160303276E-2</v>
      </c>
      <c r="AG9" s="575">
        <v>0</v>
      </c>
      <c r="AH9" s="575">
        <v>0</v>
      </c>
      <c r="AI9" s="575">
        <v>1</v>
      </c>
      <c r="AJ9" s="576">
        <v>2.8401022436807723E-2</v>
      </c>
      <c r="AK9" s="577">
        <f t="shared" ref="AK9:AK20" si="4">AD9-AH9</f>
        <v>0</v>
      </c>
      <c r="AL9" s="578">
        <f>AF9-AJ9</f>
        <v>-1.3227662765044473E-3</v>
      </c>
      <c r="AM9" s="100"/>
      <c r="AN9" s="100"/>
    </row>
    <row r="10" spans="1:49" ht="17.25" customHeight="1" x14ac:dyDescent="0.3">
      <c r="A10" s="400"/>
      <c r="B10" s="429" t="s">
        <v>16</v>
      </c>
      <c r="C10" s="430"/>
      <c r="D10" s="429"/>
      <c r="E10" s="431"/>
      <c r="F10" s="432"/>
      <c r="G10" s="433"/>
      <c r="H10" s="433"/>
      <c r="I10" s="434">
        <f>SUBTOTAL(9,I12:I158)</f>
        <v>16052</v>
      </c>
      <c r="J10" s="420"/>
      <c r="K10" s="420">
        <f>SUBTOTAL(9,K12:K158)</f>
        <v>521716841.6260938</v>
      </c>
      <c r="L10" s="420">
        <f>SUBTOTAL(9,L12:L158)</f>
        <v>1550563000</v>
      </c>
      <c r="M10" s="420">
        <f>SUBTOTAL(9,M12:M158)</f>
        <v>1028846158.3739067</v>
      </c>
      <c r="N10" s="569">
        <f>K10/L10</f>
        <v>0.33646929639498285</v>
      </c>
      <c r="O10" s="421">
        <f>L10/L$10</f>
        <v>1</v>
      </c>
      <c r="P10" s="421">
        <f>M10/M$10</f>
        <v>1</v>
      </c>
      <c r="Q10" s="421">
        <f>I10/I$10</f>
        <v>1</v>
      </c>
      <c r="R10" s="422">
        <f>I10/$K$5*100</f>
        <v>434.66016788518817</v>
      </c>
      <c r="S10" s="541">
        <f>R10*T$5</f>
        <v>1277.008750994431</v>
      </c>
      <c r="T10" s="542">
        <f>SUBTOTAL(9,T12:T346)</f>
        <v>123354256.16547331</v>
      </c>
      <c r="U10" s="404"/>
      <c r="V10" s="676" t="s">
        <v>364</v>
      </c>
      <c r="W10" s="677"/>
      <c r="X10" s="435">
        <v>10</v>
      </c>
      <c r="Y10" s="423"/>
      <c r="Z10" s="436"/>
      <c r="AA10" s="585" t="s">
        <v>474</v>
      </c>
      <c r="AB10" s="579" t="str">
        <f t="shared" si="1"/>
        <v>KHAI VỊ</v>
      </c>
      <c r="AC10" s="424">
        <f t="shared" si="2"/>
        <v>51978000</v>
      </c>
      <c r="AD10" s="424">
        <f>AC10/$AD$5</f>
        <v>14074.735987002437</v>
      </c>
      <c r="AE10" s="424">
        <f t="shared" si="3"/>
        <v>633</v>
      </c>
      <c r="AF10" s="426">
        <f>AE10/$AD$5*100</f>
        <v>17.140536149471973</v>
      </c>
      <c r="AG10" s="424">
        <v>50538000</v>
      </c>
      <c r="AH10" s="424">
        <v>14353.308719113887</v>
      </c>
      <c r="AI10" s="424">
        <v>613</v>
      </c>
      <c r="AJ10" s="426">
        <v>17.409826753763134</v>
      </c>
      <c r="AK10" s="427">
        <f>AD10-AH10</f>
        <v>-278.57273211145002</v>
      </c>
      <c r="AL10" s="428">
        <f>AF10-AJ10</f>
        <v>-0.26929060429116092</v>
      </c>
      <c r="AM10" s="121"/>
      <c r="AN10" s="100"/>
    </row>
    <row r="11" spans="1:49" ht="17.25" customHeight="1" x14ac:dyDescent="0.3">
      <c r="A11" s="400"/>
      <c r="B11" s="420"/>
      <c r="C11" s="438"/>
      <c r="D11" s="420"/>
      <c r="E11" s="567"/>
      <c r="F11" s="439"/>
      <c r="G11" s="440"/>
      <c r="H11" s="440"/>
      <c r="I11" s="441"/>
      <c r="J11" s="420"/>
      <c r="K11" s="420"/>
      <c r="L11" s="420"/>
      <c r="M11" s="420"/>
      <c r="N11" s="569"/>
      <c r="O11" s="421"/>
      <c r="P11" s="421"/>
      <c r="Q11" s="421"/>
      <c r="R11" s="422"/>
      <c r="S11" s="422">
        <f t="shared" ref="S11" si="5">R11*T$5</f>
        <v>0</v>
      </c>
      <c r="T11" s="422">
        <f t="shared" ref="T11" si="6">IFERROR(S11*G11,0)</f>
        <v>0</v>
      </c>
      <c r="U11" s="404"/>
      <c r="V11" s="423"/>
      <c r="W11" s="423"/>
      <c r="X11" s="442"/>
      <c r="Y11" s="423"/>
      <c r="AA11" s="585" t="s">
        <v>475</v>
      </c>
      <c r="AB11" s="579" t="str">
        <f t="shared" si="1"/>
        <v>XIÊN RAU - CỦ - NẤM NƯỚNG</v>
      </c>
      <c r="AC11" s="424">
        <f t="shared" si="2"/>
        <v>13427000</v>
      </c>
      <c r="AD11" s="424">
        <f>AC11/$AD$5</f>
        <v>3635.7974546439209</v>
      </c>
      <c r="AE11" s="424">
        <f t="shared" si="3"/>
        <v>755</v>
      </c>
      <c r="AF11" s="426">
        <f>AE11/$AD$5*100</f>
        <v>20.444083401028973</v>
      </c>
      <c r="AG11" s="424">
        <v>13055000</v>
      </c>
      <c r="AH11" s="424">
        <v>3707.7534791252483</v>
      </c>
      <c r="AI11" s="424">
        <v>733</v>
      </c>
      <c r="AJ11" s="426">
        <v>20.817949446180062</v>
      </c>
      <c r="AK11" s="427">
        <f t="shared" si="4"/>
        <v>-71.956024481327404</v>
      </c>
      <c r="AL11" s="428">
        <f t="shared" ref="AL11:AL20" si="7">AF11-AJ11</f>
        <v>-0.37386604515108957</v>
      </c>
      <c r="AM11" s="121"/>
      <c r="AN11" s="100"/>
    </row>
    <row r="12" spans="1:49" ht="17.25" customHeight="1" x14ac:dyDescent="0.3">
      <c r="A12" s="400"/>
      <c r="B12" s="444" t="s">
        <v>28</v>
      </c>
      <c r="C12" s="445"/>
      <c r="D12" s="445"/>
      <c r="E12" s="446"/>
      <c r="F12" s="447"/>
      <c r="G12" s="448"/>
      <c r="H12" s="446"/>
      <c r="I12" s="434">
        <f>SUBTOTAL(9,I14:I115)</f>
        <v>8244</v>
      </c>
      <c r="J12" s="449"/>
      <c r="K12" s="434">
        <f>SUBTOTAL(9,K14:K115)</f>
        <v>463077384.85277188</v>
      </c>
      <c r="L12" s="434">
        <f>SUBTOTAL(9,L14:L115)</f>
        <v>1403263000</v>
      </c>
      <c r="M12" s="434">
        <f>SUBTOTAL(9,M14:M115)</f>
        <v>940185615.14722824</v>
      </c>
      <c r="N12" s="450">
        <f>K12/L12</f>
        <v>0.33000042390683137</v>
      </c>
      <c r="O12" s="451">
        <f>L12/L$10</f>
        <v>0.90500224757072112</v>
      </c>
      <c r="P12" s="451">
        <f>M12/M$10</f>
        <v>0.91382526677573772</v>
      </c>
      <c r="Q12" s="451">
        <f>I12/I$10</f>
        <v>0.51358086219785692</v>
      </c>
      <c r="R12" s="452">
        <f>I12/$K$5*100</f>
        <v>223.23314378554019</v>
      </c>
      <c r="S12" s="452">
        <f>R12*T$5</f>
        <v>655.84725536992835</v>
      </c>
      <c r="T12" s="452">
        <f>IFERROR(S12*G12,0)</f>
        <v>0</v>
      </c>
      <c r="U12" s="404"/>
      <c r="V12" s="676" t="s">
        <v>365</v>
      </c>
      <c r="W12" s="677"/>
      <c r="X12" s="435">
        <v>10000000</v>
      </c>
      <c r="Y12" s="423"/>
      <c r="AA12" s="585" t="s">
        <v>477</v>
      </c>
      <c r="AB12" s="579" t="str">
        <f t="shared" si="1"/>
        <v>XIÊN THỊT NƯỚNG</v>
      </c>
      <c r="AC12" s="424">
        <f t="shared" si="2"/>
        <v>66828000</v>
      </c>
      <c r="AD12" s="424">
        <f>AC12/$AD$5</f>
        <v>18095.857026807473</v>
      </c>
      <c r="AE12" s="424">
        <f t="shared" si="3"/>
        <v>1651</v>
      </c>
      <c r="AF12" s="426">
        <f>AE12/$AD$5*100</f>
        <v>44.706200920660713</v>
      </c>
      <c r="AG12" s="424">
        <v>64692000</v>
      </c>
      <c r="AH12" s="424">
        <v>18373.189434819655</v>
      </c>
      <c r="AI12" s="424">
        <v>1594</v>
      </c>
      <c r="AJ12" s="426">
        <v>45.271229764271517</v>
      </c>
      <c r="AK12" s="427">
        <f t="shared" si="4"/>
        <v>-277.33240801218199</v>
      </c>
      <c r="AL12" s="428">
        <f t="shared" si="7"/>
        <v>-0.56502884361080419</v>
      </c>
      <c r="AM12" s="100"/>
      <c r="AN12" s="100"/>
    </row>
    <row r="13" spans="1:49" ht="17.25" customHeight="1" x14ac:dyDescent="0.3">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585" t="s">
        <v>479</v>
      </c>
      <c r="AB13" s="579" t="str">
        <f t="shared" si="1"/>
        <v>THỊT BÒ</v>
      </c>
      <c r="AC13" s="424">
        <f t="shared" si="2"/>
        <v>346497000</v>
      </c>
      <c r="AD13" s="424">
        <f t="shared" ref="AD13:AD20" si="8">AC13/$AD$5</f>
        <v>93825.345247766047</v>
      </c>
      <c r="AE13" s="424">
        <f t="shared" si="3"/>
        <v>1717</v>
      </c>
      <c r="AF13" s="426">
        <f t="shared" ref="AF13:AF20" si="9">AE13/$AD$5*100</f>
        <v>46.493365827240723</v>
      </c>
      <c r="AG13" s="424">
        <v>334514000</v>
      </c>
      <c r="AH13" s="424">
        <v>95005.396194262998</v>
      </c>
      <c r="AI13" s="424">
        <v>1655</v>
      </c>
      <c r="AJ13" s="426">
        <v>47.003692132916782</v>
      </c>
      <c r="AK13" s="427">
        <f t="shared" si="4"/>
        <v>-1180.0509464969509</v>
      </c>
      <c r="AL13" s="428">
        <f t="shared" si="7"/>
        <v>-0.51032630567605963</v>
      </c>
      <c r="AM13" s="100"/>
      <c r="AN13" s="100"/>
    </row>
    <row r="14" spans="1:49" s="466" customFormat="1" ht="20.25" customHeight="1" x14ac:dyDescent="0.35">
      <c r="A14" s="453"/>
      <c r="B14" s="454" t="s">
        <v>446</v>
      </c>
      <c r="C14" s="455" t="s">
        <v>447</v>
      </c>
      <c r="D14" s="455"/>
      <c r="E14" s="456"/>
      <c r="F14" s="457"/>
      <c r="G14" s="456"/>
      <c r="H14" s="456"/>
      <c r="I14" s="458">
        <f>SUBTOTAL(9,I15:I16)</f>
        <v>1</v>
      </c>
      <c r="J14" s="459"/>
      <c r="K14" s="455">
        <f>SUBTOTAL(9,K15:K16)</f>
        <v>34599678.103313603</v>
      </c>
      <c r="L14" s="455">
        <f>SUBTOTAL(9,L15:L16)</f>
        <v>0</v>
      </c>
      <c r="M14" s="455">
        <f>SUBTOTAL(9,M15:M16)</f>
        <v>-34599678.103313603</v>
      </c>
      <c r="N14" s="460" t="e">
        <f>K14/L14</f>
        <v>#DIV/0!</v>
      </c>
      <c r="O14" s="461">
        <f>L14/L$10</f>
        <v>0</v>
      </c>
      <c r="P14" s="461">
        <f>M14/M$10</f>
        <v>-3.3629593522513081E-2</v>
      </c>
      <c r="Q14" s="461">
        <f>I14/I$10</f>
        <v>6.22975330176925E-5</v>
      </c>
      <c r="R14" s="462">
        <f t="shared" ref="R14" si="10">I14/$K$5*100</f>
        <v>2.7078256160303276E-2</v>
      </c>
      <c r="S14" s="543">
        <f t="shared" ref="S14:S15" si="11">R14*T$5</f>
        <v>7.9554494828957836E-2</v>
      </c>
      <c r="T14" s="544">
        <f t="shared" ref="T14:T15" si="12">IFERROR(S14*G14,0)</f>
        <v>0</v>
      </c>
      <c r="U14" s="404"/>
      <c r="V14" s="463"/>
      <c r="W14" s="463"/>
      <c r="X14" s="463"/>
      <c r="Y14" s="464"/>
      <c r="Z14" s="465"/>
      <c r="AA14" s="585" t="s">
        <v>481</v>
      </c>
      <c r="AB14" s="579" t="str">
        <f t="shared" si="1"/>
        <v>THỊT HEO</v>
      </c>
      <c r="AC14" s="424">
        <f t="shared" si="2"/>
        <v>75740000</v>
      </c>
      <c r="AD14" s="424">
        <f t="shared" si="8"/>
        <v>20509.071215813703</v>
      </c>
      <c r="AE14" s="424">
        <f t="shared" si="3"/>
        <v>750</v>
      </c>
      <c r="AF14" s="426">
        <f t="shared" si="9"/>
        <v>20.308692120227455</v>
      </c>
      <c r="AG14" s="424">
        <v>72275000</v>
      </c>
      <c r="AH14" s="424">
        <v>20526.838966202784</v>
      </c>
      <c r="AI14" s="424">
        <v>715</v>
      </c>
      <c r="AJ14" s="426">
        <v>20.306731042317523</v>
      </c>
      <c r="AK14" s="427">
        <f t="shared" si="4"/>
        <v>-17.767750389080902</v>
      </c>
      <c r="AL14" s="428">
        <f t="shared" si="7"/>
        <v>1.961077909932385E-3</v>
      </c>
      <c r="AM14" s="400"/>
      <c r="AN14" s="400"/>
      <c r="AO14" s="465"/>
      <c r="AP14" s="465"/>
      <c r="AQ14" s="571"/>
      <c r="AR14" s="571"/>
      <c r="AS14" s="571"/>
      <c r="AT14" s="571"/>
      <c r="AU14" s="571"/>
      <c r="AV14" s="571"/>
      <c r="AW14" s="571"/>
    </row>
    <row r="15" spans="1:49" s="571" customFormat="1" ht="20.25" customHeight="1" x14ac:dyDescent="0.35">
      <c r="A15" s="366">
        <v>1</v>
      </c>
      <c r="B15" s="467" t="s">
        <v>452</v>
      </c>
      <c r="C15" s="365" t="s">
        <v>448</v>
      </c>
      <c r="D15" s="365"/>
      <c r="E15" s="468"/>
      <c r="F15" s="469">
        <v>9368.9894674556199</v>
      </c>
      <c r="G15" s="470">
        <v>0</v>
      </c>
      <c r="H15" s="470">
        <f>G15-F15</f>
        <v>-9368.9894674556199</v>
      </c>
      <c r="I15" s="471">
        <v>1</v>
      </c>
      <c r="J15" s="424"/>
      <c r="K15" s="472">
        <f>I15*F15*$K$5</f>
        <v>34599678.103313603</v>
      </c>
      <c r="L15" s="424">
        <f>I15*G15</f>
        <v>0</v>
      </c>
      <c r="M15" s="424">
        <f>L15-K15</f>
        <v>-34599678.103313603</v>
      </c>
      <c r="N15" s="473" t="e">
        <f>K15/L15</f>
        <v>#DIV/0!</v>
      </c>
      <c r="O15" s="474">
        <f>L15/L$10</f>
        <v>0</v>
      </c>
      <c r="P15" s="474">
        <f>M15/M$10</f>
        <v>-3.3629593522513081E-2</v>
      </c>
      <c r="Q15" s="474">
        <f>I15/I$10</f>
        <v>6.22975330176925E-5</v>
      </c>
      <c r="R15" s="475">
        <f>I15/$K$5*100</f>
        <v>2.7078256160303276E-2</v>
      </c>
      <c r="S15" s="545">
        <f t="shared" si="11"/>
        <v>7.9554494828957836E-2</v>
      </c>
      <c r="T15" s="546">
        <f t="shared" si="12"/>
        <v>0</v>
      </c>
      <c r="U15" s="404"/>
      <c r="V15" s="476" t="str">
        <f t="shared" ref="V15:V117" si="13">IF(B15&lt;&gt;"",IFERROR(IF($I15&gt;=$X$10,"High","Low"),""),"")</f>
        <v>Low</v>
      </c>
      <c r="W15" s="476" t="str">
        <f t="shared" ref="W15:W117" si="14">IF(B15&lt;&gt;"",IFERROR(IF($L15&gt;=$X$12,"High","Low"),""),"")</f>
        <v>Low</v>
      </c>
      <c r="X15" s="477" t="str">
        <f t="shared" ref="X15:X117" si="15">IF(B15&lt;&gt;"",IFERROR(IF(AND(V15="high",W15="high"),"Star",IF(AND(V15="low",W15="high"),"Puzzle",(IF(AND(V15="high",W15="low"),"Horse","Dog")))),""),"")</f>
        <v>Dog</v>
      </c>
      <c r="Y15" s="374"/>
      <c r="AA15" s="585" t="s">
        <v>483</v>
      </c>
      <c r="AB15" s="579" t="str">
        <f t="shared" si="1"/>
        <v>HẢI SẢN</v>
      </c>
      <c r="AC15" s="424">
        <f t="shared" si="2"/>
        <v>66870000</v>
      </c>
      <c r="AD15" s="424">
        <f t="shared" si="8"/>
        <v>18107.229894394801</v>
      </c>
      <c r="AE15" s="424">
        <f t="shared" si="3"/>
        <v>521</v>
      </c>
      <c r="AF15" s="426">
        <f t="shared" si="9"/>
        <v>14.107771459518007</v>
      </c>
      <c r="AG15" s="424">
        <v>65500000</v>
      </c>
      <c r="AH15" s="424">
        <v>18602.66969610906</v>
      </c>
      <c r="AI15" s="424">
        <v>508</v>
      </c>
      <c r="AJ15" s="426">
        <v>14.427719397898326</v>
      </c>
      <c r="AK15" s="427">
        <f t="shared" si="4"/>
        <v>-495.43980171425937</v>
      </c>
      <c r="AL15" s="428">
        <f t="shared" si="7"/>
        <v>-0.31994793838031832</v>
      </c>
      <c r="AM15" s="366"/>
      <c r="AN15" s="366"/>
    </row>
    <row r="16" spans="1:49" s="571" customFormat="1"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t="str">
        <f t="shared" si="13"/>
        <v/>
      </c>
      <c r="W16" s="476" t="str">
        <f t="shared" si="14"/>
        <v/>
      </c>
      <c r="X16" s="477" t="str">
        <f t="shared" si="15"/>
        <v/>
      </c>
      <c r="Y16" s="374"/>
      <c r="AA16" s="585" t="s">
        <v>484</v>
      </c>
      <c r="AB16" s="579" t="str">
        <f t="shared" si="1"/>
        <v>CÁC MÓN DÙNG KÈM</v>
      </c>
      <c r="AC16" s="424">
        <f t="shared" si="2"/>
        <v>104162000</v>
      </c>
      <c r="AD16" s="424">
        <f t="shared" si="8"/>
        <v>28205.253181695098</v>
      </c>
      <c r="AE16" s="424">
        <f t="shared" si="3"/>
        <v>1369</v>
      </c>
      <c r="AF16" s="426">
        <f t="shared" si="9"/>
        <v>37.070132683455185</v>
      </c>
      <c r="AG16" s="424">
        <v>100737000</v>
      </c>
      <c r="AH16" s="424">
        <v>28610.337972166999</v>
      </c>
      <c r="AI16" s="424">
        <v>1318</v>
      </c>
      <c r="AJ16" s="426">
        <v>37.432547571712583</v>
      </c>
      <c r="AK16" s="427">
        <f t="shared" si="4"/>
        <v>-405.08479047190121</v>
      </c>
      <c r="AL16" s="428">
        <f t="shared" si="7"/>
        <v>-0.36241488825739765</v>
      </c>
      <c r="AM16" s="366"/>
      <c r="AN16" s="366"/>
    </row>
    <row r="17" spans="1:40" ht="17.25" customHeight="1" x14ac:dyDescent="0.3">
      <c r="A17" s="453"/>
      <c r="B17" s="479" t="s">
        <v>474</v>
      </c>
      <c r="C17" s="480" t="s">
        <v>466</v>
      </c>
      <c r="D17" s="480"/>
      <c r="E17" s="481"/>
      <c r="F17" s="482"/>
      <c r="G17" s="481"/>
      <c r="H17" s="481"/>
      <c r="I17" s="483">
        <f>SUBTOTAL(9,I18:I32)</f>
        <v>633</v>
      </c>
      <c r="J17" s="484"/>
      <c r="K17" s="480">
        <f>SUBTOTAL(9,K18:K32)</f>
        <v>14750648.463623101</v>
      </c>
      <c r="L17" s="480">
        <f>SUBTOTAL(9,L18:L32)</f>
        <v>51978000</v>
      </c>
      <c r="M17" s="480">
        <f>SUBTOTAL(9,M18:M32)</f>
        <v>37227351.536376894</v>
      </c>
      <c r="N17" s="485">
        <f t="shared" ref="N17:N31" si="16">K17/L17</f>
        <v>0.28378638007663054</v>
      </c>
      <c r="O17" s="486">
        <f t="shared" ref="O17:P31" si="17">L17/L$10</f>
        <v>3.3522017486551661E-2</v>
      </c>
      <c r="P17" s="486">
        <f t="shared" si="17"/>
        <v>3.6183593857428392E-2</v>
      </c>
      <c r="Q17" s="486">
        <f t="shared" ref="Q17:Q31" si="18">I17/I$10</f>
        <v>3.9434338400199352E-2</v>
      </c>
      <c r="R17" s="487">
        <f t="shared" ref="R17:R31" si="19">I17/$K$5*100</f>
        <v>17.140536149471973</v>
      </c>
      <c r="S17" s="543">
        <f t="shared" ref="S17:S119" si="20">R17*T$5</f>
        <v>50.357995226730303</v>
      </c>
      <c r="T17" s="544">
        <f t="shared" ref="T17:T119" si="21">IFERROR(S17*G17,0)</f>
        <v>0</v>
      </c>
      <c r="U17" s="404"/>
      <c r="V17" s="476" t="str">
        <f t="shared" si="13"/>
        <v>High</v>
      </c>
      <c r="W17" s="476" t="str">
        <f t="shared" si="14"/>
        <v>High</v>
      </c>
      <c r="X17" s="477" t="str">
        <f t="shared" si="15"/>
        <v>Star</v>
      </c>
      <c r="Y17" s="464"/>
      <c r="Z17" s="465"/>
      <c r="AA17" s="585" t="s">
        <v>559</v>
      </c>
      <c r="AB17" s="579" t="str">
        <f t="shared" si="1"/>
        <v>COMBO HONG KONG</v>
      </c>
      <c r="AC17" s="424">
        <f t="shared" si="2"/>
        <v>677761000</v>
      </c>
      <c r="AD17" s="424">
        <f t="shared" si="8"/>
        <v>183525.85973463309</v>
      </c>
      <c r="AE17" s="424">
        <f t="shared" si="3"/>
        <v>847</v>
      </c>
      <c r="AF17" s="426">
        <f t="shared" si="9"/>
        <v>22.935282967776875</v>
      </c>
      <c r="AG17" s="424">
        <v>637403000</v>
      </c>
      <c r="AH17" s="424">
        <v>181028.96904288555</v>
      </c>
      <c r="AI17" s="424">
        <v>796</v>
      </c>
      <c r="AJ17" s="426">
        <v>22.607213859698948</v>
      </c>
      <c r="AK17" s="427">
        <f t="shared" si="4"/>
        <v>2496.8906917475397</v>
      </c>
      <c r="AL17" s="428">
        <f t="shared" si="7"/>
        <v>0.32806910807792633</v>
      </c>
      <c r="AM17" s="100"/>
      <c r="AN17" s="100"/>
    </row>
    <row r="18" spans="1:40" ht="18" customHeight="1" x14ac:dyDescent="0.3">
      <c r="A18" s="366">
        <v>1</v>
      </c>
      <c r="B18" s="467" t="s">
        <v>490</v>
      </c>
      <c r="C18" s="365" t="s">
        <v>520</v>
      </c>
      <c r="D18" s="365"/>
      <c r="E18" s="468" t="s">
        <v>437</v>
      </c>
      <c r="F18" s="581">
        <v>15238.609090909091</v>
      </c>
      <c r="G18" s="470">
        <v>61084.337349397589</v>
      </c>
      <c r="H18" s="470">
        <f t="shared" ref="H18:H31" si="22">G18-F18</f>
        <v>45845.728258488496</v>
      </c>
      <c r="I18" s="471">
        <v>83</v>
      </c>
      <c r="J18" s="424"/>
      <c r="K18" s="424">
        <f t="shared" ref="K18:K31" si="23">I18*F18</f>
        <v>1264804.5545454544</v>
      </c>
      <c r="L18" s="424">
        <f t="shared" ref="L18:L31" si="24">I18*G18</f>
        <v>5070000</v>
      </c>
      <c r="M18" s="424">
        <f t="shared" ref="M18:M31" si="25">L18-K18</f>
        <v>3805195.4454545453</v>
      </c>
      <c r="N18" s="473">
        <f t="shared" si="16"/>
        <v>0.24946835395373854</v>
      </c>
      <c r="O18" s="474">
        <f t="shared" si="17"/>
        <v>3.2697800734313924E-3</v>
      </c>
      <c r="P18" s="474">
        <f t="shared" si="17"/>
        <v>3.6985077064083747E-3</v>
      </c>
      <c r="Q18" s="474">
        <f t="shared" si="18"/>
        <v>5.1706952404684771E-3</v>
      </c>
      <c r="R18" s="475">
        <f t="shared" si="19"/>
        <v>2.247495261305172</v>
      </c>
      <c r="S18" s="545">
        <f t="shared" si="20"/>
        <v>6.6030230708035003</v>
      </c>
      <c r="T18" s="546">
        <f t="shared" si="21"/>
        <v>403341.28878281621</v>
      </c>
      <c r="U18" s="404"/>
      <c r="V18" s="476" t="str">
        <f t="shared" si="13"/>
        <v>High</v>
      </c>
      <c r="W18" s="476" t="str">
        <f t="shared" si="14"/>
        <v>Low</v>
      </c>
      <c r="X18" s="477" t="str">
        <f t="shared" si="15"/>
        <v>Horse</v>
      </c>
      <c r="AA18" s="585" t="s">
        <v>486</v>
      </c>
      <c r="AB18" s="579" t="str">
        <f t="shared" si="1"/>
        <v>ĐỒ UỐNG PHA CHẾ</v>
      </c>
      <c r="AC18" s="424">
        <f t="shared" si="2"/>
        <v>57601000</v>
      </c>
      <c r="AD18" s="424">
        <f t="shared" si="8"/>
        <v>15597.346330896291</v>
      </c>
      <c r="AE18" s="424">
        <f t="shared" si="3"/>
        <v>1205</v>
      </c>
      <c r="AF18" s="426">
        <f t="shared" si="9"/>
        <v>32.629298673165444</v>
      </c>
      <c r="AG18" s="424">
        <v>54516000</v>
      </c>
      <c r="AH18" s="424">
        <v>15483.1013916501</v>
      </c>
      <c r="AI18" s="424">
        <v>1140</v>
      </c>
      <c r="AJ18" s="426">
        <v>32.37716557796081</v>
      </c>
      <c r="AK18" s="427">
        <f t="shared" si="4"/>
        <v>114.24493924619128</v>
      </c>
      <c r="AL18" s="428">
        <f t="shared" si="7"/>
        <v>0.25213309520463412</v>
      </c>
      <c r="AM18" s="100"/>
      <c r="AN18" s="100"/>
    </row>
    <row r="19" spans="1:40" ht="18" customHeight="1" x14ac:dyDescent="0.3">
      <c r="A19" s="366">
        <f>A18+1</f>
        <v>2</v>
      </c>
      <c r="B19" s="467" t="s">
        <v>587</v>
      </c>
      <c r="C19" s="365" t="s">
        <v>644</v>
      </c>
      <c r="D19" s="365"/>
      <c r="E19" s="468" t="s">
        <v>437</v>
      </c>
      <c r="F19" s="581">
        <v>34202.472972972973</v>
      </c>
      <c r="G19" s="470">
        <v>123125</v>
      </c>
      <c r="H19" s="470">
        <f t="shared" si="22"/>
        <v>88922.527027027027</v>
      </c>
      <c r="I19" s="471">
        <v>48</v>
      </c>
      <c r="J19" s="424"/>
      <c r="K19" s="424">
        <f t="shared" si="23"/>
        <v>1641718.7027027027</v>
      </c>
      <c r="L19" s="424">
        <f t="shared" si="24"/>
        <v>5910000</v>
      </c>
      <c r="M19" s="424">
        <f t="shared" si="25"/>
        <v>4268281.297297297</v>
      </c>
      <c r="N19" s="473">
        <f t="shared" si="16"/>
        <v>0.27778658252160793</v>
      </c>
      <c r="O19" s="474">
        <f t="shared" si="17"/>
        <v>3.8115187838223923E-3</v>
      </c>
      <c r="P19" s="474">
        <f t="shared" si="17"/>
        <v>4.1486098407980876E-3</v>
      </c>
      <c r="Q19" s="474">
        <f t="shared" si="18"/>
        <v>2.9902815848492398E-3</v>
      </c>
      <c r="R19" s="475">
        <f t="shared" si="19"/>
        <v>1.2997562956945572</v>
      </c>
      <c r="S19" s="545">
        <f t="shared" si="20"/>
        <v>3.8186157517899755</v>
      </c>
      <c r="T19" s="546">
        <f t="shared" si="21"/>
        <v>470167.06443914073</v>
      </c>
      <c r="U19" s="404"/>
      <c r="V19" s="476" t="str">
        <f t="shared" si="13"/>
        <v>High</v>
      </c>
      <c r="W19" s="476" t="str">
        <f t="shared" si="14"/>
        <v>Low</v>
      </c>
      <c r="X19" s="477" t="str">
        <f t="shared" si="15"/>
        <v>Horse</v>
      </c>
      <c r="AA19" s="586" t="s">
        <v>449</v>
      </c>
      <c r="AB19" s="579" t="str">
        <f t="shared" si="1"/>
        <v>CHI PHÍ QUẦY LINE BAR</v>
      </c>
      <c r="AC19" s="424">
        <f t="shared" si="2"/>
        <v>1350000</v>
      </c>
      <c r="AD19" s="424">
        <f t="shared" si="8"/>
        <v>365.55645816409424</v>
      </c>
      <c r="AE19" s="424">
        <f t="shared" si="3"/>
        <v>1362</v>
      </c>
      <c r="AF19" s="426">
        <f t="shared" si="9"/>
        <v>36.880584890333061</v>
      </c>
      <c r="AG19" s="424">
        <v>1310000</v>
      </c>
      <c r="AH19" s="424">
        <v>372.05339392218121</v>
      </c>
      <c r="AI19" s="424">
        <v>1293</v>
      </c>
      <c r="AJ19" s="426">
        <v>36.722522010792389</v>
      </c>
      <c r="AK19" s="427">
        <f t="shared" si="4"/>
        <v>-6.4969357580869769</v>
      </c>
      <c r="AL19" s="428">
        <f t="shared" si="7"/>
        <v>0.15806287954067244</v>
      </c>
      <c r="AM19" s="100"/>
      <c r="AN19" s="100"/>
    </row>
    <row r="20" spans="1:40" ht="18" customHeight="1" x14ac:dyDescent="0.3">
      <c r="A20" s="366">
        <f t="shared" ref="A20:A31" si="26">A19+1</f>
        <v>3</v>
      </c>
      <c r="B20" s="467" t="s">
        <v>588</v>
      </c>
      <c r="C20" s="365" t="s">
        <v>645</v>
      </c>
      <c r="D20" s="365"/>
      <c r="E20" s="468" t="s">
        <v>437</v>
      </c>
      <c r="F20" s="581">
        <v>27302.911764705881</v>
      </c>
      <c r="G20" s="470">
        <v>81421.052631578947</v>
      </c>
      <c r="H20" s="470">
        <f t="shared" si="22"/>
        <v>54118.140866873066</v>
      </c>
      <c r="I20" s="471">
        <v>38</v>
      </c>
      <c r="J20" s="424"/>
      <c r="K20" s="424">
        <f t="shared" si="23"/>
        <v>1037510.6470588235</v>
      </c>
      <c r="L20" s="424">
        <f t="shared" si="24"/>
        <v>3094000</v>
      </c>
      <c r="M20" s="424">
        <f t="shared" si="25"/>
        <v>2056489.3529411764</v>
      </c>
      <c r="N20" s="473">
        <f t="shared" si="16"/>
        <v>0.33532987946309745</v>
      </c>
      <c r="O20" s="474">
        <f t="shared" si="17"/>
        <v>1.9954042499401828E-3</v>
      </c>
      <c r="P20" s="474">
        <f t="shared" si="17"/>
        <v>1.998830764155704E-3</v>
      </c>
      <c r="Q20" s="474">
        <f t="shared" si="18"/>
        <v>2.3673062546723149E-3</v>
      </c>
      <c r="R20" s="475">
        <f t="shared" si="19"/>
        <v>1.0289737340915246</v>
      </c>
      <c r="S20" s="545">
        <f t="shared" si="20"/>
        <v>3.0230708035003979</v>
      </c>
      <c r="T20" s="546">
        <f t="shared" si="21"/>
        <v>246141.60700079554</v>
      </c>
      <c r="U20" s="404"/>
      <c r="V20" s="476" t="str">
        <f t="shared" si="13"/>
        <v>High</v>
      </c>
      <c r="W20" s="476" t="str">
        <f t="shared" si="14"/>
        <v>Low</v>
      </c>
      <c r="X20" s="477" t="str">
        <f t="shared" si="15"/>
        <v>Horse</v>
      </c>
      <c r="AA20" s="587" t="s">
        <v>493</v>
      </c>
      <c r="AB20" s="580" t="str">
        <f t="shared" si="1"/>
        <v>DỊCH VỤ/SERVICE</v>
      </c>
      <c r="AC20" s="499">
        <f t="shared" si="2"/>
        <v>9489000</v>
      </c>
      <c r="AD20" s="499">
        <f t="shared" si="8"/>
        <v>2569.4557270511777</v>
      </c>
      <c r="AE20" s="499">
        <f t="shared" si="3"/>
        <v>3163</v>
      </c>
      <c r="AF20" s="500">
        <f t="shared" si="9"/>
        <v>85.648524235039261</v>
      </c>
      <c r="AG20" s="499">
        <v>9081000</v>
      </c>
      <c r="AH20" s="499">
        <v>2579.0968474865094</v>
      </c>
      <c r="AI20" s="499">
        <v>3027</v>
      </c>
      <c r="AJ20" s="500">
        <v>85.969894916216987</v>
      </c>
      <c r="AK20" s="501">
        <f t="shared" si="4"/>
        <v>-9.6411204353316862</v>
      </c>
      <c r="AL20" s="502">
        <f t="shared" si="7"/>
        <v>-0.32137068117772571</v>
      </c>
      <c r="AM20" s="100"/>
      <c r="AN20" s="100"/>
    </row>
    <row r="21" spans="1:40" ht="18" customHeight="1" x14ac:dyDescent="0.3">
      <c r="A21" s="366">
        <f t="shared" si="26"/>
        <v>4</v>
      </c>
      <c r="B21" s="467" t="s">
        <v>589</v>
      </c>
      <c r="C21" s="365" t="s">
        <v>646</v>
      </c>
      <c r="D21" s="365"/>
      <c r="E21" s="468" t="s">
        <v>437</v>
      </c>
      <c r="F21" s="581">
        <v>20205.796296296296</v>
      </c>
      <c r="G21" s="470">
        <v>81594.936708860754</v>
      </c>
      <c r="H21" s="470">
        <f t="shared" si="22"/>
        <v>61389.140412564462</v>
      </c>
      <c r="I21" s="471">
        <v>79</v>
      </c>
      <c r="J21" s="424"/>
      <c r="K21" s="424">
        <f t="shared" si="23"/>
        <v>1596257.9074074074</v>
      </c>
      <c r="L21" s="424">
        <f t="shared" si="24"/>
        <v>6446000</v>
      </c>
      <c r="M21" s="424">
        <f t="shared" si="25"/>
        <v>4849742.0925925924</v>
      </c>
      <c r="N21" s="473">
        <f t="shared" si="16"/>
        <v>0.24763541846221027</v>
      </c>
      <c r="O21" s="474">
        <f t="shared" si="17"/>
        <v>4.1571996752147447E-3</v>
      </c>
      <c r="P21" s="474">
        <f t="shared" si="17"/>
        <v>4.7137679944858025E-3</v>
      </c>
      <c r="Q21" s="474">
        <f t="shared" si="18"/>
        <v>4.9215051083977071E-3</v>
      </c>
      <c r="R21" s="475">
        <f t="shared" si="19"/>
        <v>2.139182236663959</v>
      </c>
      <c r="S21" s="545">
        <f t="shared" si="20"/>
        <v>6.2848050914876694</v>
      </c>
      <c r="T21" s="546">
        <f t="shared" si="21"/>
        <v>512808.27366746223</v>
      </c>
      <c r="U21" s="404"/>
      <c r="V21" s="476" t="str">
        <f t="shared" si="13"/>
        <v>High</v>
      </c>
      <c r="W21" s="476" t="str">
        <f t="shared" si="14"/>
        <v>Low</v>
      </c>
      <c r="X21" s="477" t="str">
        <f t="shared" si="15"/>
        <v>Horse</v>
      </c>
      <c r="AA21" s="366"/>
      <c r="AB21" s="534"/>
      <c r="AC21" s="366"/>
      <c r="AD21" s="366"/>
      <c r="AE21" s="366"/>
      <c r="AF21" s="572"/>
      <c r="AG21" s="366"/>
      <c r="AH21" s="366"/>
      <c r="AI21" s="366"/>
      <c r="AJ21" s="572"/>
      <c r="AK21" s="535"/>
      <c r="AL21" s="536"/>
      <c r="AM21" s="100"/>
      <c r="AN21" s="100"/>
    </row>
    <row r="22" spans="1:40" ht="18" customHeight="1" x14ac:dyDescent="0.3">
      <c r="A22" s="366">
        <f t="shared" si="26"/>
        <v>5</v>
      </c>
      <c r="B22" s="467" t="s">
        <v>590</v>
      </c>
      <c r="C22" s="365" t="s">
        <v>647</v>
      </c>
      <c r="D22" s="365"/>
      <c r="E22" s="468" t="s">
        <v>437</v>
      </c>
      <c r="F22" s="581">
        <v>7147.2</v>
      </c>
      <c r="G22" s="470">
        <v>51666.666666666664</v>
      </c>
      <c r="H22" s="470">
        <f t="shared" si="22"/>
        <v>44519.466666666667</v>
      </c>
      <c r="I22" s="471">
        <v>12</v>
      </c>
      <c r="J22" s="424"/>
      <c r="K22" s="424">
        <f t="shared" si="23"/>
        <v>85766.399999999994</v>
      </c>
      <c r="L22" s="424">
        <f t="shared" si="24"/>
        <v>620000</v>
      </c>
      <c r="M22" s="424">
        <f t="shared" si="25"/>
        <v>534233.59999999998</v>
      </c>
      <c r="N22" s="473">
        <f t="shared" si="16"/>
        <v>0.13833290322580644</v>
      </c>
      <c r="O22" s="474">
        <f t="shared" si="17"/>
        <v>3.9985476243145233E-4</v>
      </c>
      <c r="P22" s="474">
        <f t="shared" si="17"/>
        <v>5.1925508556532613E-4</v>
      </c>
      <c r="Q22" s="474">
        <f t="shared" si="18"/>
        <v>7.4757039621230995E-4</v>
      </c>
      <c r="R22" s="475">
        <f t="shared" si="19"/>
        <v>0.3249390739236393</v>
      </c>
      <c r="S22" s="545">
        <f t="shared" si="20"/>
        <v>0.95465393794749387</v>
      </c>
      <c r="T22" s="546">
        <f t="shared" si="21"/>
        <v>49323.786793953848</v>
      </c>
      <c r="U22" s="404"/>
      <c r="V22" s="476" t="str">
        <f t="shared" si="13"/>
        <v>High</v>
      </c>
      <c r="W22" s="476" t="str">
        <f t="shared" si="14"/>
        <v>Low</v>
      </c>
      <c r="X22" s="477" t="str">
        <f t="shared" si="15"/>
        <v>Horse</v>
      </c>
      <c r="AA22" s="366"/>
      <c r="AB22" s="534"/>
      <c r="AC22" s="366"/>
      <c r="AD22" s="366"/>
      <c r="AE22" s="366"/>
      <c r="AF22" s="572"/>
      <c r="AG22" s="366"/>
      <c r="AH22" s="366"/>
      <c r="AI22" s="366"/>
      <c r="AJ22" s="572"/>
      <c r="AK22" s="535"/>
      <c r="AL22" s="536"/>
      <c r="AM22" s="100"/>
      <c r="AN22" s="100"/>
    </row>
    <row r="23" spans="1:40" ht="18" customHeight="1" x14ac:dyDescent="0.3">
      <c r="A23" s="366">
        <f t="shared" si="26"/>
        <v>6</v>
      </c>
      <c r="B23" s="467" t="s">
        <v>591</v>
      </c>
      <c r="C23" s="365" t="s">
        <v>648</v>
      </c>
      <c r="D23" s="365"/>
      <c r="E23" s="468" t="s">
        <v>437</v>
      </c>
      <c r="F23" s="581">
        <v>11788</v>
      </c>
      <c r="G23" s="470">
        <v>39000</v>
      </c>
      <c r="H23" s="470">
        <f t="shared" si="22"/>
        <v>27212</v>
      </c>
      <c r="I23" s="471">
        <v>22</v>
      </c>
      <c r="J23" s="424"/>
      <c r="K23" s="424">
        <f t="shared" si="23"/>
        <v>259336</v>
      </c>
      <c r="L23" s="424">
        <f t="shared" si="24"/>
        <v>858000</v>
      </c>
      <c r="M23" s="424">
        <f t="shared" si="25"/>
        <v>598664</v>
      </c>
      <c r="N23" s="473">
        <f t="shared" si="16"/>
        <v>0.30225641025641026</v>
      </c>
      <c r="O23" s="474">
        <f t="shared" si="17"/>
        <v>5.5334739704223561E-4</v>
      </c>
      <c r="P23" s="474">
        <f t="shared" si="17"/>
        <v>5.8187902547664617E-4</v>
      </c>
      <c r="Q23" s="474">
        <f t="shared" si="18"/>
        <v>1.3705457263892349E-3</v>
      </c>
      <c r="R23" s="475">
        <f t="shared" si="19"/>
        <v>0.59572163552667212</v>
      </c>
      <c r="S23" s="545">
        <f t="shared" si="20"/>
        <v>1.7501988862370723</v>
      </c>
      <c r="T23" s="546">
        <f t="shared" si="21"/>
        <v>68257.756563245814</v>
      </c>
      <c r="U23" s="404"/>
      <c r="V23" s="476" t="str">
        <f t="shared" si="13"/>
        <v>High</v>
      </c>
      <c r="W23" s="476" t="str">
        <f t="shared" si="14"/>
        <v>Low</v>
      </c>
      <c r="X23" s="477" t="str">
        <f t="shared" si="15"/>
        <v>Horse</v>
      </c>
      <c r="AA23" s="366"/>
      <c r="AB23" s="534"/>
      <c r="AC23" s="366"/>
      <c r="AD23" s="366"/>
      <c r="AE23" s="366"/>
      <c r="AF23" s="572"/>
      <c r="AG23" s="366"/>
      <c r="AH23" s="366"/>
      <c r="AI23" s="366"/>
      <c r="AJ23" s="572"/>
      <c r="AK23" s="535"/>
      <c r="AL23" s="536"/>
      <c r="AM23" s="100"/>
      <c r="AN23" s="100"/>
    </row>
    <row r="24" spans="1:40" ht="18" customHeight="1" x14ac:dyDescent="0.3">
      <c r="A24" s="366">
        <f t="shared" si="26"/>
        <v>7</v>
      </c>
      <c r="B24" s="467" t="s">
        <v>592</v>
      </c>
      <c r="C24" s="365" t="s">
        <v>649</v>
      </c>
      <c r="D24" s="365"/>
      <c r="E24" s="468" t="s">
        <v>437</v>
      </c>
      <c r="F24" s="581">
        <v>13625.134146341463</v>
      </c>
      <c r="G24" s="470">
        <v>50694.444444444445</v>
      </c>
      <c r="H24" s="470">
        <f t="shared" si="22"/>
        <v>37069.310298102981</v>
      </c>
      <c r="I24" s="471">
        <v>72</v>
      </c>
      <c r="J24" s="424"/>
      <c r="K24" s="424">
        <f t="shared" si="23"/>
        <v>981009.65853658528</v>
      </c>
      <c r="L24" s="424">
        <f t="shared" si="24"/>
        <v>3650000</v>
      </c>
      <c r="M24" s="424">
        <f t="shared" si="25"/>
        <v>2668990.341463415</v>
      </c>
      <c r="N24" s="473">
        <f t="shared" si="16"/>
        <v>0.26876976946207815</v>
      </c>
      <c r="O24" s="474">
        <f t="shared" si="17"/>
        <v>2.3539836820561308E-3</v>
      </c>
      <c r="P24" s="474">
        <f t="shared" si="17"/>
        <v>2.5941588251461806E-3</v>
      </c>
      <c r="Q24" s="474">
        <f t="shared" si="18"/>
        <v>4.4854223772738599E-3</v>
      </c>
      <c r="R24" s="475">
        <f t="shared" si="19"/>
        <v>1.949634443541836</v>
      </c>
      <c r="S24" s="545">
        <f t="shared" si="20"/>
        <v>5.7279236276849641</v>
      </c>
      <c r="T24" s="546">
        <f t="shared" si="21"/>
        <v>290373.90612569608</v>
      </c>
      <c r="U24" s="404"/>
      <c r="V24" s="476" t="str">
        <f t="shared" si="13"/>
        <v>High</v>
      </c>
      <c r="W24" s="476" t="str">
        <f t="shared" si="14"/>
        <v>Low</v>
      </c>
      <c r="X24" s="477" t="str">
        <f t="shared" si="15"/>
        <v>Horse</v>
      </c>
      <c r="AA24" s="366"/>
      <c r="AB24" s="534"/>
      <c r="AC24" s="366"/>
      <c r="AD24" s="366"/>
      <c r="AE24" s="366"/>
      <c r="AF24" s="572"/>
      <c r="AG24" s="366"/>
      <c r="AH24" s="366"/>
      <c r="AI24" s="366"/>
      <c r="AJ24" s="572"/>
      <c r="AK24" s="535"/>
      <c r="AL24" s="536"/>
      <c r="AM24" s="100"/>
      <c r="AN24" s="100"/>
    </row>
    <row r="25" spans="1:40" ht="18" customHeight="1" x14ac:dyDescent="0.3">
      <c r="A25" s="366">
        <f t="shared" si="26"/>
        <v>8</v>
      </c>
      <c r="B25" s="467" t="s">
        <v>593</v>
      </c>
      <c r="C25" s="365" t="s">
        <v>650</v>
      </c>
      <c r="D25" s="365"/>
      <c r="E25" s="468" t="s">
        <v>437</v>
      </c>
      <c r="F25" s="581">
        <v>40059.545454545456</v>
      </c>
      <c r="G25" s="470">
        <v>120000</v>
      </c>
      <c r="H25" s="470">
        <f t="shared" si="22"/>
        <v>79940.454545454544</v>
      </c>
      <c r="I25" s="471">
        <v>0</v>
      </c>
      <c r="J25" s="424"/>
      <c r="K25" s="424">
        <f t="shared" si="23"/>
        <v>0</v>
      </c>
      <c r="L25" s="424">
        <f t="shared" si="24"/>
        <v>0</v>
      </c>
      <c r="M25" s="424">
        <f t="shared" si="25"/>
        <v>0</v>
      </c>
      <c r="N25" s="473" t="e">
        <f t="shared" si="16"/>
        <v>#DIV/0!</v>
      </c>
      <c r="O25" s="474">
        <f t="shared" si="17"/>
        <v>0</v>
      </c>
      <c r="P25" s="474">
        <f t="shared" si="17"/>
        <v>0</v>
      </c>
      <c r="Q25" s="474">
        <f t="shared" si="18"/>
        <v>0</v>
      </c>
      <c r="R25" s="475">
        <f t="shared" si="19"/>
        <v>0</v>
      </c>
      <c r="S25" s="545">
        <f t="shared" si="20"/>
        <v>0</v>
      </c>
      <c r="T25" s="546">
        <f t="shared" si="21"/>
        <v>0</v>
      </c>
      <c r="U25" s="404"/>
      <c r="V25" s="476" t="str">
        <f t="shared" si="13"/>
        <v>Low</v>
      </c>
      <c r="W25" s="476" t="str">
        <f t="shared" si="14"/>
        <v>Low</v>
      </c>
      <c r="X25" s="477" t="str">
        <f t="shared" si="15"/>
        <v>Dog</v>
      </c>
      <c r="AA25" s="366"/>
      <c r="AB25" s="534"/>
      <c r="AC25" s="366"/>
      <c r="AD25" s="366"/>
      <c r="AE25" s="366"/>
      <c r="AF25" s="572"/>
      <c r="AG25" s="366"/>
      <c r="AH25" s="366"/>
      <c r="AI25" s="366"/>
      <c r="AJ25" s="572"/>
      <c r="AK25" s="535"/>
      <c r="AL25" s="536"/>
      <c r="AM25" s="100"/>
      <c r="AN25" s="100"/>
    </row>
    <row r="26" spans="1:40" ht="18" customHeight="1" x14ac:dyDescent="0.3">
      <c r="A26" s="366">
        <f t="shared" si="26"/>
        <v>9</v>
      </c>
      <c r="B26" s="467" t="s">
        <v>594</v>
      </c>
      <c r="C26" s="365" t="s">
        <v>651</v>
      </c>
      <c r="D26" s="365"/>
      <c r="E26" s="468" t="s">
        <v>437</v>
      </c>
      <c r="F26" s="581">
        <v>17475.01923076923</v>
      </c>
      <c r="G26" s="470">
        <v>70833.333333333328</v>
      </c>
      <c r="H26" s="470">
        <f t="shared" si="22"/>
        <v>53358.314102564094</v>
      </c>
      <c r="I26" s="471">
        <v>36</v>
      </c>
      <c r="J26" s="424"/>
      <c r="K26" s="424">
        <f t="shared" si="23"/>
        <v>629100.69230769225</v>
      </c>
      <c r="L26" s="424">
        <f t="shared" si="24"/>
        <v>2550000</v>
      </c>
      <c r="M26" s="424">
        <f t="shared" si="25"/>
        <v>1920899.3076923077</v>
      </c>
      <c r="N26" s="473">
        <f t="shared" si="16"/>
        <v>0.24670615384615383</v>
      </c>
      <c r="O26" s="474">
        <f t="shared" si="17"/>
        <v>1.6445639422583925E-3</v>
      </c>
      <c r="P26" s="474">
        <f t="shared" si="17"/>
        <v>1.8670423095405173E-3</v>
      </c>
      <c r="Q26" s="474">
        <f t="shared" si="18"/>
        <v>2.24271118863693E-3</v>
      </c>
      <c r="R26" s="475">
        <f t="shared" si="19"/>
        <v>0.97481722177091801</v>
      </c>
      <c r="S26" s="545">
        <f t="shared" si="20"/>
        <v>2.8639618138424821</v>
      </c>
      <c r="T26" s="546">
        <f t="shared" si="21"/>
        <v>202863.96181384247</v>
      </c>
      <c r="U26" s="404"/>
      <c r="V26" s="476" t="str">
        <f t="shared" si="13"/>
        <v>High</v>
      </c>
      <c r="W26" s="476" t="str">
        <f t="shared" si="14"/>
        <v>Low</v>
      </c>
      <c r="X26" s="477" t="str">
        <f t="shared" si="15"/>
        <v>Horse</v>
      </c>
      <c r="AA26" s="366"/>
      <c r="AB26" s="534"/>
      <c r="AC26" s="366"/>
      <c r="AD26" s="366"/>
      <c r="AE26" s="366"/>
      <c r="AF26" s="572"/>
      <c r="AG26" s="366"/>
      <c r="AH26" s="366"/>
      <c r="AI26" s="366"/>
      <c r="AJ26" s="572"/>
      <c r="AK26" s="535"/>
      <c r="AL26" s="536"/>
      <c r="AM26" s="100"/>
      <c r="AN26" s="100"/>
    </row>
    <row r="27" spans="1:40" ht="18" customHeight="1" x14ac:dyDescent="0.3">
      <c r="A27" s="366">
        <f t="shared" si="26"/>
        <v>10</v>
      </c>
      <c r="B27" s="467" t="s">
        <v>595</v>
      </c>
      <c r="C27" s="365" t="s">
        <v>652</v>
      </c>
      <c r="D27" s="365"/>
      <c r="E27" s="468" t="s">
        <v>437</v>
      </c>
      <c r="F27" s="581">
        <v>40652.858823529408</v>
      </c>
      <c r="G27" s="470">
        <v>121875</v>
      </c>
      <c r="H27" s="470">
        <f t="shared" si="22"/>
        <v>81222.141176470584</v>
      </c>
      <c r="I27" s="471">
        <v>64</v>
      </c>
      <c r="J27" s="424"/>
      <c r="K27" s="424">
        <f t="shared" si="23"/>
        <v>2601782.9647058821</v>
      </c>
      <c r="L27" s="424">
        <f t="shared" si="24"/>
        <v>7800000</v>
      </c>
      <c r="M27" s="424">
        <f t="shared" si="25"/>
        <v>5198217.0352941174</v>
      </c>
      <c r="N27" s="473">
        <f t="shared" si="16"/>
        <v>0.33356191855203615</v>
      </c>
      <c r="O27" s="474">
        <f t="shared" si="17"/>
        <v>5.0304308822021419E-3</v>
      </c>
      <c r="P27" s="474">
        <f t="shared" si="17"/>
        <v>5.0524726102004489E-3</v>
      </c>
      <c r="Q27" s="474">
        <f t="shared" si="18"/>
        <v>3.98704211313232E-3</v>
      </c>
      <c r="R27" s="475">
        <f t="shared" si="19"/>
        <v>1.7330083942594097</v>
      </c>
      <c r="S27" s="545">
        <f t="shared" si="20"/>
        <v>5.0914876690533015</v>
      </c>
      <c r="T27" s="546">
        <f t="shared" si="21"/>
        <v>620525.05966587109</v>
      </c>
      <c r="U27" s="404"/>
      <c r="V27" s="476" t="str">
        <f t="shared" si="13"/>
        <v>High</v>
      </c>
      <c r="W27" s="476" t="str">
        <f t="shared" si="14"/>
        <v>Low</v>
      </c>
      <c r="X27" s="477" t="str">
        <f t="shared" si="15"/>
        <v>Horse</v>
      </c>
      <c r="AA27" s="366"/>
      <c r="AB27" s="534"/>
      <c r="AC27" s="366"/>
      <c r="AD27" s="366"/>
      <c r="AE27" s="366"/>
      <c r="AF27" s="572"/>
      <c r="AG27" s="366"/>
      <c r="AH27" s="366"/>
      <c r="AI27" s="366"/>
      <c r="AJ27" s="572"/>
      <c r="AK27" s="535"/>
      <c r="AL27" s="536"/>
      <c r="AM27" s="100"/>
      <c r="AN27" s="100"/>
    </row>
    <row r="28" spans="1:40" ht="18" customHeight="1" x14ac:dyDescent="0.3">
      <c r="A28" s="366">
        <f t="shared" si="26"/>
        <v>11</v>
      </c>
      <c r="B28" s="467" t="s">
        <v>596</v>
      </c>
      <c r="C28" s="365" t="s">
        <v>653</v>
      </c>
      <c r="D28" s="365"/>
      <c r="E28" s="468" t="s">
        <v>437</v>
      </c>
      <c r="F28" s="581">
        <v>27727.08695652174</v>
      </c>
      <c r="G28" s="470">
        <v>106791.04477611941</v>
      </c>
      <c r="H28" s="470">
        <f t="shared" si="22"/>
        <v>79063.957819597665</v>
      </c>
      <c r="I28" s="471">
        <v>67</v>
      </c>
      <c r="J28" s="424"/>
      <c r="K28" s="424">
        <f t="shared" si="23"/>
        <v>1857714.8260869565</v>
      </c>
      <c r="L28" s="424">
        <f t="shared" si="24"/>
        <v>7155000</v>
      </c>
      <c r="M28" s="424">
        <f t="shared" si="25"/>
        <v>5297285.173913043</v>
      </c>
      <c r="N28" s="473">
        <f t="shared" si="16"/>
        <v>0.25963868987937899</v>
      </c>
      <c r="O28" s="474">
        <f t="shared" si="17"/>
        <v>4.6144529438661959E-3</v>
      </c>
      <c r="P28" s="474">
        <f t="shared" si="17"/>
        <v>5.1487631370324711E-3</v>
      </c>
      <c r="Q28" s="474">
        <f t="shared" si="18"/>
        <v>4.1739347121853973E-3</v>
      </c>
      <c r="R28" s="475">
        <f t="shared" si="19"/>
        <v>1.8142431627403195</v>
      </c>
      <c r="S28" s="545">
        <f t="shared" si="20"/>
        <v>5.3301511535401742</v>
      </c>
      <c r="T28" s="546">
        <f t="shared" si="21"/>
        <v>569212.41050119326</v>
      </c>
      <c r="U28" s="404"/>
      <c r="V28" s="476" t="str">
        <f t="shared" si="13"/>
        <v>High</v>
      </c>
      <c r="W28" s="476" t="str">
        <f t="shared" si="14"/>
        <v>Low</v>
      </c>
      <c r="X28" s="477" t="str">
        <f t="shared" si="15"/>
        <v>Horse</v>
      </c>
      <c r="AA28" s="366"/>
      <c r="AB28" s="534"/>
      <c r="AC28" s="366"/>
      <c r="AD28" s="366"/>
      <c r="AE28" s="366"/>
      <c r="AF28" s="572"/>
      <c r="AG28" s="366"/>
      <c r="AH28" s="366"/>
      <c r="AI28" s="366"/>
      <c r="AJ28" s="572"/>
      <c r="AK28" s="535"/>
      <c r="AL28" s="536"/>
      <c r="AM28" s="100"/>
      <c r="AN28" s="100"/>
    </row>
    <row r="29" spans="1:40" ht="18" customHeight="1" x14ac:dyDescent="0.3">
      <c r="A29" s="366">
        <f t="shared" si="26"/>
        <v>12</v>
      </c>
      <c r="B29" s="467" t="s">
        <v>597</v>
      </c>
      <c r="C29" s="365" t="s">
        <v>654</v>
      </c>
      <c r="D29" s="365"/>
      <c r="E29" s="468" t="s">
        <v>437</v>
      </c>
      <c r="F29" s="581">
        <v>34897.762711864409</v>
      </c>
      <c r="G29" s="470">
        <v>101666.66666666667</v>
      </c>
      <c r="H29" s="470">
        <f t="shared" si="22"/>
        <v>66768.903954802256</v>
      </c>
      <c r="I29" s="471">
        <v>30</v>
      </c>
      <c r="J29" s="424"/>
      <c r="K29" s="424">
        <f t="shared" si="23"/>
        <v>1046932.8813559322</v>
      </c>
      <c r="L29" s="424">
        <f t="shared" si="24"/>
        <v>3050000</v>
      </c>
      <c r="M29" s="424">
        <f t="shared" si="25"/>
        <v>2003067.1186440678</v>
      </c>
      <c r="N29" s="473">
        <f t="shared" si="16"/>
        <v>0.34325668241178103</v>
      </c>
      <c r="O29" s="474">
        <f t="shared" si="17"/>
        <v>1.9670274603482735E-3</v>
      </c>
      <c r="P29" s="474">
        <f t="shared" si="17"/>
        <v>1.9469063497402947E-3</v>
      </c>
      <c r="Q29" s="474">
        <f t="shared" si="18"/>
        <v>1.868925990530775E-3</v>
      </c>
      <c r="R29" s="475">
        <f t="shared" si="19"/>
        <v>0.81234768480909825</v>
      </c>
      <c r="S29" s="545">
        <f t="shared" si="20"/>
        <v>2.3866348448687349</v>
      </c>
      <c r="T29" s="546">
        <f t="shared" si="21"/>
        <v>242641.20922832139</v>
      </c>
      <c r="U29" s="404"/>
      <c r="V29" s="476" t="str">
        <f t="shared" si="13"/>
        <v>High</v>
      </c>
      <c r="W29" s="476" t="str">
        <f t="shared" si="14"/>
        <v>Low</v>
      </c>
      <c r="X29" s="477" t="str">
        <f t="shared" si="15"/>
        <v>Horse</v>
      </c>
      <c r="AA29" s="366"/>
      <c r="AB29" s="534"/>
      <c r="AC29" s="366"/>
      <c r="AD29" s="366"/>
      <c r="AE29" s="366"/>
      <c r="AF29" s="572"/>
      <c r="AG29" s="366"/>
      <c r="AH29" s="366"/>
      <c r="AI29" s="366"/>
      <c r="AJ29" s="572"/>
      <c r="AK29" s="535"/>
      <c r="AL29" s="536"/>
      <c r="AM29" s="100"/>
      <c r="AN29" s="100"/>
    </row>
    <row r="30" spans="1:40" ht="18" customHeight="1" x14ac:dyDescent="0.3">
      <c r="A30" s="366">
        <f t="shared" si="26"/>
        <v>13</v>
      </c>
      <c r="B30" s="467" t="s">
        <v>598</v>
      </c>
      <c r="C30" s="365" t="s">
        <v>655</v>
      </c>
      <c r="D30" s="365"/>
      <c r="E30" s="468" t="s">
        <v>437</v>
      </c>
      <c r="F30" s="581"/>
      <c r="G30" s="470">
        <v>95000</v>
      </c>
      <c r="H30" s="470">
        <f t="shared" si="22"/>
        <v>95000</v>
      </c>
      <c r="I30" s="471">
        <v>0</v>
      </c>
      <c r="J30" s="424"/>
      <c r="K30" s="424">
        <f t="shared" si="23"/>
        <v>0</v>
      </c>
      <c r="L30" s="424">
        <f t="shared" si="24"/>
        <v>0</v>
      </c>
      <c r="M30" s="424">
        <f t="shared" si="25"/>
        <v>0</v>
      </c>
      <c r="N30" s="473" t="e">
        <f t="shared" si="16"/>
        <v>#DIV/0!</v>
      </c>
      <c r="O30" s="474">
        <f t="shared" si="17"/>
        <v>0</v>
      </c>
      <c r="P30" s="474">
        <f t="shared" si="17"/>
        <v>0</v>
      </c>
      <c r="Q30" s="474">
        <f t="shared" si="18"/>
        <v>0</v>
      </c>
      <c r="R30" s="475">
        <f t="shared" si="19"/>
        <v>0</v>
      </c>
      <c r="S30" s="545">
        <f t="shared" si="20"/>
        <v>0</v>
      </c>
      <c r="T30" s="546">
        <f t="shared" si="21"/>
        <v>0</v>
      </c>
      <c r="U30" s="404"/>
      <c r="V30" s="476" t="str">
        <f t="shared" si="13"/>
        <v>Low</v>
      </c>
      <c r="W30" s="476" t="str">
        <f t="shared" si="14"/>
        <v>Low</v>
      </c>
      <c r="X30" s="477" t="str">
        <f t="shared" si="15"/>
        <v>Dog</v>
      </c>
      <c r="AA30" s="366"/>
      <c r="AB30" s="534"/>
      <c r="AC30" s="366"/>
      <c r="AD30" s="366"/>
      <c r="AE30" s="366"/>
      <c r="AF30" s="572"/>
      <c r="AG30" s="366"/>
      <c r="AH30" s="366"/>
      <c r="AI30" s="366"/>
      <c r="AJ30" s="572"/>
      <c r="AK30" s="535"/>
      <c r="AL30" s="536"/>
      <c r="AM30" s="100"/>
      <c r="AN30" s="100"/>
    </row>
    <row r="31" spans="1:40" ht="18" customHeight="1" x14ac:dyDescent="0.3">
      <c r="A31" s="366">
        <f t="shared" si="26"/>
        <v>14</v>
      </c>
      <c r="B31" s="467" t="s">
        <v>599</v>
      </c>
      <c r="C31" s="365" t="s">
        <v>567</v>
      </c>
      <c r="D31" s="365"/>
      <c r="E31" s="468" t="s">
        <v>437</v>
      </c>
      <c r="F31" s="581">
        <v>21325.77108433735</v>
      </c>
      <c r="G31" s="470">
        <v>70426.829268292684</v>
      </c>
      <c r="H31" s="470">
        <f t="shared" si="22"/>
        <v>49101.058183955334</v>
      </c>
      <c r="I31" s="471">
        <v>82</v>
      </c>
      <c r="J31" s="424"/>
      <c r="K31" s="424">
        <f t="shared" si="23"/>
        <v>1748713.2289156627</v>
      </c>
      <c r="L31" s="424">
        <f t="shared" si="24"/>
        <v>5775000</v>
      </c>
      <c r="M31" s="424">
        <f t="shared" si="25"/>
        <v>4026286.7710843375</v>
      </c>
      <c r="N31" s="473">
        <f t="shared" si="16"/>
        <v>0.3028074855265217</v>
      </c>
      <c r="O31" s="474">
        <f t="shared" si="17"/>
        <v>3.7244536339381246E-3</v>
      </c>
      <c r="P31" s="474">
        <f t="shared" si="17"/>
        <v>3.9134002088785473E-3</v>
      </c>
      <c r="Q31" s="474">
        <f t="shared" si="18"/>
        <v>5.1083977074507852E-3</v>
      </c>
      <c r="R31" s="475">
        <f t="shared" si="19"/>
        <v>2.2204170051448688</v>
      </c>
      <c r="S31" s="545">
        <f t="shared" si="20"/>
        <v>6.523468575974543</v>
      </c>
      <c r="T31" s="546">
        <f t="shared" si="21"/>
        <v>459427.20763723156</v>
      </c>
      <c r="U31" s="404"/>
      <c r="V31" s="476" t="str">
        <f t="shared" si="13"/>
        <v>High</v>
      </c>
      <c r="W31" s="476" t="str">
        <f t="shared" si="14"/>
        <v>Low</v>
      </c>
      <c r="X31" s="477" t="str">
        <f t="shared" si="15"/>
        <v>Horse</v>
      </c>
      <c r="AA31" s="366"/>
      <c r="AB31" s="534"/>
      <c r="AC31" s="366"/>
      <c r="AD31" s="366"/>
      <c r="AE31" s="366"/>
      <c r="AF31" s="572"/>
      <c r="AG31" s="366"/>
      <c r="AH31" s="366"/>
      <c r="AI31" s="366"/>
      <c r="AJ31" s="572"/>
      <c r="AK31" s="535"/>
      <c r="AL31" s="536"/>
      <c r="AM31" s="100"/>
      <c r="AN31" s="100"/>
    </row>
    <row r="32" spans="1:40" ht="18" customHeight="1" x14ac:dyDescent="0.3">
      <c r="A32" s="366"/>
      <c r="B32" s="467"/>
      <c r="C32" s="365"/>
      <c r="D32" s="365"/>
      <c r="E32" s="468"/>
      <c r="F32" s="478"/>
      <c r="G32" s="470"/>
      <c r="H32" s="470"/>
      <c r="I32" s="471"/>
      <c r="J32" s="424"/>
      <c r="K32" s="424"/>
      <c r="L32" s="424"/>
      <c r="M32" s="424"/>
      <c r="N32" s="473"/>
      <c r="O32" s="474"/>
      <c r="P32" s="474"/>
      <c r="Q32" s="474"/>
      <c r="R32" s="475"/>
      <c r="S32" s="545">
        <f t="shared" si="20"/>
        <v>0</v>
      </c>
      <c r="T32" s="546">
        <f t="shared" si="21"/>
        <v>0</v>
      </c>
      <c r="U32" s="404"/>
      <c r="V32" s="476" t="str">
        <f t="shared" si="13"/>
        <v/>
      </c>
      <c r="W32" s="476" t="str">
        <f t="shared" si="14"/>
        <v/>
      </c>
      <c r="X32" s="477" t="str">
        <f t="shared" si="15"/>
        <v/>
      </c>
      <c r="AA32" s="366"/>
      <c r="AB32" s="534"/>
      <c r="AC32" s="366"/>
      <c r="AD32" s="366"/>
      <c r="AE32" s="366"/>
      <c r="AF32" s="572"/>
      <c r="AG32" s="366"/>
      <c r="AH32" s="366"/>
      <c r="AI32" s="366"/>
      <c r="AJ32" s="572"/>
      <c r="AK32" s="535"/>
      <c r="AL32" s="536"/>
      <c r="AM32" s="100"/>
      <c r="AN32" s="100"/>
    </row>
    <row r="33" spans="1:49" ht="18" customHeight="1" x14ac:dyDescent="0.3">
      <c r="A33" s="453"/>
      <c r="B33" s="479" t="s">
        <v>475</v>
      </c>
      <c r="C33" s="480" t="s">
        <v>476</v>
      </c>
      <c r="D33" s="480"/>
      <c r="E33" s="480"/>
      <c r="F33" s="480"/>
      <c r="G33" s="481"/>
      <c r="H33" s="481"/>
      <c r="I33" s="483">
        <f>SUBTOTAL(9,I34:I43)</f>
        <v>755</v>
      </c>
      <c r="J33" s="484"/>
      <c r="K33" s="480">
        <f>SUBTOTAL(9,K34:K43)</f>
        <v>3572662.5386663387</v>
      </c>
      <c r="L33" s="480">
        <f>SUBTOTAL(9,L34:L43)</f>
        <v>13427000</v>
      </c>
      <c r="M33" s="480">
        <f>SUBTOTAL(9,M34:M43)</f>
        <v>9854337.4613336623</v>
      </c>
      <c r="N33" s="485">
        <f t="shared" ref="N33:N42" si="27">K33/L33</f>
        <v>0.26608047506266019</v>
      </c>
      <c r="O33" s="486">
        <f t="shared" ref="O33:P42" si="28">L33/L$10</f>
        <v>8.6594353147856611E-3</v>
      </c>
      <c r="P33" s="486">
        <f t="shared" si="28"/>
        <v>9.5780475838180331E-3</v>
      </c>
      <c r="Q33" s="486">
        <f t="shared" ref="Q33:Q42" si="29">I33/I$10</f>
        <v>4.7034637428357839E-2</v>
      </c>
      <c r="R33" s="487">
        <f t="shared" ref="R33:R42" si="30">I33/$K$5*100</f>
        <v>20.444083401028973</v>
      </c>
      <c r="S33" s="487">
        <f t="shared" si="20"/>
        <v>60.063643595863162</v>
      </c>
      <c r="T33" s="487">
        <f t="shared" si="21"/>
        <v>0</v>
      </c>
      <c r="U33" s="404"/>
      <c r="V33" s="476" t="str">
        <f t="shared" si="13"/>
        <v>High</v>
      </c>
      <c r="W33" s="476" t="str">
        <f t="shared" si="14"/>
        <v>High</v>
      </c>
      <c r="X33" s="477" t="str">
        <f t="shared" si="15"/>
        <v>Star</v>
      </c>
      <c r="AC33" s="366"/>
      <c r="AD33" s="366"/>
      <c r="AE33" s="366"/>
      <c r="AF33" s="366"/>
      <c r="AG33" s="366"/>
      <c r="AH33" s="366"/>
      <c r="AI33" s="366"/>
      <c r="AJ33" s="366"/>
      <c r="AM33" s="100"/>
      <c r="AN33" s="100"/>
    </row>
    <row r="34" spans="1:49" ht="17.25" customHeight="1" x14ac:dyDescent="0.3">
      <c r="A34" s="366">
        <v>1</v>
      </c>
      <c r="B34" s="467" t="s">
        <v>600</v>
      </c>
      <c r="C34" s="365" t="s">
        <v>521</v>
      </c>
      <c r="D34" s="365"/>
      <c r="E34" s="468" t="s">
        <v>437</v>
      </c>
      <c r="F34" s="581">
        <v>2000.0443349753696</v>
      </c>
      <c r="G34" s="470">
        <v>15333.333333333334</v>
      </c>
      <c r="H34" s="470">
        <f t="shared" ref="H34:H42" si="31">G34-F34</f>
        <v>13333.288998357964</v>
      </c>
      <c r="I34" s="471">
        <v>144</v>
      </c>
      <c r="J34" s="424"/>
      <c r="K34" s="424">
        <f t="shared" ref="K34:K42" si="32">I34*F34</f>
        <v>288006.38423645322</v>
      </c>
      <c r="L34" s="424">
        <f t="shared" ref="L34:L42" si="33">I34*G34</f>
        <v>2208000</v>
      </c>
      <c r="M34" s="424">
        <f t="shared" ref="M34:M42" si="34">L34-K34</f>
        <v>1919993.6157635469</v>
      </c>
      <c r="N34" s="473">
        <f t="shared" si="27"/>
        <v>0.13043767402013279</v>
      </c>
      <c r="O34" s="474">
        <f t="shared" si="28"/>
        <v>1.4239988958849141E-3</v>
      </c>
      <c r="P34" s="474">
        <f t="shared" si="28"/>
        <v>1.8661620108472781E-3</v>
      </c>
      <c r="Q34" s="474">
        <f t="shared" si="29"/>
        <v>8.9708447545477198E-3</v>
      </c>
      <c r="R34" s="475">
        <f t="shared" si="30"/>
        <v>3.899268887083672</v>
      </c>
      <c r="S34" s="545">
        <f t="shared" si="20"/>
        <v>11.455847255369928</v>
      </c>
      <c r="T34" s="546">
        <f t="shared" si="21"/>
        <v>175656.32458233892</v>
      </c>
      <c r="U34" s="404"/>
      <c r="V34" s="476" t="str">
        <f t="shared" si="13"/>
        <v>High</v>
      </c>
      <c r="W34" s="476" t="str">
        <f t="shared" si="14"/>
        <v>Low</v>
      </c>
      <c r="X34" s="477" t="str">
        <f t="shared" si="15"/>
        <v>Horse</v>
      </c>
      <c r="AC34" s="366"/>
      <c r="AD34" s="366"/>
      <c r="AE34" s="366"/>
      <c r="AF34" s="366"/>
      <c r="AG34" s="366"/>
      <c r="AH34" s="366"/>
      <c r="AI34" s="366"/>
      <c r="AJ34" s="366"/>
      <c r="AM34" s="100"/>
      <c r="AN34" s="100"/>
    </row>
    <row r="35" spans="1:49" ht="17.25" customHeight="1" x14ac:dyDescent="0.3">
      <c r="A35" s="366">
        <f>A34+1</f>
        <v>2</v>
      </c>
      <c r="B35" s="467" t="s">
        <v>601</v>
      </c>
      <c r="C35" s="365" t="s">
        <v>522</v>
      </c>
      <c r="D35" s="365"/>
      <c r="E35" s="468" t="s">
        <v>437</v>
      </c>
      <c r="F35" s="581">
        <v>2662.3818181818183</v>
      </c>
      <c r="G35" s="470">
        <v>15489.130434782608</v>
      </c>
      <c r="H35" s="470">
        <f t="shared" si="31"/>
        <v>12826.748616600789</v>
      </c>
      <c r="I35" s="471">
        <v>184</v>
      </c>
      <c r="J35" s="424"/>
      <c r="K35" s="424">
        <f t="shared" si="32"/>
        <v>489878.25454545458</v>
      </c>
      <c r="L35" s="424">
        <f t="shared" si="33"/>
        <v>2850000</v>
      </c>
      <c r="M35" s="424">
        <f t="shared" si="34"/>
        <v>2360121.7454545456</v>
      </c>
      <c r="N35" s="473">
        <f t="shared" si="27"/>
        <v>0.17188710685805425</v>
      </c>
      <c r="O35" s="474">
        <f t="shared" si="28"/>
        <v>1.8380420531123212E-3</v>
      </c>
      <c r="P35" s="474">
        <f t="shared" si="28"/>
        <v>2.2939500976362904E-3</v>
      </c>
      <c r="Q35" s="474">
        <f t="shared" si="29"/>
        <v>1.1462746075255419E-2</v>
      </c>
      <c r="R35" s="475">
        <f t="shared" si="30"/>
        <v>4.9823991334958029</v>
      </c>
      <c r="S35" s="545">
        <f t="shared" si="20"/>
        <v>14.63802704852824</v>
      </c>
      <c r="T35" s="546">
        <f t="shared" si="21"/>
        <v>226730.31026252979</v>
      </c>
      <c r="U35" s="404"/>
      <c r="V35" s="476" t="str">
        <f t="shared" si="13"/>
        <v>High</v>
      </c>
      <c r="W35" s="476" t="str">
        <f t="shared" si="14"/>
        <v>Low</v>
      </c>
      <c r="X35" s="477" t="str">
        <f t="shared" si="15"/>
        <v>Horse</v>
      </c>
      <c r="AC35" s="366"/>
      <c r="AD35" s="366"/>
      <c r="AE35" s="366"/>
      <c r="AF35" s="366"/>
      <c r="AG35" s="366"/>
      <c r="AH35" s="366"/>
      <c r="AI35" s="366"/>
      <c r="AJ35" s="366"/>
      <c r="AM35" s="100"/>
      <c r="AN35" s="100"/>
    </row>
    <row r="36" spans="1:49" ht="17.25" customHeight="1" x14ac:dyDescent="0.3">
      <c r="A36" s="366">
        <f t="shared" ref="A36:A42" si="35">A35+1</f>
        <v>3</v>
      </c>
      <c r="B36" s="467" t="s">
        <v>602</v>
      </c>
      <c r="C36" s="365" t="s">
        <v>523</v>
      </c>
      <c r="D36" s="365"/>
      <c r="E36" s="468" t="s">
        <v>437</v>
      </c>
      <c r="F36" s="581">
        <v>4689.568181818182</v>
      </c>
      <c r="G36" s="470">
        <v>15108.108108108108</v>
      </c>
      <c r="H36" s="470">
        <f t="shared" si="31"/>
        <v>10418.539926289926</v>
      </c>
      <c r="I36" s="471">
        <v>37</v>
      </c>
      <c r="J36" s="424"/>
      <c r="K36" s="424">
        <f t="shared" si="32"/>
        <v>173514.02272727274</v>
      </c>
      <c r="L36" s="424">
        <f t="shared" si="33"/>
        <v>559000</v>
      </c>
      <c r="M36" s="424">
        <f t="shared" si="34"/>
        <v>385485.97727272729</v>
      </c>
      <c r="N36" s="473">
        <f t="shared" si="27"/>
        <v>0.31040075622052365</v>
      </c>
      <c r="O36" s="474">
        <f t="shared" si="28"/>
        <v>3.6051421322448682E-4</v>
      </c>
      <c r="P36" s="474">
        <f t="shared" si="28"/>
        <v>3.7467795756946655E-4</v>
      </c>
      <c r="Q36" s="474">
        <f t="shared" si="29"/>
        <v>2.3050087216546227E-3</v>
      </c>
      <c r="R36" s="475">
        <f t="shared" si="30"/>
        <v>1.0018954779312212</v>
      </c>
      <c r="S36" s="545">
        <f t="shared" si="20"/>
        <v>2.9435163086714398</v>
      </c>
      <c r="T36" s="546">
        <f t="shared" si="21"/>
        <v>44470.962609387425</v>
      </c>
      <c r="U36" s="404"/>
      <c r="V36" s="476" t="str">
        <f t="shared" si="13"/>
        <v>High</v>
      </c>
      <c r="W36" s="476" t="str">
        <f t="shared" si="14"/>
        <v>Low</v>
      </c>
      <c r="X36" s="477" t="str">
        <f t="shared" si="15"/>
        <v>Horse</v>
      </c>
      <c r="AC36" s="366"/>
      <c r="AD36" s="366"/>
      <c r="AE36" s="366"/>
      <c r="AF36" s="366"/>
      <c r="AG36" s="366"/>
      <c r="AH36" s="366"/>
      <c r="AI36" s="366"/>
      <c r="AJ36" s="366"/>
      <c r="AM36" s="100"/>
      <c r="AN36" s="100"/>
    </row>
    <row r="37" spans="1:49" ht="17.25" customHeight="1" x14ac:dyDescent="0.3">
      <c r="A37" s="366">
        <f t="shared" si="35"/>
        <v>4</v>
      </c>
      <c r="B37" s="467" t="s">
        <v>603</v>
      </c>
      <c r="C37" s="365" t="s">
        <v>524</v>
      </c>
      <c r="D37" s="365"/>
      <c r="E37" s="468" t="s">
        <v>437</v>
      </c>
      <c r="F37" s="581">
        <v>2990.0410958904108</v>
      </c>
      <c r="G37" s="470">
        <v>15115.942028985508</v>
      </c>
      <c r="H37" s="470">
        <f t="shared" si="31"/>
        <v>12125.900933095098</v>
      </c>
      <c r="I37" s="471">
        <v>69</v>
      </c>
      <c r="J37" s="424"/>
      <c r="K37" s="424">
        <f t="shared" si="32"/>
        <v>206312.83561643836</v>
      </c>
      <c r="L37" s="424">
        <f t="shared" si="33"/>
        <v>1043000</v>
      </c>
      <c r="M37" s="424">
        <f t="shared" si="34"/>
        <v>836687.16438356158</v>
      </c>
      <c r="N37" s="473">
        <f t="shared" si="27"/>
        <v>0.1978071290665756</v>
      </c>
      <c r="O37" s="474">
        <f t="shared" si="28"/>
        <v>6.7265889873549154E-4</v>
      </c>
      <c r="P37" s="474">
        <f t="shared" si="28"/>
        <v>8.1322864217712315E-4</v>
      </c>
      <c r="Q37" s="474">
        <f t="shared" si="29"/>
        <v>4.2985297782207827E-3</v>
      </c>
      <c r="R37" s="475">
        <f t="shared" si="30"/>
        <v>1.868399675060926</v>
      </c>
      <c r="S37" s="545">
        <f t="shared" si="20"/>
        <v>5.4892601431980896</v>
      </c>
      <c r="T37" s="546">
        <f t="shared" si="21"/>
        <v>82975.338106603012</v>
      </c>
      <c r="U37" s="404"/>
      <c r="V37" s="476" t="str">
        <f t="shared" si="13"/>
        <v>High</v>
      </c>
      <c r="W37" s="476" t="str">
        <f t="shared" si="14"/>
        <v>Low</v>
      </c>
      <c r="X37" s="477" t="str">
        <f t="shared" si="15"/>
        <v>Horse</v>
      </c>
      <c r="AC37" s="366"/>
      <c r="AD37" s="366"/>
      <c r="AE37" s="366"/>
      <c r="AF37" s="366"/>
      <c r="AG37" s="366"/>
      <c r="AH37" s="366"/>
      <c r="AI37" s="366"/>
      <c r="AJ37" s="366"/>
      <c r="AM37" s="100"/>
      <c r="AN37" s="100"/>
    </row>
    <row r="38" spans="1:49" ht="17.25" customHeight="1" x14ac:dyDescent="0.3">
      <c r="A38" s="366">
        <f t="shared" si="35"/>
        <v>5</v>
      </c>
      <c r="B38" s="467" t="s">
        <v>604</v>
      </c>
      <c r="C38" s="365" t="s">
        <v>525</v>
      </c>
      <c r="D38" s="365"/>
      <c r="E38" s="468" t="s">
        <v>437</v>
      </c>
      <c r="F38" s="581">
        <v>3098</v>
      </c>
      <c r="G38" s="470">
        <v>15222.222222222223</v>
      </c>
      <c r="H38" s="470">
        <f t="shared" si="31"/>
        <v>12124.222222222223</v>
      </c>
      <c r="I38" s="471">
        <v>27</v>
      </c>
      <c r="J38" s="424"/>
      <c r="K38" s="424">
        <f t="shared" si="32"/>
        <v>83646</v>
      </c>
      <c r="L38" s="424">
        <f t="shared" si="33"/>
        <v>411000</v>
      </c>
      <c r="M38" s="424">
        <f t="shared" si="34"/>
        <v>327354</v>
      </c>
      <c r="N38" s="473">
        <f t="shared" si="27"/>
        <v>0.20351824817518249</v>
      </c>
      <c r="O38" s="474">
        <f t="shared" si="28"/>
        <v>2.6506501186988212E-4</v>
      </c>
      <c r="P38" s="474">
        <f t="shared" si="28"/>
        <v>3.1817584906705936E-4</v>
      </c>
      <c r="Q38" s="474">
        <f t="shared" si="29"/>
        <v>1.6820333914776976E-3</v>
      </c>
      <c r="R38" s="475">
        <f t="shared" si="30"/>
        <v>0.73111291632818853</v>
      </c>
      <c r="S38" s="545">
        <f t="shared" si="20"/>
        <v>2.1479713603818618</v>
      </c>
      <c r="T38" s="546">
        <f t="shared" si="21"/>
        <v>32696.897374701675</v>
      </c>
      <c r="U38" s="404"/>
      <c r="V38" s="476" t="str">
        <f t="shared" si="13"/>
        <v>High</v>
      </c>
      <c r="W38" s="476" t="str">
        <f t="shared" si="14"/>
        <v>Low</v>
      </c>
      <c r="X38" s="477" t="str">
        <f t="shared" si="15"/>
        <v>Horse</v>
      </c>
      <c r="AC38" s="366"/>
      <c r="AD38" s="366"/>
      <c r="AE38" s="366"/>
      <c r="AF38" s="366"/>
      <c r="AG38" s="366"/>
      <c r="AH38" s="366"/>
      <c r="AI38" s="366"/>
      <c r="AJ38" s="366"/>
      <c r="AM38" s="100"/>
      <c r="AN38" s="100"/>
    </row>
    <row r="39" spans="1:49" s="148" customFormat="1" ht="17.25" customHeight="1" x14ac:dyDescent="0.3">
      <c r="A39" s="366">
        <f t="shared" si="35"/>
        <v>6</v>
      </c>
      <c r="B39" s="467" t="s">
        <v>605</v>
      </c>
      <c r="C39" s="365" t="s">
        <v>526</v>
      </c>
      <c r="D39" s="365"/>
      <c r="E39" s="468" t="s">
        <v>437</v>
      </c>
      <c r="F39" s="581">
        <v>3284.8461538461538</v>
      </c>
      <c r="G39" s="470">
        <v>15285.714285714286</v>
      </c>
      <c r="H39" s="470">
        <f t="shared" si="31"/>
        <v>12000.868131868132</v>
      </c>
      <c r="I39" s="471">
        <v>49</v>
      </c>
      <c r="J39" s="424"/>
      <c r="K39" s="424">
        <f t="shared" si="32"/>
        <v>160957.46153846153</v>
      </c>
      <c r="L39" s="424">
        <f t="shared" si="33"/>
        <v>749000</v>
      </c>
      <c r="M39" s="424">
        <f t="shared" si="34"/>
        <v>588042.5384615385</v>
      </c>
      <c r="N39" s="473">
        <f t="shared" si="27"/>
        <v>0.21489647735442127</v>
      </c>
      <c r="O39" s="474">
        <f t="shared" si="28"/>
        <v>4.830503500986416E-4</v>
      </c>
      <c r="P39" s="474">
        <f t="shared" si="28"/>
        <v>5.7155536197067681E-4</v>
      </c>
      <c r="Q39" s="474">
        <f t="shared" si="29"/>
        <v>3.0525791178669325E-3</v>
      </c>
      <c r="R39" s="475">
        <f t="shared" si="30"/>
        <v>1.3268345518548605</v>
      </c>
      <c r="S39" s="545">
        <f t="shared" si="20"/>
        <v>3.8981702466189336</v>
      </c>
      <c r="T39" s="546">
        <f t="shared" si="21"/>
        <v>59586.316626889413</v>
      </c>
      <c r="U39" s="404"/>
      <c r="V39" s="476" t="str">
        <f t="shared" si="13"/>
        <v>High</v>
      </c>
      <c r="W39" s="476" t="str">
        <f t="shared" si="14"/>
        <v>Low</v>
      </c>
      <c r="X39" s="477" t="str">
        <f t="shared" si="15"/>
        <v>Horse</v>
      </c>
      <c r="Y39" s="374"/>
      <c r="Z39" s="571"/>
      <c r="AA39" s="571"/>
      <c r="AB39" s="571"/>
      <c r="AC39" s="366"/>
      <c r="AD39" s="366"/>
      <c r="AE39" s="366"/>
      <c r="AF39" s="366"/>
      <c r="AG39" s="366"/>
      <c r="AH39" s="366"/>
      <c r="AI39" s="366"/>
      <c r="AJ39" s="366"/>
      <c r="AK39" s="375"/>
      <c r="AL39" s="376"/>
      <c r="AM39" s="100"/>
      <c r="AN39" s="100"/>
      <c r="AO39" s="84"/>
      <c r="AP39" s="84"/>
      <c r="AQ39" s="84"/>
      <c r="AR39" s="84"/>
      <c r="AS39" s="84"/>
      <c r="AT39" s="84"/>
      <c r="AU39" s="84"/>
      <c r="AV39" s="84"/>
      <c r="AW39" s="84"/>
    </row>
    <row r="40" spans="1:49" ht="17.25" customHeight="1" x14ac:dyDescent="0.3">
      <c r="A40" s="366">
        <f t="shared" si="35"/>
        <v>7</v>
      </c>
      <c r="B40" s="467" t="s">
        <v>606</v>
      </c>
      <c r="C40" s="365" t="s">
        <v>527</v>
      </c>
      <c r="D40" s="365"/>
      <c r="E40" s="468" t="s">
        <v>437</v>
      </c>
      <c r="F40" s="581">
        <v>3756.1125000000002</v>
      </c>
      <c r="G40" s="470">
        <v>15336.842105263158</v>
      </c>
      <c r="H40" s="470">
        <f t="shared" si="31"/>
        <v>11580.729605263157</v>
      </c>
      <c r="I40" s="471">
        <v>95</v>
      </c>
      <c r="J40" s="424"/>
      <c r="K40" s="424">
        <f t="shared" si="32"/>
        <v>356830.6875</v>
      </c>
      <c r="L40" s="424">
        <f t="shared" si="33"/>
        <v>1457000</v>
      </c>
      <c r="M40" s="424">
        <f t="shared" si="34"/>
        <v>1100169.3125</v>
      </c>
      <c r="N40" s="473">
        <f t="shared" si="27"/>
        <v>0.24490781571722717</v>
      </c>
      <c r="O40" s="474">
        <f t="shared" si="28"/>
        <v>9.3965869171391294E-4</v>
      </c>
      <c r="P40" s="474">
        <f t="shared" si="28"/>
        <v>1.069323439219348E-3</v>
      </c>
      <c r="Q40" s="474">
        <f t="shared" si="29"/>
        <v>5.9182656366807878E-3</v>
      </c>
      <c r="R40" s="475">
        <f t="shared" si="30"/>
        <v>2.5724343352288113</v>
      </c>
      <c r="S40" s="545">
        <f t="shared" si="20"/>
        <v>7.5576770087509937</v>
      </c>
      <c r="T40" s="546">
        <f t="shared" si="21"/>
        <v>115910.89896579157</v>
      </c>
      <c r="U40" s="404"/>
      <c r="V40" s="476" t="str">
        <f t="shared" si="13"/>
        <v>High</v>
      </c>
      <c r="W40" s="476" t="str">
        <f t="shared" si="14"/>
        <v>Low</v>
      </c>
      <c r="X40" s="477" t="str">
        <f t="shared" si="15"/>
        <v>Horse</v>
      </c>
      <c r="AC40" s="366"/>
      <c r="AD40" s="366"/>
      <c r="AE40" s="366"/>
      <c r="AF40" s="366"/>
      <c r="AG40" s="366"/>
      <c r="AH40" s="366"/>
      <c r="AI40" s="366"/>
      <c r="AJ40" s="366"/>
      <c r="AM40" s="100"/>
      <c r="AN40" s="100"/>
    </row>
    <row r="41" spans="1:49" ht="17.25" customHeight="1" x14ac:dyDescent="0.3">
      <c r="A41" s="366">
        <f t="shared" si="35"/>
        <v>8</v>
      </c>
      <c r="B41" s="467" t="s">
        <v>607</v>
      </c>
      <c r="C41" s="365" t="s">
        <v>528</v>
      </c>
      <c r="D41" s="365"/>
      <c r="E41" s="468" t="s">
        <v>437</v>
      </c>
      <c r="F41" s="581">
        <v>13861.186991869919</v>
      </c>
      <c r="G41" s="470">
        <v>30104</v>
      </c>
      <c r="H41" s="470">
        <f t="shared" si="31"/>
        <v>16242.813008130081</v>
      </c>
      <c r="I41" s="471">
        <v>125</v>
      </c>
      <c r="J41" s="424"/>
      <c r="K41" s="424">
        <f t="shared" si="32"/>
        <v>1732648.3739837399</v>
      </c>
      <c r="L41" s="424">
        <f t="shared" si="33"/>
        <v>3763000</v>
      </c>
      <c r="M41" s="424">
        <f t="shared" si="34"/>
        <v>2030351.6260162601</v>
      </c>
      <c r="N41" s="473">
        <f t="shared" si="27"/>
        <v>0.46044336273817166</v>
      </c>
      <c r="O41" s="474">
        <f t="shared" si="28"/>
        <v>2.4268604371444438E-3</v>
      </c>
      <c r="P41" s="474">
        <f t="shared" si="28"/>
        <v>1.9734258708077744E-3</v>
      </c>
      <c r="Q41" s="474">
        <f t="shared" si="29"/>
        <v>7.7871916272115628E-3</v>
      </c>
      <c r="R41" s="475">
        <f t="shared" si="30"/>
        <v>3.3847820200379095</v>
      </c>
      <c r="S41" s="545">
        <f t="shared" si="20"/>
        <v>9.9443118536197286</v>
      </c>
      <c r="T41" s="546">
        <f t="shared" si="21"/>
        <v>299363.56404136831</v>
      </c>
      <c r="U41" s="404"/>
      <c r="V41" s="476" t="str">
        <f t="shared" si="13"/>
        <v>High</v>
      </c>
      <c r="W41" s="476" t="str">
        <f t="shared" si="14"/>
        <v>Low</v>
      </c>
      <c r="X41" s="477" t="str">
        <f t="shared" si="15"/>
        <v>Horse</v>
      </c>
      <c r="AC41" s="366"/>
      <c r="AD41" s="366"/>
      <c r="AE41" s="366"/>
      <c r="AF41" s="366"/>
      <c r="AG41" s="366"/>
      <c r="AH41" s="366"/>
      <c r="AI41" s="366"/>
      <c r="AJ41" s="366"/>
      <c r="AM41" s="100"/>
      <c r="AN41" s="100"/>
    </row>
    <row r="42" spans="1:49" ht="17.25" customHeight="1" x14ac:dyDescent="0.3">
      <c r="A42" s="366">
        <f t="shared" si="35"/>
        <v>9</v>
      </c>
      <c r="B42" s="467" t="s">
        <v>608</v>
      </c>
      <c r="C42" s="365" t="s">
        <v>656</v>
      </c>
      <c r="D42" s="365"/>
      <c r="E42" s="468" t="s">
        <v>437</v>
      </c>
      <c r="F42" s="581">
        <v>3234.7407407407409</v>
      </c>
      <c r="G42" s="470">
        <v>15480</v>
      </c>
      <c r="H42" s="470">
        <f t="shared" si="31"/>
        <v>12245.259259259259</v>
      </c>
      <c r="I42" s="471">
        <v>25</v>
      </c>
      <c r="J42" s="424"/>
      <c r="K42" s="424">
        <f t="shared" si="32"/>
        <v>80868.518518518526</v>
      </c>
      <c r="L42" s="424">
        <f t="shared" si="33"/>
        <v>387000</v>
      </c>
      <c r="M42" s="424">
        <f t="shared" si="34"/>
        <v>306131.48148148146</v>
      </c>
      <c r="N42" s="473">
        <f t="shared" si="27"/>
        <v>0.20896258015121066</v>
      </c>
      <c r="O42" s="474">
        <f t="shared" si="28"/>
        <v>2.4958676300156784E-4</v>
      </c>
      <c r="P42" s="474">
        <f t="shared" si="28"/>
        <v>2.9754835452301524E-4</v>
      </c>
      <c r="Q42" s="474">
        <f t="shared" si="29"/>
        <v>1.5574383254423124E-3</v>
      </c>
      <c r="R42" s="475">
        <f t="shared" si="30"/>
        <v>0.67695640400758195</v>
      </c>
      <c r="S42" s="545">
        <f t="shared" si="20"/>
        <v>1.9888623707239459</v>
      </c>
      <c r="T42" s="546">
        <f t="shared" si="21"/>
        <v>30787.589498806683</v>
      </c>
      <c r="U42" s="404"/>
      <c r="V42" s="476" t="str">
        <f t="shared" si="13"/>
        <v>High</v>
      </c>
      <c r="W42" s="476" t="str">
        <f t="shared" si="14"/>
        <v>Low</v>
      </c>
      <c r="X42" s="477" t="str">
        <f t="shared" si="15"/>
        <v>Horse</v>
      </c>
      <c r="AA42" s="366"/>
      <c r="AB42" s="534"/>
      <c r="AC42" s="366"/>
      <c r="AD42" s="366"/>
      <c r="AE42" s="366"/>
      <c r="AF42" s="572"/>
      <c r="AG42" s="366"/>
      <c r="AH42" s="366"/>
      <c r="AI42" s="366"/>
      <c r="AJ42" s="572"/>
      <c r="AK42" s="535"/>
      <c r="AL42" s="536"/>
      <c r="AM42" s="100"/>
      <c r="AN42" s="100"/>
    </row>
    <row r="43" spans="1:49" ht="17.25" customHeight="1" x14ac:dyDescent="0.3">
      <c r="A43" s="366"/>
      <c r="B43" s="467"/>
      <c r="C43" s="365"/>
      <c r="D43" s="365"/>
      <c r="E43" s="468"/>
      <c r="F43" s="478"/>
      <c r="G43" s="470"/>
      <c r="H43" s="470"/>
      <c r="I43" s="471"/>
      <c r="J43" s="424"/>
      <c r="K43" s="424"/>
      <c r="L43" s="424"/>
      <c r="M43" s="424"/>
      <c r="N43" s="473"/>
      <c r="O43" s="474"/>
      <c r="P43" s="474"/>
      <c r="Q43" s="474"/>
      <c r="R43" s="475"/>
      <c r="S43" s="545">
        <f t="shared" si="20"/>
        <v>0</v>
      </c>
      <c r="T43" s="546">
        <f t="shared" si="21"/>
        <v>0</v>
      </c>
      <c r="U43" s="404"/>
      <c r="V43" s="476" t="str">
        <f t="shared" si="13"/>
        <v/>
      </c>
      <c r="W43" s="476" t="str">
        <f t="shared" si="14"/>
        <v/>
      </c>
      <c r="X43" s="477" t="str">
        <f t="shared" si="15"/>
        <v/>
      </c>
      <c r="Y43" s="488"/>
      <c r="AA43" s="366"/>
      <c r="AB43" s="534"/>
      <c r="AC43" s="366"/>
      <c r="AD43" s="366"/>
      <c r="AE43" s="366"/>
      <c r="AF43" s="572"/>
      <c r="AG43" s="366"/>
      <c r="AH43" s="366"/>
      <c r="AI43" s="366"/>
      <c r="AJ43" s="572"/>
      <c r="AK43" s="535"/>
      <c r="AL43" s="536"/>
      <c r="AM43" s="76"/>
      <c r="AN43" s="76"/>
    </row>
    <row r="44" spans="1:49" ht="17.25" customHeight="1" x14ac:dyDescent="0.3">
      <c r="A44" s="453"/>
      <c r="B44" s="479" t="s">
        <v>477</v>
      </c>
      <c r="C44" s="484" t="s">
        <v>478</v>
      </c>
      <c r="D44" s="484"/>
      <c r="E44" s="484"/>
      <c r="F44" s="484"/>
      <c r="G44" s="489"/>
      <c r="H44" s="489"/>
      <c r="I44" s="489">
        <f>SUBTOTAL(9,I45:I68)</f>
        <v>1651</v>
      </c>
      <c r="J44" s="484"/>
      <c r="K44" s="480">
        <f>SUBTOTAL(9,K45:K68)</f>
        <v>20114375.09877703</v>
      </c>
      <c r="L44" s="480">
        <f>SUBTOTAL(9,L45:L68)</f>
        <v>66828000</v>
      </c>
      <c r="M44" s="480">
        <f>SUBTOTAL(9,M45:M68)</f>
        <v>46713624.901222967</v>
      </c>
      <c r="N44" s="491">
        <f t="shared" ref="N44:N67" si="36">K44/L44</f>
        <v>0.30098723736722677</v>
      </c>
      <c r="O44" s="492">
        <f t="shared" ref="O44:P67" si="37">L44/L$10</f>
        <v>4.309918397382112E-2</v>
      </c>
      <c r="P44" s="492">
        <f t="shared" si="37"/>
        <v>4.5403896900440333E-2</v>
      </c>
      <c r="Q44" s="492">
        <f t="shared" ref="Q44:Q67" si="38">I44/I$10</f>
        <v>0.10285322701221032</v>
      </c>
      <c r="R44" s="493">
        <f t="shared" ref="R44:R67" si="39">I44/$K$5*100</f>
        <v>44.706200920660713</v>
      </c>
      <c r="S44" s="493">
        <f t="shared" si="20"/>
        <v>131.34447096260939</v>
      </c>
      <c r="T44" s="493">
        <f t="shared" si="21"/>
        <v>0</v>
      </c>
      <c r="U44" s="404"/>
      <c r="V44" s="476" t="str">
        <f t="shared" si="13"/>
        <v>High</v>
      </c>
      <c r="W44" s="476" t="str">
        <f t="shared" si="14"/>
        <v>High</v>
      </c>
      <c r="X44" s="477" t="str">
        <f t="shared" si="15"/>
        <v>Star</v>
      </c>
      <c r="AA44" s="366"/>
      <c r="AB44" s="534"/>
      <c r="AC44" s="366"/>
      <c r="AD44" s="366"/>
      <c r="AE44" s="366"/>
      <c r="AF44" s="572"/>
      <c r="AG44" s="366"/>
      <c r="AH44" s="366"/>
      <c r="AI44" s="366"/>
      <c r="AJ44" s="572"/>
      <c r="AK44" s="535"/>
      <c r="AL44" s="536"/>
      <c r="AM44" s="76"/>
      <c r="AN44" s="76"/>
    </row>
    <row r="45" spans="1:49" ht="17.25" customHeight="1" x14ac:dyDescent="0.3">
      <c r="A45" s="366">
        <f t="shared" ref="A45:A67" si="40">A44+1</f>
        <v>1</v>
      </c>
      <c r="B45" s="467" t="s">
        <v>609</v>
      </c>
      <c r="C45" s="365" t="s">
        <v>657</v>
      </c>
      <c r="D45" s="365"/>
      <c r="E45" s="468" t="s">
        <v>437</v>
      </c>
      <c r="F45" s="581">
        <v>49610.052631578947</v>
      </c>
      <c r="G45" s="470">
        <v>168260.86956521738</v>
      </c>
      <c r="H45" s="494">
        <f t="shared" ref="H45:H67" si="41">G45-F45</f>
        <v>118650.81693363843</v>
      </c>
      <c r="I45" s="471">
        <v>23</v>
      </c>
      <c r="J45" s="424"/>
      <c r="K45" s="495">
        <f t="shared" ref="K45:K67" si="42">I45*F45</f>
        <v>1141031.2105263157</v>
      </c>
      <c r="L45" s="495">
        <f t="shared" ref="L45:L67" si="43">I45*G45</f>
        <v>3869999.9999999995</v>
      </c>
      <c r="M45" s="495">
        <f t="shared" ref="M45:M67" si="44">L45-K45</f>
        <v>2728968.7894736836</v>
      </c>
      <c r="N45" s="496">
        <f t="shared" si="36"/>
        <v>0.2948401060791514</v>
      </c>
      <c r="O45" s="497">
        <f t="shared" si="37"/>
        <v>2.4958676300156778E-3</v>
      </c>
      <c r="P45" s="497">
        <f t="shared" si="37"/>
        <v>2.6524556341706363E-3</v>
      </c>
      <c r="Q45" s="497">
        <f t="shared" si="38"/>
        <v>1.4328432594069274E-3</v>
      </c>
      <c r="R45" s="498">
        <f t="shared" si="39"/>
        <v>0.62279989168697536</v>
      </c>
      <c r="S45" s="545">
        <f t="shared" si="20"/>
        <v>1.82975338106603</v>
      </c>
      <c r="T45" s="546">
        <f t="shared" si="21"/>
        <v>307875.89498806675</v>
      </c>
      <c r="U45" s="404"/>
      <c r="V45" s="476" t="str">
        <f t="shared" si="13"/>
        <v>High</v>
      </c>
      <c r="W45" s="476" t="str">
        <f t="shared" si="14"/>
        <v>Low</v>
      </c>
      <c r="X45" s="477" t="str">
        <f t="shared" si="15"/>
        <v>Horse</v>
      </c>
      <c r="AA45" s="366"/>
      <c r="AB45" s="534"/>
      <c r="AC45" s="366"/>
      <c r="AD45" s="366"/>
      <c r="AE45" s="366"/>
      <c r="AF45" s="572"/>
      <c r="AG45" s="366"/>
      <c r="AH45" s="366"/>
      <c r="AI45" s="366"/>
      <c r="AJ45" s="572"/>
      <c r="AK45" s="535"/>
      <c r="AL45" s="536"/>
      <c r="AM45" s="76"/>
      <c r="AN45" s="76"/>
    </row>
    <row r="46" spans="1:49" ht="17.25" customHeight="1" x14ac:dyDescent="0.3">
      <c r="A46" s="366">
        <f t="shared" si="40"/>
        <v>2</v>
      </c>
      <c r="B46" s="467" t="s">
        <v>610</v>
      </c>
      <c r="C46" s="365" t="s">
        <v>658</v>
      </c>
      <c r="D46" s="365"/>
      <c r="E46" s="468" t="s">
        <v>437</v>
      </c>
      <c r="F46" s="581">
        <v>45794</v>
      </c>
      <c r="G46" s="470">
        <v>153173.07692307694</v>
      </c>
      <c r="H46" s="494">
        <f t="shared" si="41"/>
        <v>107379.07692307694</v>
      </c>
      <c r="I46" s="471">
        <v>52</v>
      </c>
      <c r="J46" s="424"/>
      <c r="K46" s="495">
        <f t="shared" si="42"/>
        <v>2381288</v>
      </c>
      <c r="L46" s="495">
        <f t="shared" si="43"/>
        <v>7965000.0000000009</v>
      </c>
      <c r="M46" s="495">
        <f t="shared" si="44"/>
        <v>5583712.0000000009</v>
      </c>
      <c r="N46" s="496">
        <f t="shared" si="36"/>
        <v>0.29896898932831134</v>
      </c>
      <c r="O46" s="497">
        <f t="shared" si="37"/>
        <v>5.1368438431718035E-3</v>
      </c>
      <c r="P46" s="497">
        <f t="shared" si="37"/>
        <v>5.4271593032189265E-3</v>
      </c>
      <c r="Q46" s="497">
        <f t="shared" si="38"/>
        <v>3.2394717169200102E-3</v>
      </c>
      <c r="R46" s="498">
        <f t="shared" si="39"/>
        <v>1.4080693203357704</v>
      </c>
      <c r="S46" s="545">
        <f t="shared" si="20"/>
        <v>4.1368337311058072</v>
      </c>
      <c r="T46" s="546">
        <f t="shared" si="21"/>
        <v>633651.55131264916</v>
      </c>
      <c r="U46" s="404"/>
      <c r="V46" s="476" t="str">
        <f t="shared" si="13"/>
        <v>High</v>
      </c>
      <c r="W46" s="476" t="str">
        <f t="shared" si="14"/>
        <v>Low</v>
      </c>
      <c r="X46" s="477" t="str">
        <f t="shared" si="15"/>
        <v>Horse</v>
      </c>
      <c r="AC46" s="366"/>
      <c r="AD46" s="366"/>
      <c r="AE46" s="366"/>
      <c r="AF46" s="366"/>
      <c r="AG46" s="366"/>
      <c r="AH46" s="366"/>
      <c r="AI46" s="366"/>
      <c r="AJ46" s="366"/>
      <c r="AM46" s="76"/>
      <c r="AN46" s="76"/>
    </row>
    <row r="47" spans="1:49" ht="17.25" customHeight="1" x14ac:dyDescent="0.3">
      <c r="A47" s="366">
        <f t="shared" si="40"/>
        <v>3</v>
      </c>
      <c r="B47" s="467" t="s">
        <v>611</v>
      </c>
      <c r="C47" s="365" t="s">
        <v>659</v>
      </c>
      <c r="D47" s="365"/>
      <c r="E47" s="468" t="s">
        <v>437</v>
      </c>
      <c r="F47" s="581">
        <v>9836.6323529411766</v>
      </c>
      <c r="G47" s="470">
        <v>25407.766990291264</v>
      </c>
      <c r="H47" s="494">
        <f t="shared" si="41"/>
        <v>15571.134637350087</v>
      </c>
      <c r="I47" s="471">
        <v>206</v>
      </c>
      <c r="J47" s="424"/>
      <c r="K47" s="495">
        <f t="shared" si="42"/>
        <v>2026346.2647058824</v>
      </c>
      <c r="L47" s="495">
        <f t="shared" si="43"/>
        <v>5234000</v>
      </c>
      <c r="M47" s="495">
        <f t="shared" si="44"/>
        <v>3207653.7352941176</v>
      </c>
      <c r="N47" s="496">
        <f t="shared" si="36"/>
        <v>0.38715060464384454</v>
      </c>
      <c r="O47" s="497">
        <f t="shared" si="37"/>
        <v>3.3755481073648734E-3</v>
      </c>
      <c r="P47" s="497">
        <f t="shared" si="37"/>
        <v>3.117719504696232E-3</v>
      </c>
      <c r="Q47" s="497">
        <f t="shared" si="38"/>
        <v>1.2833291801644655E-2</v>
      </c>
      <c r="R47" s="498">
        <f t="shared" si="39"/>
        <v>5.5781207690224752</v>
      </c>
      <c r="S47" s="545">
        <f t="shared" si="20"/>
        <v>16.388225934765313</v>
      </c>
      <c r="T47" s="546">
        <f t="shared" si="21"/>
        <v>416388.2259347653</v>
      </c>
      <c r="U47" s="404"/>
      <c r="V47" s="476" t="str">
        <f t="shared" si="13"/>
        <v>High</v>
      </c>
      <c r="W47" s="476" t="str">
        <f t="shared" si="14"/>
        <v>Low</v>
      </c>
      <c r="X47" s="477" t="str">
        <f t="shared" si="15"/>
        <v>Horse</v>
      </c>
      <c r="AC47" s="366"/>
      <c r="AD47" s="366"/>
      <c r="AE47" s="366"/>
      <c r="AF47" s="366"/>
      <c r="AG47" s="366"/>
      <c r="AH47" s="366"/>
      <c r="AI47" s="366"/>
      <c r="AJ47" s="366"/>
      <c r="AM47" s="76"/>
      <c r="AN47" s="76"/>
    </row>
    <row r="48" spans="1:49" ht="17.25" customHeight="1" x14ac:dyDescent="0.3">
      <c r="A48" s="366">
        <f t="shared" si="40"/>
        <v>4</v>
      </c>
      <c r="B48" s="467" t="s">
        <v>612</v>
      </c>
      <c r="C48" s="365" t="s">
        <v>660</v>
      </c>
      <c r="D48" s="365"/>
      <c r="E48" s="468" t="s">
        <v>437</v>
      </c>
      <c r="F48" s="581">
        <v>9632.9712230215828</v>
      </c>
      <c r="G48" s="470">
        <v>25220.930232558141</v>
      </c>
      <c r="H48" s="494">
        <f t="shared" si="41"/>
        <v>15587.959009536558</v>
      </c>
      <c r="I48" s="471">
        <v>172</v>
      </c>
      <c r="J48" s="424"/>
      <c r="K48" s="495">
        <f t="shared" si="42"/>
        <v>1656871.0503597122</v>
      </c>
      <c r="L48" s="495">
        <f t="shared" si="43"/>
        <v>4338000</v>
      </c>
      <c r="M48" s="495">
        <f t="shared" si="44"/>
        <v>2681128.949640288</v>
      </c>
      <c r="N48" s="496">
        <f t="shared" si="36"/>
        <v>0.38194353396950487</v>
      </c>
      <c r="O48" s="497">
        <f t="shared" si="37"/>
        <v>2.7976934829478067E-3</v>
      </c>
      <c r="P48" s="497">
        <f t="shared" si="37"/>
        <v>2.6059570984624343E-3</v>
      </c>
      <c r="Q48" s="497">
        <f t="shared" si="38"/>
        <v>1.071517567904311E-2</v>
      </c>
      <c r="R48" s="498">
        <f t="shared" si="39"/>
        <v>4.6574600595721636</v>
      </c>
      <c r="S48" s="545">
        <f t="shared" si="20"/>
        <v>13.683373110580748</v>
      </c>
      <c r="T48" s="546">
        <f t="shared" si="21"/>
        <v>345107.3985680191</v>
      </c>
      <c r="U48" s="404"/>
      <c r="V48" s="476" t="str">
        <f t="shared" si="13"/>
        <v>High</v>
      </c>
      <c r="W48" s="476" t="str">
        <f t="shared" si="14"/>
        <v>Low</v>
      </c>
      <c r="X48" s="477" t="str">
        <f t="shared" si="15"/>
        <v>Horse</v>
      </c>
      <c r="AC48" s="366"/>
      <c r="AD48" s="366"/>
      <c r="AE48" s="366"/>
      <c r="AF48" s="366"/>
      <c r="AG48" s="366"/>
      <c r="AH48" s="366"/>
      <c r="AI48" s="366"/>
      <c r="AJ48" s="366"/>
      <c r="AM48" s="76"/>
      <c r="AN48" s="76"/>
    </row>
    <row r="49" spans="1:40" ht="17.25" customHeight="1" x14ac:dyDescent="0.3">
      <c r="A49" s="366">
        <f t="shared" si="40"/>
        <v>5</v>
      </c>
      <c r="B49" s="467" t="s">
        <v>613</v>
      </c>
      <c r="C49" s="365" t="s">
        <v>661</v>
      </c>
      <c r="D49" s="365"/>
      <c r="E49" s="468" t="s">
        <v>437</v>
      </c>
      <c r="F49" s="581">
        <v>12274.173611111111</v>
      </c>
      <c r="G49" s="470">
        <v>35820.51282051282</v>
      </c>
      <c r="H49" s="494">
        <f t="shared" si="41"/>
        <v>23546.339209401711</v>
      </c>
      <c r="I49" s="471">
        <v>117</v>
      </c>
      <c r="J49" s="424"/>
      <c r="K49" s="495">
        <f t="shared" si="42"/>
        <v>1436078.3125</v>
      </c>
      <c r="L49" s="495">
        <f t="shared" si="43"/>
        <v>4191000</v>
      </c>
      <c r="M49" s="495">
        <f t="shared" si="44"/>
        <v>2754921.6875</v>
      </c>
      <c r="N49" s="496">
        <f t="shared" si="36"/>
        <v>0.3426576741827726</v>
      </c>
      <c r="O49" s="497">
        <f t="shared" si="37"/>
        <v>2.7028892086293816E-3</v>
      </c>
      <c r="P49" s="497">
        <f t="shared" si="37"/>
        <v>2.6776808807394089E-3</v>
      </c>
      <c r="Q49" s="497">
        <f t="shared" si="38"/>
        <v>7.288811363070022E-3</v>
      </c>
      <c r="R49" s="498">
        <f t="shared" si="39"/>
        <v>3.1681559707554832</v>
      </c>
      <c r="S49" s="545">
        <f t="shared" si="20"/>
        <v>9.3078758949880651</v>
      </c>
      <c r="T49" s="546">
        <f t="shared" si="21"/>
        <v>333412.88782816223</v>
      </c>
      <c r="U49" s="404"/>
      <c r="V49" s="476" t="str">
        <f t="shared" si="13"/>
        <v>High</v>
      </c>
      <c r="W49" s="476" t="str">
        <f t="shared" si="14"/>
        <v>Low</v>
      </c>
      <c r="X49" s="477" t="str">
        <f t="shared" si="15"/>
        <v>Horse</v>
      </c>
      <c r="AC49" s="366"/>
      <c r="AD49" s="366"/>
      <c r="AE49" s="366"/>
      <c r="AF49" s="366"/>
      <c r="AG49" s="366"/>
      <c r="AH49" s="366"/>
      <c r="AI49" s="366"/>
      <c r="AJ49" s="366"/>
      <c r="AM49" s="76"/>
      <c r="AN49" s="76"/>
    </row>
    <row r="50" spans="1:40" ht="17.25" customHeight="1" x14ac:dyDescent="0.3">
      <c r="A50" s="366">
        <f t="shared" si="40"/>
        <v>6</v>
      </c>
      <c r="B50" s="467" t="s">
        <v>614</v>
      </c>
      <c r="C50" s="365" t="s">
        <v>662</v>
      </c>
      <c r="D50" s="365"/>
      <c r="E50" s="468" t="s">
        <v>437</v>
      </c>
      <c r="F50" s="581">
        <v>12070.49593495935</v>
      </c>
      <c r="G50" s="470">
        <v>35900</v>
      </c>
      <c r="H50" s="494">
        <f t="shared" si="41"/>
        <v>23829.504065040652</v>
      </c>
      <c r="I50" s="471">
        <v>80</v>
      </c>
      <c r="J50" s="424"/>
      <c r="K50" s="495">
        <f t="shared" si="42"/>
        <v>965639.67479674798</v>
      </c>
      <c r="L50" s="495">
        <f t="shared" si="43"/>
        <v>2872000</v>
      </c>
      <c r="M50" s="495">
        <f t="shared" si="44"/>
        <v>1906360.325203252</v>
      </c>
      <c r="N50" s="496">
        <f t="shared" si="36"/>
        <v>0.33622551350861696</v>
      </c>
      <c r="O50" s="497">
        <f t="shared" si="37"/>
        <v>1.8522304479082759E-3</v>
      </c>
      <c r="P50" s="497">
        <f t="shared" si="37"/>
        <v>1.8529109621367086E-3</v>
      </c>
      <c r="Q50" s="497">
        <f t="shared" si="38"/>
        <v>4.9838026414153998E-3</v>
      </c>
      <c r="R50" s="498">
        <f t="shared" si="39"/>
        <v>2.1662604928242621</v>
      </c>
      <c r="S50" s="545">
        <f t="shared" si="20"/>
        <v>6.3643595863166267</v>
      </c>
      <c r="T50" s="546">
        <f t="shared" si="21"/>
        <v>228480.5091487669</v>
      </c>
      <c r="U50" s="404"/>
      <c r="V50" s="476" t="str">
        <f t="shared" si="13"/>
        <v>High</v>
      </c>
      <c r="W50" s="476" t="str">
        <f t="shared" si="14"/>
        <v>Low</v>
      </c>
      <c r="X50" s="477" t="str">
        <f t="shared" si="15"/>
        <v>Horse</v>
      </c>
      <c r="AC50" s="366"/>
      <c r="AD50" s="366"/>
      <c r="AE50" s="366"/>
      <c r="AF50" s="366"/>
      <c r="AG50" s="366"/>
      <c r="AH50" s="366"/>
      <c r="AI50" s="366"/>
      <c r="AJ50" s="366"/>
      <c r="AM50" s="76"/>
      <c r="AN50" s="76"/>
    </row>
    <row r="51" spans="1:40" ht="17.25" customHeight="1" x14ac:dyDescent="0.3">
      <c r="A51" s="366">
        <f t="shared" si="40"/>
        <v>7</v>
      </c>
      <c r="B51" s="467" t="s">
        <v>615</v>
      </c>
      <c r="C51" s="365" t="s">
        <v>663</v>
      </c>
      <c r="D51" s="365"/>
      <c r="E51" s="468" t="s">
        <v>437</v>
      </c>
      <c r="F51" s="581">
        <v>11384.212121212122</v>
      </c>
      <c r="G51" s="470">
        <v>29617.647058823528</v>
      </c>
      <c r="H51" s="494">
        <f t="shared" si="41"/>
        <v>18233.434937611404</v>
      </c>
      <c r="I51" s="471">
        <v>68</v>
      </c>
      <c r="J51" s="424"/>
      <c r="K51" s="495">
        <f t="shared" si="42"/>
        <v>774126.42424242431</v>
      </c>
      <c r="L51" s="495">
        <f t="shared" si="43"/>
        <v>2014000</v>
      </c>
      <c r="M51" s="495">
        <f t="shared" si="44"/>
        <v>1239873.5757575757</v>
      </c>
      <c r="N51" s="496">
        <f t="shared" si="36"/>
        <v>0.3843726038939545</v>
      </c>
      <c r="O51" s="497">
        <f t="shared" si="37"/>
        <v>1.2988830508660404E-3</v>
      </c>
      <c r="P51" s="497">
        <f t="shared" si="37"/>
        <v>1.2051107599188573E-3</v>
      </c>
      <c r="Q51" s="497">
        <f t="shared" si="38"/>
        <v>4.23623224520309E-3</v>
      </c>
      <c r="R51" s="498">
        <f t="shared" si="39"/>
        <v>1.8413214189006228</v>
      </c>
      <c r="S51" s="545">
        <f t="shared" si="20"/>
        <v>5.4097056483691324</v>
      </c>
      <c r="T51" s="546">
        <f t="shared" si="21"/>
        <v>160222.75258552106</v>
      </c>
      <c r="U51" s="404"/>
      <c r="V51" s="476" t="str">
        <f t="shared" si="13"/>
        <v>High</v>
      </c>
      <c r="W51" s="476" t="str">
        <f t="shared" si="14"/>
        <v>Low</v>
      </c>
      <c r="X51" s="477" t="str">
        <f t="shared" si="15"/>
        <v>Horse</v>
      </c>
      <c r="AC51" s="366"/>
      <c r="AD51" s="366"/>
      <c r="AE51" s="366"/>
      <c r="AF51" s="366"/>
      <c r="AG51" s="366"/>
      <c r="AH51" s="366"/>
      <c r="AI51" s="366"/>
      <c r="AJ51" s="366"/>
      <c r="AM51" s="76"/>
      <c r="AN51" s="76"/>
    </row>
    <row r="52" spans="1:40" ht="17.25" customHeight="1" x14ac:dyDescent="0.3">
      <c r="A52" s="366">
        <f t="shared" si="40"/>
        <v>8</v>
      </c>
      <c r="B52" s="467" t="s">
        <v>616</v>
      </c>
      <c r="C52" s="365" t="s">
        <v>664</v>
      </c>
      <c r="D52" s="365"/>
      <c r="E52" s="468" t="s">
        <v>437</v>
      </c>
      <c r="F52" s="581">
        <v>11180.544117647059</v>
      </c>
      <c r="G52" s="470">
        <v>30469.387755102041</v>
      </c>
      <c r="H52" s="494">
        <f t="shared" si="41"/>
        <v>19288.843637454982</v>
      </c>
      <c r="I52" s="471">
        <v>98</v>
      </c>
      <c r="J52" s="424"/>
      <c r="K52" s="495">
        <f t="shared" si="42"/>
        <v>1095693.3235294118</v>
      </c>
      <c r="L52" s="495">
        <f t="shared" si="43"/>
        <v>2986000</v>
      </c>
      <c r="M52" s="495">
        <f t="shared" si="44"/>
        <v>1890306.6764705882</v>
      </c>
      <c r="N52" s="496">
        <f t="shared" si="36"/>
        <v>0.36694351089397581</v>
      </c>
      <c r="O52" s="497">
        <f t="shared" si="37"/>
        <v>1.9257521300327688E-3</v>
      </c>
      <c r="P52" s="497">
        <f t="shared" si="37"/>
        <v>1.8373074157736289E-3</v>
      </c>
      <c r="Q52" s="497">
        <f t="shared" si="38"/>
        <v>6.105158235733865E-3</v>
      </c>
      <c r="R52" s="498">
        <f t="shared" si="39"/>
        <v>2.6536691037097211</v>
      </c>
      <c r="S52" s="545">
        <f t="shared" si="20"/>
        <v>7.7963404932378673</v>
      </c>
      <c r="T52" s="546">
        <f t="shared" si="21"/>
        <v>237549.72155926807</v>
      </c>
      <c r="U52" s="404"/>
      <c r="V52" s="476" t="str">
        <f t="shared" si="13"/>
        <v>High</v>
      </c>
      <c r="W52" s="476" t="str">
        <f t="shared" si="14"/>
        <v>Low</v>
      </c>
      <c r="X52" s="477" t="str">
        <f t="shared" si="15"/>
        <v>Horse</v>
      </c>
      <c r="AC52" s="366"/>
      <c r="AD52" s="366"/>
      <c r="AE52" s="366"/>
      <c r="AF52" s="366"/>
      <c r="AG52" s="366"/>
      <c r="AH52" s="366"/>
      <c r="AI52" s="366"/>
      <c r="AJ52" s="366"/>
      <c r="AM52" s="76"/>
      <c r="AN52" s="76"/>
    </row>
    <row r="53" spans="1:40" ht="17.25" customHeight="1" x14ac:dyDescent="0.3">
      <c r="A53" s="366">
        <f t="shared" si="40"/>
        <v>9</v>
      </c>
      <c r="B53" s="467" t="s">
        <v>617</v>
      </c>
      <c r="C53" s="365" t="s">
        <v>665</v>
      </c>
      <c r="D53" s="365"/>
      <c r="E53" s="468" t="s">
        <v>437</v>
      </c>
      <c r="F53" s="581">
        <v>9641.9312977099235</v>
      </c>
      <c r="G53" s="470">
        <v>30245.283018867925</v>
      </c>
      <c r="H53" s="494">
        <f t="shared" si="41"/>
        <v>20603.351721158004</v>
      </c>
      <c r="I53" s="471">
        <v>106</v>
      </c>
      <c r="J53" s="424"/>
      <c r="K53" s="495">
        <f t="shared" si="42"/>
        <v>1022044.7175572519</v>
      </c>
      <c r="L53" s="495">
        <f t="shared" si="43"/>
        <v>3206000</v>
      </c>
      <c r="M53" s="495">
        <f t="shared" si="44"/>
        <v>2183955.2824427481</v>
      </c>
      <c r="N53" s="496">
        <f t="shared" si="36"/>
        <v>0.31879124066040299</v>
      </c>
      <c r="O53" s="497">
        <f t="shared" si="37"/>
        <v>2.0676360779923165E-3</v>
      </c>
      <c r="P53" s="497">
        <f t="shared" si="37"/>
        <v>2.1227228820045298E-3</v>
      </c>
      <c r="Q53" s="497">
        <f t="shared" si="38"/>
        <v>6.6035384998754049E-3</v>
      </c>
      <c r="R53" s="498">
        <f t="shared" si="39"/>
        <v>2.8702951529921474</v>
      </c>
      <c r="S53" s="545">
        <f t="shared" si="20"/>
        <v>8.4327764518695307</v>
      </c>
      <c r="T53" s="546">
        <f t="shared" si="21"/>
        <v>255051.71042163883</v>
      </c>
      <c r="U53" s="404"/>
      <c r="V53" s="476" t="str">
        <f t="shared" si="13"/>
        <v>High</v>
      </c>
      <c r="W53" s="476" t="str">
        <f t="shared" si="14"/>
        <v>Low</v>
      </c>
      <c r="X53" s="477" t="str">
        <f t="shared" si="15"/>
        <v>Horse</v>
      </c>
      <c r="AC53" s="366"/>
      <c r="AD53" s="366"/>
      <c r="AE53" s="366"/>
      <c r="AF53" s="366"/>
      <c r="AG53" s="366"/>
      <c r="AH53" s="366"/>
      <c r="AI53" s="366"/>
      <c r="AJ53" s="366"/>
      <c r="AM53" s="76"/>
      <c r="AN53" s="76"/>
    </row>
    <row r="54" spans="1:40" ht="17.25" customHeight="1" x14ac:dyDescent="0.3">
      <c r="A54" s="366">
        <f t="shared" si="40"/>
        <v>10</v>
      </c>
      <c r="B54" s="467" t="s">
        <v>618</v>
      </c>
      <c r="C54" s="365" t="s">
        <v>666</v>
      </c>
      <c r="D54" s="365"/>
      <c r="E54" s="468" t="s">
        <v>437</v>
      </c>
      <c r="F54" s="581">
        <v>9438.2857142857138</v>
      </c>
      <c r="G54" s="470">
        <v>29913.043478260868</v>
      </c>
      <c r="H54" s="494">
        <f t="shared" si="41"/>
        <v>20474.757763975154</v>
      </c>
      <c r="I54" s="471">
        <v>92</v>
      </c>
      <c r="J54" s="424"/>
      <c r="K54" s="495">
        <f t="shared" si="42"/>
        <v>868322.28571428568</v>
      </c>
      <c r="L54" s="495">
        <f t="shared" si="43"/>
        <v>2752000</v>
      </c>
      <c r="M54" s="495">
        <f t="shared" si="44"/>
        <v>1883677.7142857143</v>
      </c>
      <c r="N54" s="496">
        <f t="shared" si="36"/>
        <v>0.31552408637873752</v>
      </c>
      <c r="O54" s="497">
        <f t="shared" si="37"/>
        <v>1.7748392035667046E-3</v>
      </c>
      <c r="P54" s="497">
        <f t="shared" si="37"/>
        <v>1.8308643123699567E-3</v>
      </c>
      <c r="Q54" s="497">
        <f t="shared" si="38"/>
        <v>5.7313730376277097E-3</v>
      </c>
      <c r="R54" s="498">
        <f t="shared" si="39"/>
        <v>2.4911995667479014</v>
      </c>
      <c r="S54" s="545">
        <f t="shared" si="20"/>
        <v>7.3190135242641201</v>
      </c>
      <c r="T54" s="546">
        <f t="shared" si="21"/>
        <v>218933.96976929193</v>
      </c>
      <c r="U54" s="404"/>
      <c r="V54" s="476" t="str">
        <f t="shared" si="13"/>
        <v>High</v>
      </c>
      <c r="W54" s="476" t="str">
        <f t="shared" si="14"/>
        <v>Low</v>
      </c>
      <c r="X54" s="477" t="str">
        <f t="shared" si="15"/>
        <v>Horse</v>
      </c>
      <c r="AC54" s="366"/>
      <c r="AD54" s="366"/>
      <c r="AE54" s="366"/>
      <c r="AF54" s="366"/>
      <c r="AG54" s="366"/>
      <c r="AH54" s="366"/>
      <c r="AI54" s="366"/>
      <c r="AJ54" s="366"/>
      <c r="AM54" s="76"/>
      <c r="AN54" s="76"/>
    </row>
    <row r="55" spans="1:40" ht="17.25" customHeight="1" x14ac:dyDescent="0.3">
      <c r="A55" s="366">
        <f t="shared" si="40"/>
        <v>11</v>
      </c>
      <c r="B55" s="467" t="s">
        <v>619</v>
      </c>
      <c r="C55" s="365" t="s">
        <v>667</v>
      </c>
      <c r="D55" s="365"/>
      <c r="E55" s="468" t="s">
        <v>437</v>
      </c>
      <c r="F55" s="581">
        <v>11350.205479452055</v>
      </c>
      <c r="G55" s="470">
        <v>39654.545454545456</v>
      </c>
      <c r="H55" s="494">
        <f t="shared" si="41"/>
        <v>28304.3399750934</v>
      </c>
      <c r="I55" s="471">
        <v>55</v>
      </c>
      <c r="J55" s="424"/>
      <c r="K55" s="495">
        <f t="shared" si="42"/>
        <v>624261.3013698631</v>
      </c>
      <c r="L55" s="495">
        <f t="shared" si="43"/>
        <v>2181000</v>
      </c>
      <c r="M55" s="495">
        <f t="shared" si="44"/>
        <v>1556738.6986301369</v>
      </c>
      <c r="N55" s="496">
        <f t="shared" si="36"/>
        <v>0.28622709828971254</v>
      </c>
      <c r="O55" s="497">
        <f t="shared" si="37"/>
        <v>1.4065858659080604E-3</v>
      </c>
      <c r="P55" s="497">
        <f t="shared" si="37"/>
        <v>1.5130918125704676E-3</v>
      </c>
      <c r="Q55" s="497">
        <f t="shared" si="38"/>
        <v>3.4263643159730874E-3</v>
      </c>
      <c r="R55" s="498">
        <f t="shared" si="39"/>
        <v>1.4893040888166802</v>
      </c>
      <c r="S55" s="545">
        <f t="shared" si="20"/>
        <v>4.3754972155926808</v>
      </c>
      <c r="T55" s="546">
        <f t="shared" si="21"/>
        <v>173508.35322195705</v>
      </c>
      <c r="U55" s="404"/>
      <c r="V55" s="476" t="str">
        <f t="shared" si="13"/>
        <v>High</v>
      </c>
      <c r="W55" s="476" t="str">
        <f t="shared" si="14"/>
        <v>Low</v>
      </c>
      <c r="X55" s="477" t="str">
        <f t="shared" si="15"/>
        <v>Horse</v>
      </c>
      <c r="AC55" s="366"/>
      <c r="AD55" s="366"/>
      <c r="AE55" s="366"/>
      <c r="AF55" s="366"/>
      <c r="AG55" s="366"/>
      <c r="AH55" s="366"/>
      <c r="AI55" s="366"/>
      <c r="AJ55" s="366"/>
      <c r="AM55" s="76"/>
      <c r="AN55" s="76"/>
    </row>
    <row r="56" spans="1:40" ht="17.25" customHeight="1" x14ac:dyDescent="0.3">
      <c r="A56" s="366">
        <f t="shared" si="40"/>
        <v>12</v>
      </c>
      <c r="B56" s="467" t="s">
        <v>620</v>
      </c>
      <c r="C56" s="365" t="s">
        <v>668</v>
      </c>
      <c r="D56" s="365"/>
      <c r="E56" s="468" t="s">
        <v>437</v>
      </c>
      <c r="F56" s="581">
        <v>10284.223880597016</v>
      </c>
      <c r="G56" s="470">
        <v>39972.972972972973</v>
      </c>
      <c r="H56" s="494">
        <f t="shared" si="41"/>
        <v>29688.749092375958</v>
      </c>
      <c r="I56" s="471">
        <v>37</v>
      </c>
      <c r="J56" s="424"/>
      <c r="K56" s="495">
        <f t="shared" si="42"/>
        <v>380516.28358208959</v>
      </c>
      <c r="L56" s="495">
        <f t="shared" si="43"/>
        <v>1479000</v>
      </c>
      <c r="M56" s="495">
        <f t="shared" si="44"/>
        <v>1098483.7164179105</v>
      </c>
      <c r="N56" s="496">
        <f t="shared" si="36"/>
        <v>0.25727943447064883</v>
      </c>
      <c r="O56" s="497">
        <f t="shared" si="37"/>
        <v>9.538470865098677E-4</v>
      </c>
      <c r="P56" s="497">
        <f t="shared" si="37"/>
        <v>1.0676851028477048E-3</v>
      </c>
      <c r="Q56" s="497">
        <f t="shared" si="38"/>
        <v>2.3050087216546227E-3</v>
      </c>
      <c r="R56" s="498">
        <f t="shared" si="39"/>
        <v>1.0018954779312212</v>
      </c>
      <c r="S56" s="545">
        <f t="shared" si="20"/>
        <v>2.9435163086714398</v>
      </c>
      <c r="T56" s="546">
        <f t="shared" si="21"/>
        <v>117661.09785202863</v>
      </c>
      <c r="U56" s="404"/>
      <c r="V56" s="476" t="str">
        <f t="shared" si="13"/>
        <v>High</v>
      </c>
      <c r="W56" s="476" t="str">
        <f t="shared" si="14"/>
        <v>Low</v>
      </c>
      <c r="X56" s="477" t="str">
        <f t="shared" si="15"/>
        <v>Horse</v>
      </c>
      <c r="AC56" s="366"/>
      <c r="AD56" s="366"/>
      <c r="AE56" s="366"/>
      <c r="AF56" s="366"/>
      <c r="AG56" s="366"/>
      <c r="AH56" s="366"/>
      <c r="AI56" s="366"/>
      <c r="AJ56" s="366"/>
      <c r="AM56" s="76"/>
      <c r="AN56" s="76"/>
    </row>
    <row r="57" spans="1:40" ht="17.25" customHeight="1" x14ac:dyDescent="0.3">
      <c r="A57" s="366">
        <f t="shared" si="40"/>
        <v>13</v>
      </c>
      <c r="B57" s="467" t="s">
        <v>621</v>
      </c>
      <c r="C57" s="365" t="s">
        <v>669</v>
      </c>
      <c r="D57" s="365"/>
      <c r="E57" s="468" t="s">
        <v>437</v>
      </c>
      <c r="F57" s="581">
        <v>15882.064516129032</v>
      </c>
      <c r="G57" s="470">
        <v>39296.296296296299</v>
      </c>
      <c r="H57" s="494">
        <f t="shared" si="41"/>
        <v>23414.231780167269</v>
      </c>
      <c r="I57" s="471">
        <v>81</v>
      </c>
      <c r="J57" s="424"/>
      <c r="K57" s="495">
        <f t="shared" si="42"/>
        <v>1286447.2258064516</v>
      </c>
      <c r="L57" s="495">
        <f t="shared" si="43"/>
        <v>3183000.0000000005</v>
      </c>
      <c r="M57" s="495">
        <f t="shared" si="44"/>
        <v>1896552.7741935488</v>
      </c>
      <c r="N57" s="496">
        <f t="shared" si="36"/>
        <v>0.40416186798820342</v>
      </c>
      <c r="O57" s="497">
        <f t="shared" si="37"/>
        <v>2.0528027561601821E-3</v>
      </c>
      <c r="P57" s="497">
        <f t="shared" si="37"/>
        <v>1.843378389234649E-3</v>
      </c>
      <c r="Q57" s="497">
        <f t="shared" si="38"/>
        <v>5.0461001744330925E-3</v>
      </c>
      <c r="R57" s="498">
        <f t="shared" si="39"/>
        <v>2.1933387489845653</v>
      </c>
      <c r="S57" s="545">
        <f t="shared" si="20"/>
        <v>6.4439140811455839</v>
      </c>
      <c r="T57" s="546">
        <f t="shared" si="21"/>
        <v>253221.95704057277</v>
      </c>
      <c r="U57" s="404"/>
      <c r="V57" s="476" t="str">
        <f t="shared" si="13"/>
        <v>High</v>
      </c>
      <c r="W57" s="476" t="str">
        <f t="shared" si="14"/>
        <v>Low</v>
      </c>
      <c r="X57" s="477" t="str">
        <f t="shared" si="15"/>
        <v>Horse</v>
      </c>
      <c r="AC57" s="366"/>
      <c r="AD57" s="366"/>
      <c r="AE57" s="366"/>
      <c r="AF57" s="366"/>
      <c r="AG57" s="366"/>
      <c r="AH57" s="366"/>
      <c r="AI57" s="366"/>
      <c r="AJ57" s="366"/>
      <c r="AM57" s="76"/>
      <c r="AN57" s="76"/>
    </row>
    <row r="58" spans="1:40" ht="17.25" customHeight="1" x14ac:dyDescent="0.3">
      <c r="A58" s="366">
        <f t="shared" si="40"/>
        <v>14</v>
      </c>
      <c r="B58" s="467" t="s">
        <v>622</v>
      </c>
      <c r="C58" s="365" t="s">
        <v>670</v>
      </c>
      <c r="D58" s="365"/>
      <c r="E58" s="468" t="s">
        <v>437</v>
      </c>
      <c r="F58" s="581">
        <v>15678.566037735849</v>
      </c>
      <c r="G58" s="470">
        <v>40523.809523809527</v>
      </c>
      <c r="H58" s="494">
        <f t="shared" si="41"/>
        <v>24845.243486073676</v>
      </c>
      <c r="I58" s="471">
        <v>63</v>
      </c>
      <c r="J58" s="424"/>
      <c r="K58" s="495">
        <f t="shared" si="42"/>
        <v>987749.66037735844</v>
      </c>
      <c r="L58" s="495">
        <f t="shared" si="43"/>
        <v>2553000</v>
      </c>
      <c r="M58" s="495">
        <f t="shared" si="44"/>
        <v>1565250.3396226414</v>
      </c>
      <c r="N58" s="496">
        <f t="shared" si="36"/>
        <v>0.38689763430370483</v>
      </c>
      <c r="O58" s="497">
        <f t="shared" si="37"/>
        <v>1.6464987233669318E-3</v>
      </c>
      <c r="P58" s="497">
        <f t="shared" si="37"/>
        <v>1.5213648093865876E-3</v>
      </c>
      <c r="Q58" s="497">
        <f t="shared" si="38"/>
        <v>3.9247445801146273E-3</v>
      </c>
      <c r="R58" s="498">
        <f t="shared" si="39"/>
        <v>1.7059301380991063</v>
      </c>
      <c r="S58" s="545">
        <f t="shared" si="20"/>
        <v>5.0119331742243434</v>
      </c>
      <c r="T58" s="546">
        <f t="shared" si="21"/>
        <v>203102.62529832937</v>
      </c>
      <c r="U58" s="404"/>
      <c r="V58" s="476" t="str">
        <f t="shared" si="13"/>
        <v>High</v>
      </c>
      <c r="W58" s="476" t="str">
        <f t="shared" si="14"/>
        <v>Low</v>
      </c>
      <c r="X58" s="477" t="str">
        <f t="shared" si="15"/>
        <v>Horse</v>
      </c>
      <c r="AC58" s="366"/>
      <c r="AD58" s="366"/>
      <c r="AE58" s="366"/>
      <c r="AF58" s="366"/>
      <c r="AG58" s="366"/>
      <c r="AH58" s="366"/>
      <c r="AI58" s="366"/>
      <c r="AJ58" s="366"/>
      <c r="AM58" s="76"/>
      <c r="AN58" s="76"/>
    </row>
    <row r="59" spans="1:40" ht="17.25" customHeight="1" x14ac:dyDescent="0.3">
      <c r="A59" s="366">
        <f t="shared" si="40"/>
        <v>15</v>
      </c>
      <c r="B59" s="467" t="s">
        <v>623</v>
      </c>
      <c r="C59" s="365" t="s">
        <v>671</v>
      </c>
      <c r="D59" s="365"/>
      <c r="E59" s="468" t="s">
        <v>437</v>
      </c>
      <c r="F59" s="581">
        <v>5861.431818181818</v>
      </c>
      <c r="G59" s="470">
        <v>24576.923076923078</v>
      </c>
      <c r="H59" s="494">
        <f t="shared" si="41"/>
        <v>18715.491258741262</v>
      </c>
      <c r="I59" s="471">
        <v>26</v>
      </c>
      <c r="J59" s="424"/>
      <c r="K59" s="495">
        <f t="shared" si="42"/>
        <v>152397.22727272726</v>
      </c>
      <c r="L59" s="495">
        <f t="shared" si="43"/>
        <v>639000</v>
      </c>
      <c r="M59" s="495">
        <f t="shared" si="44"/>
        <v>486602.77272727271</v>
      </c>
      <c r="N59" s="496">
        <f t="shared" si="36"/>
        <v>0.23849331341584862</v>
      </c>
      <c r="O59" s="497">
        <f t="shared" si="37"/>
        <v>4.1210837611886777E-4</v>
      </c>
      <c r="P59" s="497">
        <f t="shared" si="37"/>
        <v>4.7295970225164595E-4</v>
      </c>
      <c r="Q59" s="497">
        <f t="shared" si="38"/>
        <v>1.6197358584600051E-3</v>
      </c>
      <c r="R59" s="498">
        <f t="shared" si="39"/>
        <v>0.70403466016788518</v>
      </c>
      <c r="S59" s="545">
        <f t="shared" si="20"/>
        <v>2.0684168655529036</v>
      </c>
      <c r="T59" s="546">
        <f t="shared" si="21"/>
        <v>50835.322195704059</v>
      </c>
      <c r="U59" s="404"/>
      <c r="V59" s="476" t="str">
        <f t="shared" si="13"/>
        <v>High</v>
      </c>
      <c r="W59" s="476" t="str">
        <f t="shared" si="14"/>
        <v>Low</v>
      </c>
      <c r="X59" s="477" t="str">
        <f t="shared" si="15"/>
        <v>Horse</v>
      </c>
      <c r="AC59" s="366"/>
      <c r="AD59" s="366"/>
      <c r="AE59" s="366"/>
      <c r="AF59" s="366"/>
      <c r="AG59" s="366"/>
      <c r="AH59" s="366"/>
      <c r="AI59" s="366"/>
      <c r="AJ59" s="366"/>
      <c r="AM59" s="76"/>
      <c r="AN59" s="76"/>
    </row>
    <row r="60" spans="1:40" ht="17.25" customHeight="1" x14ac:dyDescent="0.3">
      <c r="A60" s="366">
        <f t="shared" si="40"/>
        <v>16</v>
      </c>
      <c r="B60" s="467" t="s">
        <v>624</v>
      </c>
      <c r="C60" s="365" t="s">
        <v>672</v>
      </c>
      <c r="D60" s="365"/>
      <c r="E60" s="468" t="s">
        <v>437</v>
      </c>
      <c r="F60" s="581">
        <v>5657.8</v>
      </c>
      <c r="G60" s="470">
        <v>24714.285714285714</v>
      </c>
      <c r="H60" s="494">
        <f t="shared" si="41"/>
        <v>19056.485714285714</v>
      </c>
      <c r="I60" s="471">
        <v>28</v>
      </c>
      <c r="J60" s="424"/>
      <c r="K60" s="495">
        <f t="shared" si="42"/>
        <v>158418.4</v>
      </c>
      <c r="L60" s="495">
        <f t="shared" si="43"/>
        <v>692000</v>
      </c>
      <c r="M60" s="495">
        <f t="shared" si="44"/>
        <v>533581.6</v>
      </c>
      <c r="N60" s="496">
        <f t="shared" si="36"/>
        <v>0.22892832369942195</v>
      </c>
      <c r="O60" s="497">
        <f t="shared" si="37"/>
        <v>4.4628950903639517E-4</v>
      </c>
      <c r="P60" s="497">
        <f t="shared" si="37"/>
        <v>5.186213659419467E-4</v>
      </c>
      <c r="Q60" s="497">
        <f t="shared" si="38"/>
        <v>1.7443309244953901E-3</v>
      </c>
      <c r="R60" s="498">
        <f t="shared" si="39"/>
        <v>0.75819117248849166</v>
      </c>
      <c r="S60" s="545">
        <f t="shared" si="20"/>
        <v>2.227525855210819</v>
      </c>
      <c r="T60" s="546">
        <f t="shared" si="21"/>
        <v>55051.710421638811</v>
      </c>
      <c r="U60" s="404"/>
      <c r="V60" s="476" t="str">
        <f t="shared" si="13"/>
        <v>High</v>
      </c>
      <c r="W60" s="476" t="str">
        <f t="shared" si="14"/>
        <v>Low</v>
      </c>
      <c r="X60" s="477" t="str">
        <f t="shared" si="15"/>
        <v>Horse</v>
      </c>
      <c r="AC60" s="366"/>
      <c r="AD60" s="366"/>
      <c r="AE60" s="366"/>
      <c r="AF60" s="366"/>
      <c r="AG60" s="366"/>
      <c r="AH60" s="366"/>
      <c r="AI60" s="366"/>
      <c r="AJ60" s="366"/>
      <c r="AM60" s="76"/>
      <c r="AN60" s="76"/>
    </row>
    <row r="61" spans="1:40" ht="17.25" customHeight="1" x14ac:dyDescent="0.3">
      <c r="A61" s="366">
        <f t="shared" si="40"/>
        <v>17</v>
      </c>
      <c r="B61" s="467" t="s">
        <v>625</v>
      </c>
      <c r="C61" s="365" t="s">
        <v>716</v>
      </c>
      <c r="D61" s="365"/>
      <c r="E61" s="468" t="s">
        <v>437</v>
      </c>
      <c r="F61" s="581">
        <v>6515.6727272727276</v>
      </c>
      <c r="G61" s="470">
        <v>25132.075471698114</v>
      </c>
      <c r="H61" s="494">
        <f t="shared" si="41"/>
        <v>18616.402744425388</v>
      </c>
      <c r="I61" s="471">
        <v>53</v>
      </c>
      <c r="J61" s="424"/>
      <c r="K61" s="495">
        <f t="shared" si="42"/>
        <v>345330.65454545454</v>
      </c>
      <c r="L61" s="495">
        <f t="shared" si="43"/>
        <v>1332000</v>
      </c>
      <c r="M61" s="495">
        <f t="shared" si="44"/>
        <v>986669.34545454546</v>
      </c>
      <c r="N61" s="496">
        <f t="shared" si="36"/>
        <v>0.25925724815724815</v>
      </c>
      <c r="O61" s="497">
        <f t="shared" si="37"/>
        <v>8.5904281219144276E-4</v>
      </c>
      <c r="P61" s="497">
        <f t="shared" si="37"/>
        <v>9.5900571472607549E-4</v>
      </c>
      <c r="Q61" s="497">
        <f t="shared" si="38"/>
        <v>3.3017692499377025E-3</v>
      </c>
      <c r="R61" s="498">
        <f t="shared" si="39"/>
        <v>1.4351475764960737</v>
      </c>
      <c r="S61" s="545">
        <f t="shared" si="20"/>
        <v>4.2163882259347654</v>
      </c>
      <c r="T61" s="546">
        <f t="shared" si="21"/>
        <v>105966.58711217184</v>
      </c>
      <c r="U61" s="404"/>
      <c r="V61" s="476" t="str">
        <f t="shared" si="13"/>
        <v>High</v>
      </c>
      <c r="W61" s="476" t="str">
        <f t="shared" si="14"/>
        <v>Low</v>
      </c>
      <c r="X61" s="477" t="str">
        <f t="shared" si="15"/>
        <v>Horse</v>
      </c>
      <c r="AC61" s="366"/>
      <c r="AD61" s="366"/>
      <c r="AE61" s="366"/>
      <c r="AF61" s="366"/>
      <c r="AG61" s="366"/>
      <c r="AH61" s="366"/>
      <c r="AI61" s="366"/>
      <c r="AJ61" s="366"/>
      <c r="AM61" s="76"/>
      <c r="AN61" s="76"/>
    </row>
    <row r="62" spans="1:40" ht="17.25" customHeight="1" x14ac:dyDescent="0.3">
      <c r="A62" s="366">
        <f t="shared" si="40"/>
        <v>18</v>
      </c>
      <c r="B62" s="467" t="s">
        <v>626</v>
      </c>
      <c r="C62" s="365" t="s">
        <v>674</v>
      </c>
      <c r="D62" s="365"/>
      <c r="E62" s="468" t="s">
        <v>437</v>
      </c>
      <c r="F62" s="581">
        <v>6311.9361702127662</v>
      </c>
      <c r="G62" s="470">
        <v>25025.641025641027</v>
      </c>
      <c r="H62" s="494">
        <f t="shared" si="41"/>
        <v>18713.704855428259</v>
      </c>
      <c r="I62" s="471">
        <v>39</v>
      </c>
      <c r="J62" s="424"/>
      <c r="K62" s="495">
        <f t="shared" si="42"/>
        <v>246165.51063829788</v>
      </c>
      <c r="L62" s="495">
        <f t="shared" si="43"/>
        <v>976000.00000000012</v>
      </c>
      <c r="M62" s="495">
        <f t="shared" si="44"/>
        <v>729834.48936170223</v>
      </c>
      <c r="N62" s="496">
        <f t="shared" si="36"/>
        <v>0.25221876089989537</v>
      </c>
      <c r="O62" s="497">
        <f t="shared" si="37"/>
        <v>6.294487873114476E-4</v>
      </c>
      <c r="P62" s="497">
        <f t="shared" si="37"/>
        <v>7.0937183700545375E-4</v>
      </c>
      <c r="Q62" s="497">
        <f t="shared" si="38"/>
        <v>2.4296037876900076E-3</v>
      </c>
      <c r="R62" s="498">
        <f t="shared" si="39"/>
        <v>1.0560519902518277</v>
      </c>
      <c r="S62" s="545">
        <f t="shared" si="20"/>
        <v>3.1026252983293552</v>
      </c>
      <c r="T62" s="546">
        <f t="shared" si="21"/>
        <v>77645.186953062846</v>
      </c>
      <c r="U62" s="404"/>
      <c r="V62" s="476" t="str">
        <f t="shared" si="13"/>
        <v>High</v>
      </c>
      <c r="W62" s="476" t="str">
        <f t="shared" si="14"/>
        <v>Low</v>
      </c>
      <c r="X62" s="477" t="str">
        <f t="shared" si="15"/>
        <v>Horse</v>
      </c>
      <c r="AC62" s="366"/>
      <c r="AD62" s="366"/>
      <c r="AE62" s="366"/>
      <c r="AF62" s="366"/>
      <c r="AG62" s="366"/>
      <c r="AH62" s="366"/>
      <c r="AI62" s="366"/>
      <c r="AJ62" s="366"/>
      <c r="AM62" s="76"/>
      <c r="AN62" s="76"/>
    </row>
    <row r="63" spans="1:40" ht="17.25" customHeight="1" x14ac:dyDescent="0.3">
      <c r="A63" s="366">
        <f t="shared" si="40"/>
        <v>19</v>
      </c>
      <c r="B63" s="467" t="s">
        <v>627</v>
      </c>
      <c r="C63" s="365" t="s">
        <v>675</v>
      </c>
      <c r="D63" s="365"/>
      <c r="E63" s="468" t="s">
        <v>437</v>
      </c>
      <c r="F63" s="581">
        <v>5978.3103448275861</v>
      </c>
      <c r="G63" s="470">
        <v>24151.515151515152</v>
      </c>
      <c r="H63" s="494">
        <f t="shared" si="41"/>
        <v>18173.204806687565</v>
      </c>
      <c r="I63" s="471">
        <v>33</v>
      </c>
      <c r="J63" s="424"/>
      <c r="K63" s="495">
        <f t="shared" si="42"/>
        <v>197284.24137931035</v>
      </c>
      <c r="L63" s="495">
        <f t="shared" si="43"/>
        <v>797000</v>
      </c>
      <c r="M63" s="495">
        <f t="shared" si="44"/>
        <v>599715.75862068962</v>
      </c>
      <c r="N63" s="496">
        <f t="shared" si="36"/>
        <v>0.24753355254618614</v>
      </c>
      <c r="O63" s="497">
        <f t="shared" si="37"/>
        <v>5.1400684783527021E-4</v>
      </c>
      <c r="P63" s="497">
        <f t="shared" si="37"/>
        <v>5.829012955333784E-4</v>
      </c>
      <c r="Q63" s="497">
        <f t="shared" si="38"/>
        <v>2.0558185895838523E-3</v>
      </c>
      <c r="R63" s="498">
        <f t="shared" si="39"/>
        <v>0.89358245329000818</v>
      </c>
      <c r="S63" s="545">
        <f t="shared" si="20"/>
        <v>2.6252983293556085</v>
      </c>
      <c r="T63" s="546">
        <f t="shared" si="21"/>
        <v>63404.93237867939</v>
      </c>
      <c r="U63" s="404"/>
      <c r="V63" s="476" t="str">
        <f t="shared" si="13"/>
        <v>High</v>
      </c>
      <c r="W63" s="476" t="str">
        <f t="shared" si="14"/>
        <v>Low</v>
      </c>
      <c r="X63" s="477" t="str">
        <f t="shared" si="15"/>
        <v>Horse</v>
      </c>
      <c r="AC63" s="366"/>
      <c r="AD63" s="366"/>
      <c r="AE63" s="366"/>
      <c r="AF63" s="366"/>
      <c r="AG63" s="366"/>
      <c r="AH63" s="366"/>
      <c r="AI63" s="366"/>
      <c r="AJ63" s="366"/>
      <c r="AM63" s="76"/>
      <c r="AN63" s="76"/>
    </row>
    <row r="64" spans="1:40" ht="17.25" customHeight="1" x14ac:dyDescent="0.3">
      <c r="A64" s="366">
        <f t="shared" si="40"/>
        <v>20</v>
      </c>
      <c r="B64" s="467" t="s">
        <v>628</v>
      </c>
      <c r="C64" s="365" t="s">
        <v>676</v>
      </c>
      <c r="D64" s="365"/>
      <c r="E64" s="468" t="s">
        <v>437</v>
      </c>
      <c r="F64" s="581">
        <v>5774.347826086957</v>
      </c>
      <c r="G64" s="470">
        <v>25304.347826086956</v>
      </c>
      <c r="H64" s="494">
        <f t="shared" si="41"/>
        <v>19530</v>
      </c>
      <c r="I64" s="471">
        <v>46</v>
      </c>
      <c r="J64" s="424"/>
      <c r="K64" s="495">
        <f t="shared" si="42"/>
        <v>265620</v>
      </c>
      <c r="L64" s="495">
        <f t="shared" si="43"/>
        <v>1164000</v>
      </c>
      <c r="M64" s="495">
        <f t="shared" si="44"/>
        <v>898380</v>
      </c>
      <c r="N64" s="496">
        <f t="shared" si="36"/>
        <v>0.22819587628865978</v>
      </c>
      <c r="O64" s="497">
        <f t="shared" si="37"/>
        <v>7.5069507011324269E-4</v>
      </c>
      <c r="P64" s="497">
        <f t="shared" si="37"/>
        <v>8.7319177185818646E-4</v>
      </c>
      <c r="Q64" s="497">
        <f t="shared" si="38"/>
        <v>2.8656865188138548E-3</v>
      </c>
      <c r="R64" s="498">
        <f t="shared" si="39"/>
        <v>1.2455997833739507</v>
      </c>
      <c r="S64" s="545">
        <f t="shared" si="20"/>
        <v>3.6595067621320601</v>
      </c>
      <c r="T64" s="546">
        <f t="shared" si="21"/>
        <v>92601.431980906913</v>
      </c>
      <c r="U64" s="404"/>
      <c r="V64" s="476" t="str">
        <f t="shared" si="13"/>
        <v>High</v>
      </c>
      <c r="W64" s="476" t="str">
        <f t="shared" si="14"/>
        <v>Low</v>
      </c>
      <c r="X64" s="477" t="str">
        <f t="shared" si="15"/>
        <v>Horse</v>
      </c>
      <c r="AC64" s="366"/>
      <c r="AD64" s="366"/>
      <c r="AE64" s="366"/>
      <c r="AF64" s="366"/>
      <c r="AG64" s="366"/>
      <c r="AH64" s="366"/>
      <c r="AI64" s="366"/>
      <c r="AJ64" s="366"/>
      <c r="AM64" s="76"/>
      <c r="AN64" s="76"/>
    </row>
    <row r="65" spans="1:40" ht="17.25" customHeight="1" x14ac:dyDescent="0.3">
      <c r="A65" s="366">
        <f t="shared" si="40"/>
        <v>21</v>
      </c>
      <c r="B65" s="467" t="s">
        <v>630</v>
      </c>
      <c r="C65" s="365" t="s">
        <v>678</v>
      </c>
      <c r="D65" s="365"/>
      <c r="E65" s="468" t="s">
        <v>437</v>
      </c>
      <c r="F65" s="581">
        <v>3912.0617283950619</v>
      </c>
      <c r="G65" s="470">
        <v>29769.23076923077</v>
      </c>
      <c r="H65" s="494">
        <f t="shared" si="41"/>
        <v>25857.169040835706</v>
      </c>
      <c r="I65" s="471">
        <v>39</v>
      </c>
      <c r="J65" s="424"/>
      <c r="K65" s="495">
        <f t="shared" si="42"/>
        <v>152570.40740740742</v>
      </c>
      <c r="L65" s="495">
        <f t="shared" si="43"/>
        <v>1161000</v>
      </c>
      <c r="M65" s="495">
        <f t="shared" si="44"/>
        <v>1008429.5925925926</v>
      </c>
      <c r="N65" s="496">
        <f t="shared" si="36"/>
        <v>0.13141292627683671</v>
      </c>
      <c r="O65" s="497">
        <f t="shared" si="37"/>
        <v>7.4876028900470342E-4</v>
      </c>
      <c r="P65" s="497">
        <f t="shared" si="37"/>
        <v>9.8015586138399682E-4</v>
      </c>
      <c r="Q65" s="497">
        <f t="shared" si="38"/>
        <v>2.4296037876900076E-3</v>
      </c>
      <c r="R65" s="498">
        <f t="shared" si="39"/>
        <v>1.0560519902518277</v>
      </c>
      <c r="S65" s="545">
        <f t="shared" si="20"/>
        <v>3.1026252983293552</v>
      </c>
      <c r="T65" s="546">
        <f t="shared" si="21"/>
        <v>92362.768496420031</v>
      </c>
      <c r="U65" s="404"/>
      <c r="V65" s="476" t="str">
        <f t="shared" si="13"/>
        <v>High</v>
      </c>
      <c r="W65" s="476" t="str">
        <f t="shared" si="14"/>
        <v>Low</v>
      </c>
      <c r="X65" s="477" t="str">
        <f t="shared" si="15"/>
        <v>Horse</v>
      </c>
      <c r="AC65" s="366"/>
      <c r="AD65" s="366"/>
      <c r="AE65" s="366"/>
      <c r="AF65" s="366"/>
      <c r="AG65" s="366"/>
      <c r="AH65" s="366"/>
      <c r="AI65" s="366"/>
      <c r="AJ65" s="366"/>
      <c r="AM65" s="76"/>
      <c r="AN65" s="76"/>
    </row>
    <row r="66" spans="1:40" ht="17.25" customHeight="1" x14ac:dyDescent="0.3">
      <c r="A66" s="366">
        <f t="shared" si="40"/>
        <v>22</v>
      </c>
      <c r="B66" s="467" t="s">
        <v>631</v>
      </c>
      <c r="C66" s="365" t="s">
        <v>679</v>
      </c>
      <c r="D66" s="365"/>
      <c r="E66" s="468" t="s">
        <v>437</v>
      </c>
      <c r="F66" s="581">
        <v>13870.60606060606</v>
      </c>
      <c r="G66" s="470">
        <v>85857.142857142855</v>
      </c>
      <c r="H66" s="494">
        <f t="shared" si="41"/>
        <v>71986.536796536791</v>
      </c>
      <c r="I66" s="471">
        <v>35</v>
      </c>
      <c r="J66" s="424"/>
      <c r="K66" s="495">
        <f t="shared" si="42"/>
        <v>485471.2121212121</v>
      </c>
      <c r="L66" s="495">
        <f t="shared" si="43"/>
        <v>3005000</v>
      </c>
      <c r="M66" s="495">
        <f t="shared" si="44"/>
        <v>2519528.7878787881</v>
      </c>
      <c r="N66" s="496">
        <f t="shared" si="36"/>
        <v>0.16155447990722532</v>
      </c>
      <c r="O66" s="497">
        <f t="shared" si="37"/>
        <v>1.9380057437201842E-3</v>
      </c>
      <c r="P66" s="497">
        <f t="shared" si="37"/>
        <v>2.4488877830490304E-3</v>
      </c>
      <c r="Q66" s="497">
        <f t="shared" si="38"/>
        <v>2.1804136556192377E-3</v>
      </c>
      <c r="R66" s="498">
        <f t="shared" si="39"/>
        <v>0.94773896561061466</v>
      </c>
      <c r="S66" s="545">
        <f t="shared" si="20"/>
        <v>2.7844073190135239</v>
      </c>
      <c r="T66" s="546">
        <f t="shared" si="21"/>
        <v>239061.25696101825</v>
      </c>
      <c r="U66" s="404"/>
      <c r="V66" s="476" t="str">
        <f t="shared" si="13"/>
        <v>High</v>
      </c>
      <c r="W66" s="476" t="str">
        <f t="shared" si="14"/>
        <v>Low</v>
      </c>
      <c r="X66" s="477" t="str">
        <f t="shared" si="15"/>
        <v>Horse</v>
      </c>
      <c r="AC66" s="366"/>
      <c r="AD66" s="366"/>
      <c r="AE66" s="366"/>
      <c r="AF66" s="366"/>
      <c r="AG66" s="366"/>
      <c r="AH66" s="366"/>
      <c r="AI66" s="366"/>
      <c r="AJ66" s="366"/>
      <c r="AM66" s="76"/>
      <c r="AN66" s="76"/>
    </row>
    <row r="67" spans="1:40" ht="17.25" customHeight="1" x14ac:dyDescent="0.3">
      <c r="A67" s="366">
        <f t="shared" si="40"/>
        <v>23</v>
      </c>
      <c r="B67" s="467" t="s">
        <v>632</v>
      </c>
      <c r="C67" s="365" t="s">
        <v>680</v>
      </c>
      <c r="D67" s="365"/>
      <c r="E67" s="468" t="s">
        <v>437</v>
      </c>
      <c r="F67" s="581">
        <v>14359.820689655173</v>
      </c>
      <c r="G67" s="470">
        <v>80764.705882352937</v>
      </c>
      <c r="H67" s="494">
        <f t="shared" si="41"/>
        <v>66404.885192697766</v>
      </c>
      <c r="I67" s="471">
        <v>102</v>
      </c>
      <c r="J67" s="424"/>
      <c r="K67" s="495">
        <f t="shared" si="42"/>
        <v>1464701.7103448277</v>
      </c>
      <c r="L67" s="495">
        <f t="shared" si="43"/>
        <v>8238000</v>
      </c>
      <c r="M67" s="495">
        <f t="shared" si="44"/>
        <v>6773298.2896551723</v>
      </c>
      <c r="N67" s="496">
        <f t="shared" si="36"/>
        <v>0.17779821684205241</v>
      </c>
      <c r="O67" s="497">
        <f t="shared" si="37"/>
        <v>5.3129089240488781E-3</v>
      </c>
      <c r="P67" s="497">
        <f t="shared" si="37"/>
        <v>6.5833927011598927E-3</v>
      </c>
      <c r="Q67" s="497">
        <f t="shared" si="38"/>
        <v>6.354348367804635E-3</v>
      </c>
      <c r="R67" s="498">
        <f t="shared" si="39"/>
        <v>2.761982128350934</v>
      </c>
      <c r="S67" s="545">
        <f t="shared" si="20"/>
        <v>8.1145584725536981</v>
      </c>
      <c r="T67" s="546">
        <f t="shared" si="21"/>
        <v>655369.92840095458</v>
      </c>
      <c r="U67" s="404"/>
      <c r="V67" s="476" t="str">
        <f t="shared" si="13"/>
        <v>High</v>
      </c>
      <c r="W67" s="476" t="str">
        <f t="shared" si="14"/>
        <v>Low</v>
      </c>
      <c r="X67" s="477" t="str">
        <f t="shared" si="15"/>
        <v>Horse</v>
      </c>
      <c r="AC67" s="366"/>
      <c r="AD67" s="366"/>
      <c r="AE67" s="366"/>
      <c r="AF67" s="366"/>
      <c r="AG67" s="366"/>
      <c r="AH67" s="366"/>
      <c r="AI67" s="366"/>
      <c r="AJ67" s="366"/>
      <c r="AM67" s="76"/>
      <c r="AN67" s="76"/>
    </row>
    <row r="68" spans="1:40" ht="17.25" customHeight="1" x14ac:dyDescent="0.3">
      <c r="A68" s="366"/>
      <c r="B68" s="467"/>
      <c r="C68" s="365"/>
      <c r="D68" s="495"/>
      <c r="E68" s="468"/>
      <c r="F68" s="478"/>
      <c r="G68" s="470"/>
      <c r="H68" s="494"/>
      <c r="I68" s="471"/>
      <c r="J68" s="424"/>
      <c r="K68" s="495"/>
      <c r="L68" s="495"/>
      <c r="M68" s="495"/>
      <c r="N68" s="496"/>
      <c r="O68" s="497"/>
      <c r="P68" s="497"/>
      <c r="Q68" s="497"/>
      <c r="R68" s="498"/>
      <c r="S68" s="545">
        <f t="shared" si="20"/>
        <v>0</v>
      </c>
      <c r="T68" s="546">
        <f t="shared" si="21"/>
        <v>0</v>
      </c>
      <c r="U68" s="404"/>
      <c r="V68" s="476" t="str">
        <f t="shared" si="13"/>
        <v/>
      </c>
      <c r="W68" s="476" t="str">
        <f t="shared" si="14"/>
        <v/>
      </c>
      <c r="X68" s="477" t="str">
        <f t="shared" si="15"/>
        <v/>
      </c>
      <c r="AA68" s="366"/>
      <c r="AB68" s="503"/>
      <c r="AC68" s="366"/>
      <c r="AD68" s="366"/>
      <c r="AE68" s="366"/>
      <c r="AF68" s="366"/>
      <c r="AG68" s="366"/>
      <c r="AH68" s="366"/>
      <c r="AI68" s="366"/>
      <c r="AJ68" s="366"/>
      <c r="AM68" s="76"/>
      <c r="AN68" s="76"/>
    </row>
    <row r="69" spans="1:40" ht="17.25" customHeight="1" x14ac:dyDescent="0.3">
      <c r="A69" s="453"/>
      <c r="B69" s="479" t="s">
        <v>479</v>
      </c>
      <c r="C69" s="480" t="s">
        <v>480</v>
      </c>
      <c r="D69" s="480"/>
      <c r="E69" s="480"/>
      <c r="F69" s="480"/>
      <c r="G69" s="481"/>
      <c r="H69" s="481"/>
      <c r="I69" s="481">
        <f>SUBTOTAL(9,I70:I85)</f>
        <v>1717</v>
      </c>
      <c r="J69" s="484"/>
      <c r="K69" s="480">
        <f>SUBTOTAL(9,K70:K85)</f>
        <v>114541540.85602421</v>
      </c>
      <c r="L69" s="480">
        <f>SUBTOTAL(9,L70:L85)</f>
        <v>346497000</v>
      </c>
      <c r="M69" s="480">
        <f>SUBTOTAL(9,M70:M85)</f>
        <v>231955459.14397576</v>
      </c>
      <c r="N69" s="485">
        <f>K69/L69</f>
        <v>0.33057007955631423</v>
      </c>
      <c r="O69" s="486">
        <f t="shared" ref="O69:P84" si="45">L69/L$10</f>
        <v>0.22346528325517892</v>
      </c>
      <c r="P69" s="486">
        <f t="shared" si="45"/>
        <v>0.22545203406365613</v>
      </c>
      <c r="Q69" s="486">
        <f t="shared" ref="Q69:Q84" si="46">I69/I$10</f>
        <v>0.10696486419137802</v>
      </c>
      <c r="R69" s="487">
        <f t="shared" ref="R69:R84" si="47">I69/$K$5*100</f>
        <v>46.493365827240723</v>
      </c>
      <c r="S69" s="487">
        <f t="shared" si="20"/>
        <v>136.5950676213206</v>
      </c>
      <c r="T69" s="487">
        <f t="shared" si="21"/>
        <v>0</v>
      </c>
      <c r="U69" s="404"/>
      <c r="V69" s="476" t="str">
        <f t="shared" si="13"/>
        <v>High</v>
      </c>
      <c r="W69" s="476" t="str">
        <f t="shared" si="14"/>
        <v>High</v>
      </c>
      <c r="X69" s="477" t="str">
        <f t="shared" si="15"/>
        <v>Star</v>
      </c>
      <c r="AA69" s="366"/>
      <c r="AB69" s="503"/>
      <c r="AC69" s="366"/>
      <c r="AD69" s="366"/>
      <c r="AE69" s="366"/>
      <c r="AF69" s="366"/>
      <c r="AG69" s="366"/>
      <c r="AH69" s="366"/>
      <c r="AI69" s="366"/>
      <c r="AJ69" s="366"/>
      <c r="AM69" s="76"/>
      <c r="AN69" s="76"/>
    </row>
    <row r="70" spans="1:40" ht="17.25" customHeight="1" x14ac:dyDescent="0.3">
      <c r="A70" s="366">
        <f t="shared" ref="A70:A91" si="48">A69+1</f>
        <v>1</v>
      </c>
      <c r="B70" s="467" t="s">
        <v>494</v>
      </c>
      <c r="C70" s="365" t="s">
        <v>717</v>
      </c>
      <c r="D70" s="365"/>
      <c r="E70" s="468" t="s">
        <v>437</v>
      </c>
      <c r="F70" s="581">
        <v>172221.14563106795</v>
      </c>
      <c r="G70" s="470">
        <v>511796.11650485435</v>
      </c>
      <c r="H70" s="494">
        <f t="shared" ref="H70:H84" si="49">G70-F70</f>
        <v>339574.97087378637</v>
      </c>
      <c r="I70" s="471">
        <v>103</v>
      </c>
      <c r="J70" s="424"/>
      <c r="K70" s="495">
        <f t="shared" ref="K70:K84" si="50">I70*F70</f>
        <v>17738778</v>
      </c>
      <c r="L70" s="495">
        <f t="shared" ref="L70:L84" si="51">I70*G70</f>
        <v>52715000</v>
      </c>
      <c r="M70" s="495">
        <f t="shared" ref="M70:M84" si="52">L70-K70</f>
        <v>34976222</v>
      </c>
      <c r="N70" s="496">
        <f t="shared" ref="N70:N84" si="53">K70/L70</f>
        <v>0.33650342407284456</v>
      </c>
      <c r="O70" s="497">
        <f t="shared" si="45"/>
        <v>3.3997328712216141E-2</v>
      </c>
      <c r="P70" s="497">
        <f t="shared" si="45"/>
        <v>3.3995580112074271E-2</v>
      </c>
      <c r="Q70" s="497">
        <f t="shared" si="46"/>
        <v>6.4166459008223277E-3</v>
      </c>
      <c r="R70" s="498">
        <f t="shared" si="47"/>
        <v>2.7890603845112376</v>
      </c>
      <c r="S70" s="545">
        <f t="shared" si="20"/>
        <v>8.1941129673826563</v>
      </c>
      <c r="T70" s="546">
        <f t="shared" si="21"/>
        <v>4193715.1949085118</v>
      </c>
      <c r="U70" s="404"/>
      <c r="V70" s="476" t="str">
        <f t="shared" si="13"/>
        <v>High</v>
      </c>
      <c r="W70" s="476" t="str">
        <f t="shared" si="14"/>
        <v>High</v>
      </c>
      <c r="X70" s="477" t="str">
        <f t="shared" si="15"/>
        <v>Star</v>
      </c>
      <c r="Y70" s="488"/>
      <c r="AA70" s="366"/>
      <c r="AB70" s="503"/>
      <c r="AC70" s="366"/>
      <c r="AD70" s="366"/>
      <c r="AE70" s="366"/>
      <c r="AF70" s="366"/>
      <c r="AG70" s="366"/>
      <c r="AH70" s="366"/>
      <c r="AI70" s="366"/>
      <c r="AJ70" s="366"/>
      <c r="AM70" s="76"/>
      <c r="AN70" s="76"/>
    </row>
    <row r="71" spans="1:40" ht="17.25" customHeight="1" x14ac:dyDescent="0.3">
      <c r="A71" s="366">
        <f t="shared" si="48"/>
        <v>2</v>
      </c>
      <c r="B71" s="467" t="s">
        <v>495</v>
      </c>
      <c r="C71" s="365" t="s">
        <v>530</v>
      </c>
      <c r="D71" s="365"/>
      <c r="E71" s="468" t="s">
        <v>437</v>
      </c>
      <c r="F71" s="581">
        <v>72787.68456375839</v>
      </c>
      <c r="G71" s="470">
        <v>208050.84745762713</v>
      </c>
      <c r="H71" s="494">
        <f t="shared" si="49"/>
        <v>135263.16289386875</v>
      </c>
      <c r="I71" s="471">
        <v>236</v>
      </c>
      <c r="J71" s="424"/>
      <c r="K71" s="495">
        <f t="shared" si="50"/>
        <v>17177893.55704698</v>
      </c>
      <c r="L71" s="495">
        <f t="shared" si="51"/>
        <v>49100000</v>
      </c>
      <c r="M71" s="495">
        <f t="shared" si="52"/>
        <v>31922106.44295302</v>
      </c>
      <c r="N71" s="496">
        <f t="shared" si="53"/>
        <v>0.34985526592763705</v>
      </c>
      <c r="O71" s="497">
        <f t="shared" si="45"/>
        <v>3.1665917476426303E-2</v>
      </c>
      <c r="P71" s="497">
        <f t="shared" si="45"/>
        <v>3.1027093976232531E-2</v>
      </c>
      <c r="Q71" s="497">
        <f t="shared" si="46"/>
        <v>1.4702217792175429E-2</v>
      </c>
      <c r="R71" s="498">
        <f t="shared" si="47"/>
        <v>6.3904684538315726</v>
      </c>
      <c r="S71" s="545">
        <f t="shared" si="20"/>
        <v>18.774860779634047</v>
      </c>
      <c r="T71" s="546">
        <f t="shared" si="21"/>
        <v>3906125.6961018294</v>
      </c>
      <c r="U71" s="404"/>
      <c r="V71" s="476" t="str">
        <f t="shared" si="13"/>
        <v>High</v>
      </c>
      <c r="W71" s="476" t="str">
        <f t="shared" si="14"/>
        <v>High</v>
      </c>
      <c r="X71" s="477" t="str">
        <f t="shared" si="15"/>
        <v>Star</v>
      </c>
      <c r="AA71" s="366"/>
      <c r="AB71" s="503"/>
      <c r="AC71" s="366"/>
      <c r="AD71" s="366"/>
      <c r="AE71" s="366"/>
      <c r="AF71" s="366"/>
      <c r="AG71" s="366"/>
      <c r="AH71" s="366"/>
      <c r="AI71" s="366"/>
      <c r="AJ71" s="366"/>
      <c r="AM71" s="76"/>
      <c r="AN71" s="76"/>
    </row>
    <row r="72" spans="1:40" ht="17.25" customHeight="1" x14ac:dyDescent="0.3">
      <c r="A72" s="366">
        <f t="shared" si="48"/>
        <v>3</v>
      </c>
      <c r="B72" s="467" t="s">
        <v>496</v>
      </c>
      <c r="C72" s="365" t="s">
        <v>531</v>
      </c>
      <c r="D72" s="365"/>
      <c r="E72" s="468" t="s">
        <v>437</v>
      </c>
      <c r="F72" s="581">
        <v>60851.005617977527</v>
      </c>
      <c r="G72" s="470">
        <v>187804.42804428044</v>
      </c>
      <c r="H72" s="494">
        <f t="shared" si="49"/>
        <v>126953.42242630292</v>
      </c>
      <c r="I72" s="471">
        <v>271</v>
      </c>
      <c r="J72" s="424"/>
      <c r="K72" s="495">
        <f t="shared" si="50"/>
        <v>16490622.52247191</v>
      </c>
      <c r="L72" s="495">
        <f t="shared" si="51"/>
        <v>50895000</v>
      </c>
      <c r="M72" s="495">
        <f t="shared" si="52"/>
        <v>34404377.477528088</v>
      </c>
      <c r="N72" s="496">
        <f t="shared" si="53"/>
        <v>0.32401262447140017</v>
      </c>
      <c r="O72" s="497">
        <f t="shared" si="45"/>
        <v>3.2823561506368976E-2</v>
      </c>
      <c r="P72" s="497">
        <f t="shared" si="45"/>
        <v>3.343976861604292E-2</v>
      </c>
      <c r="Q72" s="497">
        <f t="shared" si="46"/>
        <v>1.6882631447794668E-2</v>
      </c>
      <c r="R72" s="498">
        <f t="shared" si="47"/>
        <v>7.3382074194421874</v>
      </c>
      <c r="S72" s="545">
        <f t="shared" si="20"/>
        <v>21.559268098647571</v>
      </c>
      <c r="T72" s="546">
        <f t="shared" si="21"/>
        <v>4048926.0143198087</v>
      </c>
      <c r="U72" s="404"/>
      <c r="V72" s="476" t="str">
        <f t="shared" si="13"/>
        <v>High</v>
      </c>
      <c r="W72" s="476" t="str">
        <f t="shared" si="14"/>
        <v>High</v>
      </c>
      <c r="X72" s="477" t="str">
        <f t="shared" si="15"/>
        <v>Star</v>
      </c>
      <c r="AA72" s="366"/>
      <c r="AB72" s="503"/>
      <c r="AC72" s="366"/>
      <c r="AD72" s="366"/>
      <c r="AE72" s="366"/>
      <c r="AF72" s="366"/>
      <c r="AG72" s="366"/>
      <c r="AH72" s="366"/>
      <c r="AI72" s="366"/>
      <c r="AJ72" s="366"/>
      <c r="AM72" s="76"/>
      <c r="AN72" s="76"/>
    </row>
    <row r="73" spans="1:40" ht="17.25" customHeight="1" x14ac:dyDescent="0.3">
      <c r="A73" s="366">
        <f t="shared" si="48"/>
        <v>4</v>
      </c>
      <c r="B73" s="467" t="s">
        <v>497</v>
      </c>
      <c r="C73" s="365" t="s">
        <v>532</v>
      </c>
      <c r="D73" s="365"/>
      <c r="E73" s="468" t="s">
        <v>437</v>
      </c>
      <c r="F73" s="581">
        <v>54833.034653465344</v>
      </c>
      <c r="G73" s="470">
        <v>167586.20689655171</v>
      </c>
      <c r="H73" s="494">
        <f t="shared" si="49"/>
        <v>112753.17224308636</v>
      </c>
      <c r="I73" s="471">
        <v>145</v>
      </c>
      <c r="J73" s="424"/>
      <c r="K73" s="495">
        <f t="shared" si="50"/>
        <v>7950790.0247524744</v>
      </c>
      <c r="L73" s="495">
        <f t="shared" si="51"/>
        <v>24299999.999999996</v>
      </c>
      <c r="M73" s="495">
        <f t="shared" si="52"/>
        <v>16349209.975247521</v>
      </c>
      <c r="N73" s="496">
        <f t="shared" si="53"/>
        <v>0.32719300513384675</v>
      </c>
      <c r="O73" s="497">
        <f t="shared" si="45"/>
        <v>1.5671726979168209E-2</v>
      </c>
      <c r="P73" s="497">
        <f t="shared" si="45"/>
        <v>1.5890820840588526E-2</v>
      </c>
      <c r="Q73" s="497">
        <f t="shared" si="46"/>
        <v>9.0331422875654117E-3</v>
      </c>
      <c r="R73" s="498">
        <f t="shared" si="47"/>
        <v>3.9263471432439752</v>
      </c>
      <c r="S73" s="545">
        <f t="shared" si="20"/>
        <v>11.535401750198886</v>
      </c>
      <c r="T73" s="546">
        <f t="shared" si="21"/>
        <v>1933174.2243436752</v>
      </c>
      <c r="U73" s="404"/>
      <c r="V73" s="476" t="str">
        <f t="shared" si="13"/>
        <v>High</v>
      </c>
      <c r="W73" s="476" t="str">
        <f t="shared" si="14"/>
        <v>High</v>
      </c>
      <c r="X73" s="477" t="str">
        <f t="shared" si="15"/>
        <v>Star</v>
      </c>
      <c r="AA73" s="366"/>
      <c r="AB73" s="503"/>
      <c r="AC73" s="366"/>
      <c r="AD73" s="366"/>
      <c r="AE73" s="366"/>
      <c r="AF73" s="366"/>
      <c r="AG73" s="366"/>
      <c r="AH73" s="366"/>
      <c r="AI73" s="366"/>
      <c r="AJ73" s="366"/>
      <c r="AM73" s="76"/>
      <c r="AN73" s="76"/>
    </row>
    <row r="74" spans="1:40" ht="17.25" customHeight="1" x14ac:dyDescent="0.3">
      <c r="A74" s="366">
        <f t="shared" si="48"/>
        <v>5</v>
      </c>
      <c r="B74" s="467" t="s">
        <v>498</v>
      </c>
      <c r="C74" s="365" t="s">
        <v>533</v>
      </c>
      <c r="D74" s="365"/>
      <c r="E74" s="468" t="s">
        <v>437</v>
      </c>
      <c r="F74" s="581">
        <v>46317.576763485478</v>
      </c>
      <c r="G74" s="470">
        <v>168251.23152709359</v>
      </c>
      <c r="H74" s="494">
        <f t="shared" si="49"/>
        <v>121933.65476360812</v>
      </c>
      <c r="I74" s="471">
        <v>203</v>
      </c>
      <c r="J74" s="424"/>
      <c r="K74" s="495">
        <f t="shared" si="50"/>
        <v>9402468.0829875525</v>
      </c>
      <c r="L74" s="495">
        <f t="shared" si="51"/>
        <v>34155000</v>
      </c>
      <c r="M74" s="495">
        <f t="shared" si="52"/>
        <v>24752531.917012446</v>
      </c>
      <c r="N74" s="496">
        <f t="shared" si="53"/>
        <v>0.27528818863965898</v>
      </c>
      <c r="O74" s="497">
        <f t="shared" si="45"/>
        <v>2.2027482920719765E-2</v>
      </c>
      <c r="P74" s="497">
        <f t="shared" si="45"/>
        <v>2.4058535589163172E-2</v>
      </c>
      <c r="Q74" s="497">
        <f t="shared" si="46"/>
        <v>1.2646399202591578E-2</v>
      </c>
      <c r="R74" s="498">
        <f t="shared" si="47"/>
        <v>5.496886000541565</v>
      </c>
      <c r="S74" s="545">
        <f t="shared" si="20"/>
        <v>16.149562450278438</v>
      </c>
      <c r="T74" s="546">
        <f t="shared" si="21"/>
        <v>2717183.7708830545</v>
      </c>
      <c r="U74" s="404"/>
      <c r="V74" s="476" t="str">
        <f t="shared" si="13"/>
        <v>High</v>
      </c>
      <c r="W74" s="476" t="str">
        <f t="shared" si="14"/>
        <v>High</v>
      </c>
      <c r="X74" s="477" t="str">
        <f t="shared" si="15"/>
        <v>Star</v>
      </c>
      <c r="AA74" s="366"/>
      <c r="AB74" s="503"/>
      <c r="AC74" s="366"/>
      <c r="AD74" s="366"/>
      <c r="AE74" s="366"/>
      <c r="AF74" s="366"/>
      <c r="AG74" s="366"/>
      <c r="AH74" s="366"/>
      <c r="AI74" s="366"/>
      <c r="AJ74" s="366"/>
      <c r="AM74" s="76"/>
      <c r="AN74" s="76"/>
    </row>
    <row r="75" spans="1:40" ht="17.25" customHeight="1" x14ac:dyDescent="0.3">
      <c r="A75" s="366">
        <f t="shared" si="48"/>
        <v>6</v>
      </c>
      <c r="B75" s="467" t="s">
        <v>738</v>
      </c>
      <c r="C75" s="365" t="s">
        <v>744</v>
      </c>
      <c r="D75" s="365"/>
      <c r="E75" s="468" t="s">
        <v>437</v>
      </c>
      <c r="F75" s="581"/>
      <c r="G75" s="470">
        <v>155000</v>
      </c>
      <c r="H75" s="494">
        <f t="shared" si="49"/>
        <v>155000</v>
      </c>
      <c r="I75" s="471">
        <v>0</v>
      </c>
      <c r="J75" s="424"/>
      <c r="K75" s="495">
        <f t="shared" si="50"/>
        <v>0</v>
      </c>
      <c r="L75" s="495">
        <f t="shared" si="51"/>
        <v>0</v>
      </c>
      <c r="M75" s="495">
        <f t="shared" si="52"/>
        <v>0</v>
      </c>
      <c r="N75" s="496" t="e">
        <f t="shared" si="53"/>
        <v>#DIV/0!</v>
      </c>
      <c r="O75" s="497">
        <f t="shared" si="45"/>
        <v>0</v>
      </c>
      <c r="P75" s="497">
        <f t="shared" si="45"/>
        <v>0</v>
      </c>
      <c r="Q75" s="497">
        <f t="shared" si="46"/>
        <v>0</v>
      </c>
      <c r="R75" s="498">
        <f t="shared" si="47"/>
        <v>0</v>
      </c>
      <c r="S75" s="545">
        <f t="shared" si="20"/>
        <v>0</v>
      </c>
      <c r="T75" s="546">
        <f t="shared" si="21"/>
        <v>0</v>
      </c>
      <c r="U75" s="404"/>
      <c r="V75" s="476" t="str">
        <f t="shared" si="13"/>
        <v>Low</v>
      </c>
      <c r="W75" s="476" t="str">
        <f t="shared" si="14"/>
        <v>Low</v>
      </c>
      <c r="X75" s="477" t="str">
        <f t="shared" si="15"/>
        <v>Dog</v>
      </c>
      <c r="AA75" s="366"/>
      <c r="AB75" s="503"/>
      <c r="AC75" s="366"/>
      <c r="AD75" s="366"/>
      <c r="AE75" s="366"/>
      <c r="AF75" s="366"/>
      <c r="AG75" s="366"/>
      <c r="AH75" s="366"/>
      <c r="AI75" s="366"/>
      <c r="AJ75" s="366"/>
      <c r="AM75" s="76"/>
      <c r="AN75" s="76"/>
    </row>
    <row r="76" spans="1:40" ht="17.25" customHeight="1" x14ac:dyDescent="0.3">
      <c r="A76" s="366">
        <f t="shared" si="48"/>
        <v>7</v>
      </c>
      <c r="B76" s="467" t="s">
        <v>499</v>
      </c>
      <c r="C76" s="365" t="s">
        <v>534</v>
      </c>
      <c r="D76" s="365"/>
      <c r="E76" s="468" t="s">
        <v>437</v>
      </c>
      <c r="F76" s="581">
        <v>52609.250980392157</v>
      </c>
      <c r="G76" s="470">
        <v>147333.33333333334</v>
      </c>
      <c r="H76" s="494">
        <f t="shared" si="49"/>
        <v>94724.082352941186</v>
      </c>
      <c r="I76" s="471">
        <v>180</v>
      </c>
      <c r="J76" s="424"/>
      <c r="K76" s="495">
        <f t="shared" si="50"/>
        <v>9469665.1764705889</v>
      </c>
      <c r="L76" s="495">
        <f t="shared" si="51"/>
        <v>26520000</v>
      </c>
      <c r="M76" s="495">
        <f t="shared" si="52"/>
        <v>17050334.823529411</v>
      </c>
      <c r="N76" s="496">
        <f t="shared" si="53"/>
        <v>0.3570763641203088</v>
      </c>
      <c r="O76" s="497">
        <f t="shared" si="45"/>
        <v>1.7103464999487283E-2</v>
      </c>
      <c r="P76" s="497">
        <f t="shared" si="45"/>
        <v>1.6572287979844818E-2</v>
      </c>
      <c r="Q76" s="497">
        <f t="shared" si="46"/>
        <v>1.121355594318465E-2</v>
      </c>
      <c r="R76" s="498">
        <f t="shared" si="47"/>
        <v>4.8740861088545895</v>
      </c>
      <c r="S76" s="545">
        <f t="shared" si="20"/>
        <v>14.319809069212409</v>
      </c>
      <c r="T76" s="546">
        <f t="shared" si="21"/>
        <v>2109785.2028639619</v>
      </c>
      <c r="U76" s="404"/>
      <c r="V76" s="476" t="str">
        <f t="shared" si="13"/>
        <v>High</v>
      </c>
      <c r="W76" s="476" t="str">
        <f t="shared" si="14"/>
        <v>High</v>
      </c>
      <c r="X76" s="477" t="str">
        <f t="shared" si="15"/>
        <v>Star</v>
      </c>
      <c r="AA76" s="366"/>
      <c r="AB76" s="503"/>
      <c r="AC76" s="366"/>
      <c r="AD76" s="366"/>
      <c r="AE76" s="366"/>
      <c r="AF76" s="366"/>
      <c r="AG76" s="366"/>
      <c r="AH76" s="366"/>
      <c r="AI76" s="366"/>
      <c r="AJ76" s="366"/>
      <c r="AM76" s="76"/>
      <c r="AN76" s="76"/>
    </row>
    <row r="77" spans="1:40" ht="17.25" customHeight="1" x14ac:dyDescent="0.3">
      <c r="A77" s="366">
        <f t="shared" si="48"/>
        <v>8</v>
      </c>
      <c r="B77" s="467" t="s">
        <v>500</v>
      </c>
      <c r="C77" s="365" t="s">
        <v>535</v>
      </c>
      <c r="D77" s="365"/>
      <c r="E77" s="468" t="s">
        <v>437</v>
      </c>
      <c r="F77" s="581">
        <v>52901.080717488789</v>
      </c>
      <c r="G77" s="470">
        <v>148036.80981595092</v>
      </c>
      <c r="H77" s="494">
        <f t="shared" si="49"/>
        <v>95135.729098462136</v>
      </c>
      <c r="I77" s="471">
        <v>163</v>
      </c>
      <c r="J77" s="424"/>
      <c r="K77" s="495">
        <f t="shared" si="50"/>
        <v>8622876.1569506731</v>
      </c>
      <c r="L77" s="495">
        <f t="shared" si="51"/>
        <v>24130000</v>
      </c>
      <c r="M77" s="495">
        <f t="shared" si="52"/>
        <v>15507123.843049327</v>
      </c>
      <c r="N77" s="496">
        <f t="shared" si="53"/>
        <v>0.35735085606923633</v>
      </c>
      <c r="O77" s="497">
        <f t="shared" si="45"/>
        <v>1.5562089383017652E-2</v>
      </c>
      <c r="P77" s="497">
        <f t="shared" si="45"/>
        <v>1.5072344603549247E-2</v>
      </c>
      <c r="Q77" s="497">
        <f t="shared" si="46"/>
        <v>1.0154497881883877E-2</v>
      </c>
      <c r="R77" s="498">
        <f t="shared" si="47"/>
        <v>4.4137557541294345</v>
      </c>
      <c r="S77" s="545">
        <f t="shared" si="20"/>
        <v>12.967382657120128</v>
      </c>
      <c r="T77" s="546">
        <f t="shared" si="21"/>
        <v>1919649.9602227528</v>
      </c>
      <c r="U77" s="404"/>
      <c r="V77" s="476" t="str">
        <f t="shared" si="13"/>
        <v>High</v>
      </c>
      <c r="W77" s="476" t="str">
        <f t="shared" si="14"/>
        <v>High</v>
      </c>
      <c r="X77" s="477" t="str">
        <f t="shared" si="15"/>
        <v>Star</v>
      </c>
      <c r="AA77" s="366"/>
      <c r="AB77" s="503"/>
      <c r="AC77" s="366"/>
      <c r="AD77" s="366"/>
      <c r="AE77" s="366"/>
      <c r="AF77" s="366"/>
      <c r="AG77" s="366"/>
      <c r="AH77" s="366"/>
      <c r="AI77" s="366"/>
      <c r="AJ77" s="366"/>
      <c r="AM77" s="76"/>
      <c r="AN77" s="76"/>
    </row>
    <row r="78" spans="1:40" ht="17.25" customHeight="1" x14ac:dyDescent="0.3">
      <c r="A78" s="366">
        <f t="shared" si="48"/>
        <v>9</v>
      </c>
      <c r="B78" s="467" t="s">
        <v>501</v>
      </c>
      <c r="C78" s="365" t="s">
        <v>536</v>
      </c>
      <c r="D78" s="365"/>
      <c r="E78" s="468" t="s">
        <v>437</v>
      </c>
      <c r="F78" s="581">
        <v>38015.491666666669</v>
      </c>
      <c r="G78" s="470">
        <v>111416.66666666667</v>
      </c>
      <c r="H78" s="494">
        <f t="shared" si="49"/>
        <v>73401.175000000003</v>
      </c>
      <c r="I78" s="471">
        <v>120</v>
      </c>
      <c r="J78" s="424"/>
      <c r="K78" s="495">
        <f t="shared" si="50"/>
        <v>4561859</v>
      </c>
      <c r="L78" s="495">
        <f t="shared" si="51"/>
        <v>13370000</v>
      </c>
      <c r="M78" s="495">
        <f t="shared" si="52"/>
        <v>8808141</v>
      </c>
      <c r="N78" s="496">
        <f t="shared" si="53"/>
        <v>0.34120112191473451</v>
      </c>
      <c r="O78" s="497">
        <f t="shared" si="45"/>
        <v>8.622674473723415E-3</v>
      </c>
      <c r="P78" s="497">
        <f t="shared" si="45"/>
        <v>8.5611837380248218E-3</v>
      </c>
      <c r="Q78" s="497">
        <f t="shared" si="46"/>
        <v>7.4757039621231001E-3</v>
      </c>
      <c r="R78" s="498">
        <f t="shared" si="47"/>
        <v>3.249390739236393</v>
      </c>
      <c r="S78" s="545">
        <f t="shared" si="20"/>
        <v>9.5465393794749396</v>
      </c>
      <c r="T78" s="546">
        <f t="shared" si="21"/>
        <v>1063643.5958631663</v>
      </c>
      <c r="U78" s="404"/>
      <c r="V78" s="476" t="str">
        <f t="shared" si="13"/>
        <v>High</v>
      </c>
      <c r="W78" s="476" t="str">
        <f t="shared" si="14"/>
        <v>High</v>
      </c>
      <c r="X78" s="477" t="str">
        <f t="shared" si="15"/>
        <v>Star</v>
      </c>
      <c r="AA78" s="366"/>
      <c r="AB78" s="503"/>
      <c r="AC78" s="366"/>
      <c r="AD78" s="366"/>
      <c r="AE78" s="366"/>
      <c r="AF78" s="366"/>
      <c r="AG78" s="366"/>
      <c r="AH78" s="366"/>
      <c r="AI78" s="366"/>
      <c r="AJ78" s="366"/>
      <c r="AM78" s="76"/>
      <c r="AN78" s="76"/>
    </row>
    <row r="79" spans="1:40" ht="17.25" customHeight="1" x14ac:dyDescent="0.3">
      <c r="A79" s="366">
        <f t="shared" si="48"/>
        <v>10</v>
      </c>
      <c r="B79" s="467" t="s">
        <v>503</v>
      </c>
      <c r="C79" s="365" t="s">
        <v>538</v>
      </c>
      <c r="D79" s="365"/>
      <c r="E79" s="468" t="s">
        <v>437</v>
      </c>
      <c r="F79" s="581"/>
      <c r="G79" s="470">
        <v>185000</v>
      </c>
      <c r="H79" s="494">
        <f t="shared" si="49"/>
        <v>185000</v>
      </c>
      <c r="I79" s="471">
        <v>0</v>
      </c>
      <c r="J79" s="424"/>
      <c r="K79" s="495">
        <f t="shared" si="50"/>
        <v>0</v>
      </c>
      <c r="L79" s="495">
        <f t="shared" si="51"/>
        <v>0</v>
      </c>
      <c r="M79" s="495">
        <f t="shared" si="52"/>
        <v>0</v>
      </c>
      <c r="N79" s="496" t="e">
        <f t="shared" si="53"/>
        <v>#DIV/0!</v>
      </c>
      <c r="O79" s="497">
        <f t="shared" si="45"/>
        <v>0</v>
      </c>
      <c r="P79" s="497">
        <f t="shared" si="45"/>
        <v>0</v>
      </c>
      <c r="Q79" s="497">
        <f t="shared" si="46"/>
        <v>0</v>
      </c>
      <c r="R79" s="498">
        <f t="shared" si="47"/>
        <v>0</v>
      </c>
      <c r="S79" s="545">
        <f t="shared" si="20"/>
        <v>0</v>
      </c>
      <c r="T79" s="546">
        <f t="shared" si="21"/>
        <v>0</v>
      </c>
      <c r="U79" s="404"/>
      <c r="V79" s="476" t="str">
        <f t="shared" si="13"/>
        <v>Low</v>
      </c>
      <c r="W79" s="476" t="str">
        <f t="shared" si="14"/>
        <v>Low</v>
      </c>
      <c r="X79" s="477" t="str">
        <f t="shared" si="15"/>
        <v>Dog</v>
      </c>
      <c r="AA79" s="366"/>
      <c r="AB79" s="503"/>
      <c r="AC79" s="366"/>
      <c r="AD79" s="366"/>
      <c r="AE79" s="366"/>
      <c r="AF79" s="366"/>
      <c r="AG79" s="366"/>
      <c r="AH79" s="366"/>
      <c r="AI79" s="366"/>
      <c r="AJ79" s="366"/>
      <c r="AM79" s="76"/>
      <c r="AN79" s="76"/>
    </row>
    <row r="80" spans="1:40" ht="17.25" customHeight="1" x14ac:dyDescent="0.3">
      <c r="A80" s="366">
        <f t="shared" si="48"/>
        <v>11</v>
      </c>
      <c r="B80" s="467" t="s">
        <v>555</v>
      </c>
      <c r="C80" s="365" t="s">
        <v>718</v>
      </c>
      <c r="D80" s="365"/>
      <c r="E80" s="468" t="s">
        <v>437</v>
      </c>
      <c r="F80" s="581">
        <v>172221.1573033708</v>
      </c>
      <c r="G80" s="470">
        <v>622309.09090909094</v>
      </c>
      <c r="H80" s="494">
        <f t="shared" si="49"/>
        <v>450087.93360572017</v>
      </c>
      <c r="I80" s="471">
        <v>55</v>
      </c>
      <c r="J80" s="424"/>
      <c r="K80" s="495">
        <f t="shared" si="50"/>
        <v>9472163.6516853943</v>
      </c>
      <c r="L80" s="495">
        <f t="shared" si="51"/>
        <v>34227000</v>
      </c>
      <c r="M80" s="495">
        <f t="shared" si="52"/>
        <v>24754836.348314606</v>
      </c>
      <c r="N80" s="496">
        <f t="shared" si="53"/>
        <v>0.2767453662805795</v>
      </c>
      <c r="O80" s="497">
        <f t="shared" si="45"/>
        <v>2.2073917667324708E-2</v>
      </c>
      <c r="P80" s="497">
        <f t="shared" si="45"/>
        <v>2.4060775410232053E-2</v>
      </c>
      <c r="Q80" s="497">
        <f t="shared" si="46"/>
        <v>3.4263643159730874E-3</v>
      </c>
      <c r="R80" s="498">
        <f t="shared" si="47"/>
        <v>1.4893040888166802</v>
      </c>
      <c r="S80" s="545">
        <f t="shared" si="20"/>
        <v>4.3754972155926808</v>
      </c>
      <c r="T80" s="546">
        <f t="shared" si="21"/>
        <v>2722911.6945107398</v>
      </c>
      <c r="U80" s="404"/>
      <c r="V80" s="476" t="str">
        <f t="shared" si="13"/>
        <v>High</v>
      </c>
      <c r="W80" s="476" t="str">
        <f t="shared" si="14"/>
        <v>High</v>
      </c>
      <c r="X80" s="477" t="str">
        <f t="shared" si="15"/>
        <v>Star</v>
      </c>
      <c r="AA80" s="366"/>
      <c r="AB80" s="503"/>
      <c r="AC80" s="366"/>
      <c r="AD80" s="366"/>
      <c r="AE80" s="366"/>
      <c r="AF80" s="366"/>
      <c r="AG80" s="366"/>
      <c r="AH80" s="366"/>
      <c r="AI80" s="366"/>
      <c r="AJ80" s="366"/>
      <c r="AM80" s="76"/>
      <c r="AN80" s="76"/>
    </row>
    <row r="81" spans="1:40" ht="17.25" customHeight="1" x14ac:dyDescent="0.3">
      <c r="A81" s="366">
        <f t="shared" si="48"/>
        <v>12</v>
      </c>
      <c r="B81" s="467" t="s">
        <v>570</v>
      </c>
      <c r="C81" s="365" t="s">
        <v>577</v>
      </c>
      <c r="D81" s="365"/>
      <c r="E81" s="468" t="s">
        <v>437</v>
      </c>
      <c r="F81" s="581"/>
      <c r="G81" s="470">
        <v>295000</v>
      </c>
      <c r="H81" s="494">
        <f t="shared" si="49"/>
        <v>295000</v>
      </c>
      <c r="I81" s="471">
        <v>0</v>
      </c>
      <c r="J81" s="424"/>
      <c r="K81" s="495">
        <f t="shared" si="50"/>
        <v>0</v>
      </c>
      <c r="L81" s="495">
        <f t="shared" si="51"/>
        <v>0</v>
      </c>
      <c r="M81" s="495">
        <f t="shared" si="52"/>
        <v>0</v>
      </c>
      <c r="N81" s="496" t="e">
        <f t="shared" si="53"/>
        <v>#DIV/0!</v>
      </c>
      <c r="O81" s="497">
        <f t="shared" si="45"/>
        <v>0</v>
      </c>
      <c r="P81" s="497">
        <f t="shared" si="45"/>
        <v>0</v>
      </c>
      <c r="Q81" s="497">
        <f t="shared" si="46"/>
        <v>0</v>
      </c>
      <c r="R81" s="498">
        <f t="shared" si="47"/>
        <v>0</v>
      </c>
      <c r="S81" s="545">
        <f t="shared" si="20"/>
        <v>0</v>
      </c>
      <c r="T81" s="546">
        <f t="shared" si="21"/>
        <v>0</v>
      </c>
      <c r="U81" s="404"/>
      <c r="V81" s="476" t="str">
        <f t="shared" si="13"/>
        <v>Low</v>
      </c>
      <c r="W81" s="476" t="str">
        <f t="shared" si="14"/>
        <v>Low</v>
      </c>
      <c r="X81" s="477" t="str">
        <f t="shared" si="15"/>
        <v>Dog</v>
      </c>
      <c r="AA81" s="366"/>
      <c r="AB81" s="503"/>
      <c r="AC81" s="366"/>
      <c r="AD81" s="366"/>
      <c r="AE81" s="366"/>
      <c r="AF81" s="366"/>
      <c r="AG81" s="366"/>
      <c r="AH81" s="366"/>
      <c r="AI81" s="366"/>
      <c r="AJ81" s="366"/>
      <c r="AM81" s="76"/>
      <c r="AN81" s="76"/>
    </row>
    <row r="82" spans="1:40" ht="17.25" customHeight="1" x14ac:dyDescent="0.3">
      <c r="A82" s="366">
        <f t="shared" si="48"/>
        <v>13</v>
      </c>
      <c r="B82" s="467" t="s">
        <v>502</v>
      </c>
      <c r="C82" s="365" t="s">
        <v>719</v>
      </c>
      <c r="D82" s="365"/>
      <c r="E82" s="468" t="s">
        <v>437</v>
      </c>
      <c r="F82" s="581">
        <v>42556.128205128203</v>
      </c>
      <c r="G82" s="470">
        <v>122142.85714285714</v>
      </c>
      <c r="H82" s="494">
        <f t="shared" si="49"/>
        <v>79586.728937728942</v>
      </c>
      <c r="I82" s="471">
        <v>84</v>
      </c>
      <c r="J82" s="424"/>
      <c r="K82" s="495">
        <f t="shared" si="50"/>
        <v>3574714.769230769</v>
      </c>
      <c r="L82" s="495">
        <f t="shared" si="51"/>
        <v>10260000</v>
      </c>
      <c r="M82" s="495">
        <f t="shared" si="52"/>
        <v>6685285.230769231</v>
      </c>
      <c r="N82" s="496">
        <f t="shared" si="53"/>
        <v>0.34841274553906132</v>
      </c>
      <c r="O82" s="497">
        <f t="shared" si="45"/>
        <v>6.6169513912043565E-3</v>
      </c>
      <c r="P82" s="497">
        <f t="shared" si="45"/>
        <v>6.4978472985070352E-3</v>
      </c>
      <c r="Q82" s="497">
        <f t="shared" si="46"/>
        <v>5.2329927734861698E-3</v>
      </c>
      <c r="R82" s="498">
        <f t="shared" si="47"/>
        <v>2.2745735174654751</v>
      </c>
      <c r="S82" s="545">
        <f t="shared" si="20"/>
        <v>6.6825775656324575</v>
      </c>
      <c r="T82" s="546">
        <f t="shared" si="21"/>
        <v>816229.11694510735</v>
      </c>
      <c r="U82" s="404"/>
      <c r="V82" s="476" t="str">
        <f t="shared" si="13"/>
        <v>High</v>
      </c>
      <c r="W82" s="476" t="str">
        <f t="shared" si="14"/>
        <v>High</v>
      </c>
      <c r="X82" s="477" t="str">
        <f t="shared" si="15"/>
        <v>Star</v>
      </c>
      <c r="AA82" s="366"/>
      <c r="AB82" s="503"/>
      <c r="AC82" s="366"/>
      <c r="AD82" s="366"/>
      <c r="AE82" s="366"/>
      <c r="AF82" s="366"/>
      <c r="AG82" s="366"/>
      <c r="AH82" s="366"/>
      <c r="AI82" s="366"/>
      <c r="AJ82" s="366"/>
      <c r="AM82" s="76"/>
      <c r="AN82" s="76"/>
    </row>
    <row r="83" spans="1:40" ht="17.25" customHeight="1" x14ac:dyDescent="0.3">
      <c r="A83" s="366">
        <f t="shared" si="48"/>
        <v>14</v>
      </c>
      <c r="B83" s="467" t="s">
        <v>571</v>
      </c>
      <c r="C83" s="365" t="s">
        <v>578</v>
      </c>
      <c r="D83" s="365"/>
      <c r="E83" s="468" t="s">
        <v>437</v>
      </c>
      <c r="F83" s="581">
        <v>64104.23134328358</v>
      </c>
      <c r="G83" s="470">
        <v>167727.27272727274</v>
      </c>
      <c r="H83" s="494">
        <f t="shared" si="49"/>
        <v>103623.04138398916</v>
      </c>
      <c r="I83" s="471">
        <v>110</v>
      </c>
      <c r="J83" s="424"/>
      <c r="K83" s="495">
        <f t="shared" si="50"/>
        <v>7051465.4477611938</v>
      </c>
      <c r="L83" s="495">
        <f t="shared" si="51"/>
        <v>18450000</v>
      </c>
      <c r="M83" s="495">
        <f t="shared" si="52"/>
        <v>11398534.552238807</v>
      </c>
      <c r="N83" s="496">
        <f t="shared" si="53"/>
        <v>0.38219324920114872</v>
      </c>
      <c r="O83" s="497">
        <f t="shared" si="45"/>
        <v>1.1898903817516605E-2</v>
      </c>
      <c r="P83" s="497">
        <f t="shared" si="45"/>
        <v>1.1078949422578602E-2</v>
      </c>
      <c r="Q83" s="497">
        <f t="shared" si="46"/>
        <v>6.8527286319461748E-3</v>
      </c>
      <c r="R83" s="498">
        <f t="shared" si="47"/>
        <v>2.9786081776333604</v>
      </c>
      <c r="S83" s="545">
        <f t="shared" si="20"/>
        <v>8.7509944311853616</v>
      </c>
      <c r="T83" s="546">
        <f t="shared" si="21"/>
        <v>1467780.429594272</v>
      </c>
      <c r="U83" s="404"/>
      <c r="V83" s="476" t="str">
        <f t="shared" si="13"/>
        <v>High</v>
      </c>
      <c r="W83" s="476" t="str">
        <f t="shared" si="14"/>
        <v>High</v>
      </c>
      <c r="X83" s="477" t="str">
        <f t="shared" si="15"/>
        <v>Star</v>
      </c>
      <c r="AA83" s="366"/>
      <c r="AB83" s="503"/>
      <c r="AC83" s="366"/>
      <c r="AD83" s="366"/>
      <c r="AE83" s="366"/>
      <c r="AF83" s="366"/>
      <c r="AG83" s="366"/>
      <c r="AH83" s="366"/>
      <c r="AI83" s="366"/>
      <c r="AJ83" s="366"/>
      <c r="AM83" s="76"/>
      <c r="AN83" s="76"/>
    </row>
    <row r="84" spans="1:40" s="148" customFormat="1" ht="17.25" customHeight="1" x14ac:dyDescent="0.3">
      <c r="A84" s="366">
        <f t="shared" si="48"/>
        <v>15</v>
      </c>
      <c r="B84" s="467" t="s">
        <v>572</v>
      </c>
      <c r="C84" s="365" t="s">
        <v>720</v>
      </c>
      <c r="D84" s="365"/>
      <c r="E84" s="468" t="s">
        <v>437</v>
      </c>
      <c r="F84" s="581">
        <v>64430.73333333333</v>
      </c>
      <c r="G84" s="470">
        <v>178191.48936170212</v>
      </c>
      <c r="H84" s="494">
        <f t="shared" si="49"/>
        <v>113760.75602836878</v>
      </c>
      <c r="I84" s="471">
        <v>47</v>
      </c>
      <c r="J84" s="424"/>
      <c r="K84" s="495">
        <f t="shared" si="50"/>
        <v>3028244.4666666663</v>
      </c>
      <c r="L84" s="495">
        <f t="shared" si="51"/>
        <v>8374999.9999999991</v>
      </c>
      <c r="M84" s="495">
        <f t="shared" si="52"/>
        <v>5346755.5333333332</v>
      </c>
      <c r="N84" s="496">
        <f t="shared" si="53"/>
        <v>0.36158142885572137</v>
      </c>
      <c r="O84" s="497">
        <f t="shared" si="45"/>
        <v>5.4012639280055048E-3</v>
      </c>
      <c r="P84" s="497">
        <f t="shared" si="45"/>
        <v>5.1968464768181576E-3</v>
      </c>
      <c r="Q84" s="497">
        <f t="shared" si="46"/>
        <v>2.9279840518315475E-3</v>
      </c>
      <c r="R84" s="498">
        <f t="shared" si="47"/>
        <v>1.2726780395342541</v>
      </c>
      <c r="S84" s="545">
        <f t="shared" si="20"/>
        <v>3.7390612569610182</v>
      </c>
      <c r="T84" s="546">
        <f t="shared" si="21"/>
        <v>666268.89419252181</v>
      </c>
      <c r="U84" s="404"/>
      <c r="V84" s="476" t="str">
        <f t="shared" si="13"/>
        <v>High</v>
      </c>
      <c r="W84" s="476" t="str">
        <f t="shared" si="14"/>
        <v>Low</v>
      </c>
      <c r="X84" s="477" t="str">
        <f t="shared" si="15"/>
        <v>Horse</v>
      </c>
      <c r="Y84" s="374"/>
      <c r="Z84" s="571"/>
      <c r="AA84" s="366"/>
      <c r="AB84" s="503"/>
      <c r="AC84" s="366"/>
      <c r="AD84" s="366"/>
      <c r="AE84" s="366"/>
      <c r="AF84" s="366"/>
      <c r="AG84" s="366"/>
      <c r="AH84" s="366"/>
      <c r="AI84" s="366"/>
      <c r="AJ84" s="366"/>
      <c r="AK84" s="375"/>
      <c r="AL84" s="376"/>
      <c r="AM84" s="138"/>
      <c r="AN84" s="138"/>
    </row>
    <row r="85" spans="1:40" ht="14.25" customHeight="1" x14ac:dyDescent="0.3">
      <c r="A85" s="366"/>
      <c r="B85" s="495"/>
      <c r="C85" s="495"/>
      <c r="D85" s="495"/>
      <c r="E85" s="468"/>
      <c r="F85" s="507"/>
      <c r="G85" s="494"/>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76"/>
      <c r="AN85" s="76"/>
    </row>
    <row r="86" spans="1:40" ht="17.25" customHeight="1" x14ac:dyDescent="0.3">
      <c r="A86" s="453"/>
      <c r="B86" s="479" t="s">
        <v>481</v>
      </c>
      <c r="C86" s="484" t="s">
        <v>482</v>
      </c>
      <c r="D86" s="484"/>
      <c r="E86" s="484"/>
      <c r="F86" s="484"/>
      <c r="G86" s="489"/>
      <c r="H86" s="489"/>
      <c r="I86" s="490">
        <f>SUBTOTAL(9,I87:I91)</f>
        <v>750</v>
      </c>
      <c r="J86" s="484"/>
      <c r="K86" s="480">
        <f>SUBTOTAL(9,K87:K91)</f>
        <v>23825924.214140385</v>
      </c>
      <c r="L86" s="480">
        <f>SUBTOTAL(9,L87:L91)</f>
        <v>75740000</v>
      </c>
      <c r="M86" s="480">
        <f>SUBTOTAL(9,M87:M91)</f>
        <v>51914075.785859615</v>
      </c>
      <c r="N86" s="491">
        <f t="shared" ref="N86:N91" si="54">K86/L86</f>
        <v>0.314575181068661</v>
      </c>
      <c r="O86" s="486">
        <f t="shared" ref="O86:P91" si="55">L86/L$10</f>
        <v>4.8846773720255157E-2</v>
      </c>
      <c r="P86" s="486">
        <f t="shared" si="55"/>
        <v>5.0458540728683776E-2</v>
      </c>
      <c r="Q86" s="486">
        <f t="shared" ref="Q86:Q91" si="56">I86/I$10</f>
        <v>4.6723149763269377E-2</v>
      </c>
      <c r="R86" s="487">
        <f t="shared" ref="R86:R91" si="57">I86/$K$5*100</f>
        <v>20.308692120227455</v>
      </c>
      <c r="S86" s="487">
        <f t="shared" si="20"/>
        <v>59.665871121718368</v>
      </c>
      <c r="T86" s="487">
        <f t="shared" si="21"/>
        <v>0</v>
      </c>
      <c r="U86" s="404"/>
      <c r="V86" s="476" t="str">
        <f t="shared" si="13"/>
        <v>High</v>
      </c>
      <c r="W86" s="476" t="str">
        <f t="shared" si="14"/>
        <v>High</v>
      </c>
      <c r="X86" s="477" t="str">
        <f t="shared" si="15"/>
        <v>Star</v>
      </c>
      <c r="AA86" s="366"/>
      <c r="AB86" s="503"/>
      <c r="AC86" s="366"/>
      <c r="AD86" s="366"/>
      <c r="AE86" s="366"/>
      <c r="AF86" s="366"/>
      <c r="AG86" s="366"/>
      <c r="AH86" s="366"/>
      <c r="AI86" s="366"/>
      <c r="AJ86" s="366"/>
      <c r="AM86" s="76"/>
      <c r="AN86" s="76"/>
    </row>
    <row r="87" spans="1:40" ht="17.25" customHeight="1" x14ac:dyDescent="0.3">
      <c r="A87" s="366">
        <f t="shared" si="48"/>
        <v>1</v>
      </c>
      <c r="B87" s="508" t="s">
        <v>633</v>
      </c>
      <c r="C87" s="365" t="s">
        <v>681</v>
      </c>
      <c r="D87" s="365"/>
      <c r="E87" s="468" t="s">
        <v>437</v>
      </c>
      <c r="F87" s="581">
        <v>31568.938271604937</v>
      </c>
      <c r="G87" s="470">
        <v>101213.74045801527</v>
      </c>
      <c r="H87" s="494">
        <f t="shared" ref="H87:H91" si="58">G87-F87</f>
        <v>69644.802186410321</v>
      </c>
      <c r="I87" s="471">
        <v>131</v>
      </c>
      <c r="J87" s="424"/>
      <c r="K87" s="495">
        <f t="shared" ref="K87:K91" si="59">I87*F87</f>
        <v>4135530.9135802467</v>
      </c>
      <c r="L87" s="495">
        <f t="shared" ref="L87:L91" si="60">I87*G87</f>
        <v>13259000</v>
      </c>
      <c r="M87" s="495">
        <f t="shared" ref="M87:M91" si="61">L87-K87</f>
        <v>9123469.0864197537</v>
      </c>
      <c r="N87" s="496">
        <f t="shared" si="54"/>
        <v>0.31190368154312142</v>
      </c>
      <c r="O87" s="497">
        <f t="shared" si="55"/>
        <v>8.5510875727074619E-3</v>
      </c>
      <c r="P87" s="497">
        <f t="shared" si="55"/>
        <v>8.8676708487101831E-3</v>
      </c>
      <c r="Q87" s="497">
        <f t="shared" si="56"/>
        <v>8.1609768253177173E-3</v>
      </c>
      <c r="R87" s="498">
        <f t="shared" si="57"/>
        <v>3.5472515569997296</v>
      </c>
      <c r="S87" s="545">
        <f t="shared" si="20"/>
        <v>10.421638822593478</v>
      </c>
      <c r="T87" s="546">
        <f t="shared" si="21"/>
        <v>1054813.046937152</v>
      </c>
      <c r="U87" s="404"/>
      <c r="V87" s="476" t="str">
        <f t="shared" si="13"/>
        <v>High</v>
      </c>
      <c r="W87" s="476" t="str">
        <f t="shared" si="14"/>
        <v>High</v>
      </c>
      <c r="X87" s="477" t="str">
        <f t="shared" si="15"/>
        <v>Star</v>
      </c>
      <c r="AA87" s="366"/>
      <c r="AB87" s="503"/>
      <c r="AC87" s="366"/>
      <c r="AD87" s="366"/>
      <c r="AE87" s="366"/>
      <c r="AF87" s="366"/>
      <c r="AG87" s="366"/>
      <c r="AH87" s="366"/>
      <c r="AI87" s="366"/>
      <c r="AJ87" s="366"/>
      <c r="AM87" s="76"/>
      <c r="AN87" s="76"/>
    </row>
    <row r="88" spans="1:40" ht="17.25" customHeight="1" x14ac:dyDescent="0.3">
      <c r="A88" s="366">
        <f t="shared" si="48"/>
        <v>2</v>
      </c>
      <c r="B88" s="508" t="s">
        <v>634</v>
      </c>
      <c r="C88" s="365" t="s">
        <v>682</v>
      </c>
      <c r="D88" s="365"/>
      <c r="E88" s="468" t="s">
        <v>437</v>
      </c>
      <c r="F88" s="581">
        <v>26009.34375</v>
      </c>
      <c r="G88" s="470">
        <v>101321.42857142857</v>
      </c>
      <c r="H88" s="494">
        <f t="shared" si="58"/>
        <v>75312.084821428565</v>
      </c>
      <c r="I88" s="471">
        <v>168</v>
      </c>
      <c r="J88" s="424"/>
      <c r="K88" s="495">
        <f t="shared" si="59"/>
        <v>4369569.75</v>
      </c>
      <c r="L88" s="495">
        <f t="shared" si="60"/>
        <v>17022000</v>
      </c>
      <c r="M88" s="495">
        <f t="shared" si="61"/>
        <v>12652430.25</v>
      </c>
      <c r="N88" s="496">
        <f t="shared" si="54"/>
        <v>0.25670131300669724</v>
      </c>
      <c r="O88" s="497">
        <f t="shared" si="55"/>
        <v>1.0977948009851905E-2</v>
      </c>
      <c r="P88" s="497">
        <f t="shared" si="55"/>
        <v>1.2297689160833521E-2</v>
      </c>
      <c r="Q88" s="497">
        <f t="shared" si="56"/>
        <v>1.046598554697234E-2</v>
      </c>
      <c r="R88" s="498">
        <f t="shared" si="57"/>
        <v>4.5491470349309502</v>
      </c>
      <c r="S88" s="545">
        <f t="shared" si="20"/>
        <v>13.365155131264915</v>
      </c>
      <c r="T88" s="546">
        <f t="shared" si="21"/>
        <v>1354176.61097852</v>
      </c>
      <c r="U88" s="404"/>
      <c r="V88" s="476" t="str">
        <f t="shared" si="13"/>
        <v>High</v>
      </c>
      <c r="W88" s="476" t="str">
        <f t="shared" si="14"/>
        <v>High</v>
      </c>
      <c r="X88" s="477" t="str">
        <f t="shared" si="15"/>
        <v>Star</v>
      </c>
      <c r="AA88" s="366"/>
      <c r="AB88" s="503"/>
      <c r="AC88" s="366"/>
      <c r="AD88" s="366"/>
      <c r="AE88" s="366"/>
      <c r="AF88" s="366"/>
      <c r="AG88" s="366"/>
      <c r="AH88" s="366"/>
      <c r="AI88" s="366"/>
      <c r="AJ88" s="366"/>
      <c r="AM88" s="76"/>
      <c r="AN88" s="76"/>
    </row>
    <row r="89" spans="1:40" ht="17.25" customHeight="1" x14ac:dyDescent="0.3">
      <c r="A89" s="366">
        <f t="shared" si="48"/>
        <v>3</v>
      </c>
      <c r="B89" s="508" t="s">
        <v>635</v>
      </c>
      <c r="C89" s="365" t="s">
        <v>683</v>
      </c>
      <c r="D89" s="365"/>
      <c r="E89" s="468" t="s">
        <v>437</v>
      </c>
      <c r="F89" s="581">
        <v>27040.044117647059</v>
      </c>
      <c r="G89" s="470">
        <v>100666.66666666667</v>
      </c>
      <c r="H89" s="494">
        <f t="shared" si="58"/>
        <v>73626.622549019608</v>
      </c>
      <c r="I89" s="471">
        <v>120</v>
      </c>
      <c r="J89" s="424"/>
      <c r="K89" s="495">
        <f t="shared" si="59"/>
        <v>3244805.2941176472</v>
      </c>
      <c r="L89" s="495">
        <f t="shared" si="60"/>
        <v>12080000</v>
      </c>
      <c r="M89" s="495">
        <f t="shared" si="61"/>
        <v>8835194.7058823518</v>
      </c>
      <c r="N89" s="496">
        <f t="shared" si="54"/>
        <v>0.26860970977795096</v>
      </c>
      <c r="O89" s="497">
        <f t="shared" si="55"/>
        <v>7.7907185970515222E-3</v>
      </c>
      <c r="P89" s="497">
        <f t="shared" si="55"/>
        <v>8.5874789286732554E-3</v>
      </c>
      <c r="Q89" s="497">
        <f t="shared" si="56"/>
        <v>7.4757039621231001E-3</v>
      </c>
      <c r="R89" s="498">
        <f t="shared" si="57"/>
        <v>3.249390739236393</v>
      </c>
      <c r="S89" s="545">
        <f t="shared" si="20"/>
        <v>9.5465393794749396</v>
      </c>
      <c r="T89" s="546">
        <f t="shared" si="21"/>
        <v>961018.2975338106</v>
      </c>
      <c r="U89" s="404"/>
      <c r="V89" s="476" t="str">
        <f t="shared" si="13"/>
        <v>High</v>
      </c>
      <c r="W89" s="476" t="str">
        <f t="shared" si="14"/>
        <v>High</v>
      </c>
      <c r="X89" s="477" t="str">
        <f t="shared" si="15"/>
        <v>Star</v>
      </c>
      <c r="AA89" s="366"/>
      <c r="AB89" s="503"/>
      <c r="AC89" s="366"/>
      <c r="AD89" s="366"/>
      <c r="AE89" s="366"/>
      <c r="AF89" s="366"/>
      <c r="AG89" s="366"/>
      <c r="AH89" s="366"/>
      <c r="AI89" s="366"/>
      <c r="AJ89" s="366"/>
      <c r="AM89" s="76"/>
      <c r="AN89" s="76"/>
    </row>
    <row r="90" spans="1:40" ht="17.25" customHeight="1" x14ac:dyDescent="0.3">
      <c r="A90" s="366">
        <f t="shared" si="48"/>
        <v>4</v>
      </c>
      <c r="B90" s="508" t="s">
        <v>636</v>
      </c>
      <c r="C90" s="365" t="s">
        <v>684</v>
      </c>
      <c r="D90" s="365"/>
      <c r="E90" s="468" t="s">
        <v>437</v>
      </c>
      <c r="F90" s="581">
        <v>36727.953488372092</v>
      </c>
      <c r="G90" s="470">
        <v>100583.33333333333</v>
      </c>
      <c r="H90" s="494">
        <f t="shared" si="58"/>
        <v>63855.379844961237</v>
      </c>
      <c r="I90" s="471">
        <v>120</v>
      </c>
      <c r="J90" s="424"/>
      <c r="K90" s="495">
        <f t="shared" si="59"/>
        <v>4407354.4186046515</v>
      </c>
      <c r="L90" s="495">
        <f t="shared" si="60"/>
        <v>12070000</v>
      </c>
      <c r="M90" s="495">
        <f t="shared" si="61"/>
        <v>7662645.5813953485</v>
      </c>
      <c r="N90" s="496">
        <f t="shared" si="54"/>
        <v>0.36514949615614345</v>
      </c>
      <c r="O90" s="497">
        <f t="shared" si="55"/>
        <v>7.7842693266897247E-3</v>
      </c>
      <c r="P90" s="497">
        <f t="shared" si="55"/>
        <v>7.4478050182995035E-3</v>
      </c>
      <c r="Q90" s="497">
        <f t="shared" si="56"/>
        <v>7.4757039621231001E-3</v>
      </c>
      <c r="R90" s="498">
        <f t="shared" si="57"/>
        <v>3.249390739236393</v>
      </c>
      <c r="S90" s="545">
        <f t="shared" si="20"/>
        <v>9.5465393794749396</v>
      </c>
      <c r="T90" s="546">
        <f t="shared" si="21"/>
        <v>960222.75258552097</v>
      </c>
      <c r="U90" s="404"/>
      <c r="V90" s="476" t="str">
        <f t="shared" si="13"/>
        <v>High</v>
      </c>
      <c r="W90" s="476" t="str">
        <f t="shared" si="14"/>
        <v>High</v>
      </c>
      <c r="X90" s="477" t="str">
        <f t="shared" si="15"/>
        <v>Star</v>
      </c>
      <c r="AA90" s="366"/>
      <c r="AB90" s="503"/>
      <c r="AC90" s="366"/>
      <c r="AD90" s="366"/>
      <c r="AE90" s="366"/>
      <c r="AF90" s="366"/>
      <c r="AG90" s="366"/>
      <c r="AH90" s="366"/>
      <c r="AI90" s="366"/>
      <c r="AJ90" s="366"/>
      <c r="AM90" s="76"/>
      <c r="AN90" s="76"/>
    </row>
    <row r="91" spans="1:40" ht="17.25" customHeight="1" x14ac:dyDescent="0.3">
      <c r="A91" s="366">
        <f t="shared" si="48"/>
        <v>5</v>
      </c>
      <c r="B91" s="508" t="s">
        <v>637</v>
      </c>
      <c r="C91" s="365" t="s">
        <v>580</v>
      </c>
      <c r="D91" s="365"/>
      <c r="E91" s="468" t="s">
        <v>437</v>
      </c>
      <c r="F91" s="581">
        <v>36344.37837837838</v>
      </c>
      <c r="G91" s="470">
        <v>100990.52132701421</v>
      </c>
      <c r="H91" s="494">
        <f t="shared" si="58"/>
        <v>64646.142948635832</v>
      </c>
      <c r="I91" s="471">
        <v>211</v>
      </c>
      <c r="J91" s="424"/>
      <c r="K91" s="495">
        <f t="shared" si="59"/>
        <v>7668663.8378378386</v>
      </c>
      <c r="L91" s="495">
        <f t="shared" si="60"/>
        <v>21309000</v>
      </c>
      <c r="M91" s="495">
        <f t="shared" si="61"/>
        <v>13640336.162162162</v>
      </c>
      <c r="N91" s="496">
        <f t="shared" si="54"/>
        <v>0.35987910450222155</v>
      </c>
      <c r="O91" s="497">
        <f t="shared" si="55"/>
        <v>1.3742750213954545E-2</v>
      </c>
      <c r="P91" s="497">
        <f t="shared" si="55"/>
        <v>1.3257896772167318E-2</v>
      </c>
      <c r="Q91" s="497">
        <f t="shared" si="56"/>
        <v>1.3144779466733118E-2</v>
      </c>
      <c r="R91" s="498">
        <f t="shared" si="57"/>
        <v>5.7135120498239909</v>
      </c>
      <c r="S91" s="545">
        <f t="shared" si="20"/>
        <v>16.7859984089101</v>
      </c>
      <c r="T91" s="546">
        <f t="shared" si="21"/>
        <v>1695226.7303102619</v>
      </c>
      <c r="U91" s="404"/>
      <c r="V91" s="476" t="str">
        <f t="shared" si="13"/>
        <v>High</v>
      </c>
      <c r="W91" s="476" t="str">
        <f t="shared" si="14"/>
        <v>High</v>
      </c>
      <c r="X91" s="477" t="str">
        <f t="shared" si="15"/>
        <v>Star</v>
      </c>
      <c r="AA91" s="366"/>
      <c r="AB91" s="503"/>
      <c r="AC91" s="366"/>
      <c r="AD91" s="366"/>
      <c r="AE91" s="366"/>
      <c r="AF91" s="366"/>
      <c r="AG91" s="366"/>
      <c r="AH91" s="366"/>
      <c r="AI91" s="366"/>
      <c r="AJ91" s="366"/>
      <c r="AM91" s="76"/>
      <c r="AN91" s="76"/>
    </row>
    <row r="92" spans="1:40" ht="17.25" customHeight="1" x14ac:dyDescent="0.3">
      <c r="A92" s="366"/>
      <c r="B92" s="508"/>
      <c r="C92" s="365"/>
      <c r="D92" s="365"/>
      <c r="E92" s="468"/>
      <c r="F92" s="581"/>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76"/>
      <c r="AN92" s="76"/>
    </row>
    <row r="93" spans="1:40" ht="17.25" customHeight="1" x14ac:dyDescent="0.3">
      <c r="A93" s="453"/>
      <c r="B93" s="331" t="s">
        <v>483</v>
      </c>
      <c r="C93" s="332" t="s">
        <v>465</v>
      </c>
      <c r="D93" s="484"/>
      <c r="E93" s="484"/>
      <c r="F93" s="490"/>
      <c r="G93" s="489"/>
      <c r="H93" s="489"/>
      <c r="I93" s="489">
        <f>SUBTOTAL(9,I94:I100)</f>
        <v>521</v>
      </c>
      <c r="J93" s="484"/>
      <c r="K93" s="480">
        <f>SUBTOTAL(9,K94:K100)</f>
        <v>21202069.561788898</v>
      </c>
      <c r="L93" s="480">
        <f>SUBTOTAL(9,L94:L100)</f>
        <v>66870000</v>
      </c>
      <c r="M93" s="480">
        <f>SUBTOTAL(9,M94:M100)</f>
        <v>45667930.438211098</v>
      </c>
      <c r="N93" s="491">
        <f t="shared" ref="N93:N99" si="62">K93/L93</f>
        <v>0.3170639982322252</v>
      </c>
      <c r="O93" s="486">
        <f t="shared" ref="O93:P99" si="63">L93/L$10</f>
        <v>4.3126270909340673E-2</v>
      </c>
      <c r="P93" s="486">
        <f t="shared" si="63"/>
        <v>4.4387520978247462E-2</v>
      </c>
      <c r="Q93" s="486">
        <f t="shared" ref="Q93:Q99" si="64">I93/I$10</f>
        <v>3.245701470221779E-2</v>
      </c>
      <c r="R93" s="487">
        <f t="shared" ref="R93:R99" si="65">I93/$K$5*100</f>
        <v>14.107771459518007</v>
      </c>
      <c r="S93" s="487">
        <f t="shared" si="20"/>
        <v>41.447891805887032</v>
      </c>
      <c r="T93" s="487">
        <f t="shared" si="21"/>
        <v>0</v>
      </c>
      <c r="U93" s="404"/>
      <c r="V93" s="476" t="str">
        <f t="shared" si="13"/>
        <v>High</v>
      </c>
      <c r="W93" s="476" t="str">
        <f t="shared" si="14"/>
        <v>High</v>
      </c>
      <c r="X93" s="477" t="str">
        <f t="shared" si="15"/>
        <v>Star</v>
      </c>
      <c r="AA93" s="366"/>
      <c r="AB93" s="503"/>
      <c r="AC93" s="366"/>
      <c r="AD93" s="366"/>
      <c r="AE93" s="366"/>
      <c r="AF93" s="366"/>
      <c r="AG93" s="366"/>
      <c r="AH93" s="366"/>
      <c r="AI93" s="366"/>
      <c r="AJ93" s="366"/>
      <c r="AM93" s="76"/>
      <c r="AN93" s="76"/>
    </row>
    <row r="94" spans="1:40" ht="17.25" customHeight="1" x14ac:dyDescent="0.3">
      <c r="A94" s="366">
        <f t="shared" ref="A94" si="66">A93+1</f>
        <v>1</v>
      </c>
      <c r="B94" s="276" t="s">
        <v>504</v>
      </c>
      <c r="C94" s="277" t="s">
        <v>721</v>
      </c>
      <c r="D94" s="365"/>
      <c r="E94" s="468" t="s">
        <v>437</v>
      </c>
      <c r="F94" s="581">
        <v>33913.72</v>
      </c>
      <c r="G94" s="470">
        <v>90861.702127659577</v>
      </c>
      <c r="H94" s="494">
        <f t="shared" ref="H94:H99" si="67">G94-F94</f>
        <v>56947.982127659576</v>
      </c>
      <c r="I94" s="471">
        <v>94</v>
      </c>
      <c r="J94" s="424"/>
      <c r="K94" s="495">
        <f t="shared" ref="K94:K99" si="68">I94*F94</f>
        <v>3187889.68</v>
      </c>
      <c r="L94" s="495">
        <f t="shared" ref="L94:L99" si="69">I94*G94</f>
        <v>8541000</v>
      </c>
      <c r="M94" s="495">
        <f t="shared" ref="M94:M99" si="70">L94-K94</f>
        <v>5353110.32</v>
      </c>
      <c r="N94" s="496">
        <f t="shared" si="62"/>
        <v>0.37324548413534719</v>
      </c>
      <c r="O94" s="497">
        <f t="shared" si="63"/>
        <v>5.5083218160113454E-3</v>
      </c>
      <c r="P94" s="497">
        <f t="shared" si="63"/>
        <v>5.2030230918688573E-3</v>
      </c>
      <c r="Q94" s="497">
        <f t="shared" si="64"/>
        <v>5.8559681036630951E-3</v>
      </c>
      <c r="R94" s="498">
        <f t="shared" si="65"/>
        <v>2.5453560790685081</v>
      </c>
      <c r="S94" s="545">
        <f t="shared" si="20"/>
        <v>7.4781225139220364</v>
      </c>
      <c r="T94" s="546">
        <f t="shared" si="21"/>
        <v>679474.94033412891</v>
      </c>
      <c r="U94" s="404"/>
      <c r="V94" s="476" t="str">
        <f t="shared" si="13"/>
        <v>High</v>
      </c>
      <c r="W94" s="476" t="str">
        <f t="shared" si="14"/>
        <v>Low</v>
      </c>
      <c r="X94" s="477" t="str">
        <f t="shared" si="15"/>
        <v>Horse</v>
      </c>
      <c r="AA94" s="366"/>
      <c r="AB94" s="503"/>
      <c r="AC94" s="366"/>
      <c r="AD94" s="366"/>
      <c r="AE94" s="366"/>
      <c r="AF94" s="366"/>
      <c r="AG94" s="366"/>
      <c r="AH94" s="366"/>
      <c r="AI94" s="366"/>
      <c r="AJ94" s="366"/>
      <c r="AM94" s="76"/>
      <c r="AN94" s="76"/>
    </row>
    <row r="95" spans="1:40" ht="17.25" customHeight="1" x14ac:dyDescent="0.3">
      <c r="A95" s="366">
        <f>A94+1</f>
        <v>2</v>
      </c>
      <c r="B95" s="276" t="s">
        <v>505</v>
      </c>
      <c r="C95" s="277" t="s">
        <v>540</v>
      </c>
      <c r="D95" s="365"/>
      <c r="E95" s="468" t="s">
        <v>437</v>
      </c>
      <c r="F95" s="581">
        <v>33299.840277777781</v>
      </c>
      <c r="G95" s="470">
        <v>106902.25563909774</v>
      </c>
      <c r="H95" s="494">
        <f t="shared" si="67"/>
        <v>73602.41536131996</v>
      </c>
      <c r="I95" s="471">
        <v>133</v>
      </c>
      <c r="J95" s="424"/>
      <c r="K95" s="495">
        <f t="shared" si="68"/>
        <v>4428878.756944445</v>
      </c>
      <c r="L95" s="495">
        <f t="shared" si="69"/>
        <v>14218000</v>
      </c>
      <c r="M95" s="495">
        <f t="shared" si="70"/>
        <v>9789121.243055556</v>
      </c>
      <c r="N95" s="496">
        <f t="shared" si="62"/>
        <v>0.311498013570435</v>
      </c>
      <c r="O95" s="497">
        <f t="shared" si="63"/>
        <v>9.1695726004038525E-3</v>
      </c>
      <c r="P95" s="497">
        <f t="shared" si="63"/>
        <v>9.5146598579201394E-3</v>
      </c>
      <c r="Q95" s="497">
        <f t="shared" si="64"/>
        <v>8.2855718913531027E-3</v>
      </c>
      <c r="R95" s="498">
        <f t="shared" si="65"/>
        <v>3.6014080693203359</v>
      </c>
      <c r="S95" s="545">
        <f t="shared" si="20"/>
        <v>10.580747812251392</v>
      </c>
      <c r="T95" s="546">
        <f t="shared" si="21"/>
        <v>1131105.8074781224</v>
      </c>
      <c r="U95" s="404"/>
      <c r="V95" s="476" t="str">
        <f t="shared" si="13"/>
        <v>High</v>
      </c>
      <c r="W95" s="476" t="str">
        <f t="shared" si="14"/>
        <v>High</v>
      </c>
      <c r="X95" s="477" t="str">
        <f t="shared" si="15"/>
        <v>Star</v>
      </c>
      <c r="AA95" s="366"/>
      <c r="AB95" s="503"/>
      <c r="AC95" s="366"/>
      <c r="AD95" s="366"/>
      <c r="AE95" s="366"/>
      <c r="AF95" s="366"/>
      <c r="AG95" s="366"/>
      <c r="AH95" s="366"/>
      <c r="AI95" s="366"/>
      <c r="AJ95" s="366"/>
      <c r="AM95" s="76"/>
      <c r="AN95" s="76"/>
    </row>
    <row r="96" spans="1:40" ht="17.25" customHeight="1" x14ac:dyDescent="0.3">
      <c r="A96" s="366">
        <f t="shared" ref="A96:A98" si="71">A95+1</f>
        <v>3</v>
      </c>
      <c r="B96" s="276" t="s">
        <v>506</v>
      </c>
      <c r="C96" s="277" t="s">
        <v>541</v>
      </c>
      <c r="D96" s="365"/>
      <c r="E96" s="468" t="s">
        <v>437</v>
      </c>
      <c r="F96" s="581">
        <v>65910.132653061228</v>
      </c>
      <c r="G96" s="470">
        <v>177531.25</v>
      </c>
      <c r="H96" s="494">
        <f t="shared" si="67"/>
        <v>111621.11734693877</v>
      </c>
      <c r="I96" s="471">
        <v>64</v>
      </c>
      <c r="J96" s="424"/>
      <c r="K96" s="495">
        <f t="shared" si="68"/>
        <v>4218248.4897959186</v>
      </c>
      <c r="L96" s="495">
        <f t="shared" si="69"/>
        <v>11362000</v>
      </c>
      <c r="M96" s="495">
        <f t="shared" si="70"/>
        <v>7143751.5102040814</v>
      </c>
      <c r="N96" s="496">
        <f t="shared" si="62"/>
        <v>0.37125932844533699</v>
      </c>
      <c r="O96" s="497">
        <f t="shared" si="63"/>
        <v>7.327660985074454E-3</v>
      </c>
      <c r="P96" s="497">
        <f t="shared" si="63"/>
        <v>6.9434593812303233E-3</v>
      </c>
      <c r="Q96" s="497">
        <f t="shared" si="64"/>
        <v>3.98704211313232E-3</v>
      </c>
      <c r="R96" s="498">
        <f t="shared" si="65"/>
        <v>1.7330083942594097</v>
      </c>
      <c r="S96" s="545">
        <f t="shared" si="20"/>
        <v>5.0914876690533015</v>
      </c>
      <c r="T96" s="546">
        <f t="shared" si="21"/>
        <v>903898.17024661892</v>
      </c>
      <c r="U96" s="404"/>
      <c r="V96" s="476" t="str">
        <f t="shared" si="13"/>
        <v>High</v>
      </c>
      <c r="W96" s="476" t="str">
        <f t="shared" si="14"/>
        <v>High</v>
      </c>
      <c r="X96" s="477" t="str">
        <f t="shared" si="15"/>
        <v>Star</v>
      </c>
      <c r="AA96" s="366"/>
      <c r="AB96" s="503"/>
      <c r="AC96" s="366"/>
      <c r="AD96" s="366"/>
      <c r="AE96" s="366"/>
      <c r="AF96" s="366"/>
      <c r="AG96" s="366"/>
      <c r="AH96" s="366"/>
      <c r="AI96" s="366"/>
      <c r="AJ96" s="366"/>
      <c r="AM96" s="76"/>
      <c r="AN96" s="76"/>
    </row>
    <row r="97" spans="1:40" ht="17.25" customHeight="1" x14ac:dyDescent="0.3">
      <c r="A97" s="366">
        <f>A96+1</f>
        <v>4</v>
      </c>
      <c r="B97" s="467" t="s">
        <v>561</v>
      </c>
      <c r="C97" s="365" t="s">
        <v>564</v>
      </c>
      <c r="D97" s="365"/>
      <c r="E97" s="468" t="s">
        <v>437</v>
      </c>
      <c r="F97" s="581">
        <v>31444.9012345679</v>
      </c>
      <c r="G97" s="470">
        <v>138200</v>
      </c>
      <c r="H97" s="494">
        <f t="shared" si="67"/>
        <v>106755.09876543211</v>
      </c>
      <c r="I97" s="471">
        <v>70</v>
      </c>
      <c r="J97" s="424"/>
      <c r="K97" s="495">
        <f t="shared" si="68"/>
        <v>2201143.0864197528</v>
      </c>
      <c r="L97" s="495">
        <f t="shared" si="69"/>
        <v>9674000</v>
      </c>
      <c r="M97" s="495">
        <f t="shared" si="70"/>
        <v>7472856.9135802472</v>
      </c>
      <c r="N97" s="496">
        <f t="shared" si="62"/>
        <v>0.2275318468492612</v>
      </c>
      <c r="O97" s="497">
        <f t="shared" si="63"/>
        <v>6.2390241480030154E-3</v>
      </c>
      <c r="P97" s="497">
        <f t="shared" si="63"/>
        <v>7.2633375288985004E-3</v>
      </c>
      <c r="Q97" s="497">
        <f t="shared" si="64"/>
        <v>4.3608273112384754E-3</v>
      </c>
      <c r="R97" s="498">
        <f t="shared" si="65"/>
        <v>1.8954779312212293</v>
      </c>
      <c r="S97" s="545">
        <f t="shared" si="20"/>
        <v>5.5688146380270478</v>
      </c>
      <c r="T97" s="546">
        <f t="shared" si="21"/>
        <v>769610.18297533796</v>
      </c>
      <c r="U97" s="404"/>
      <c r="V97" s="476" t="str">
        <f t="shared" si="13"/>
        <v>High</v>
      </c>
      <c r="W97" s="476" t="str">
        <f t="shared" si="14"/>
        <v>Low</v>
      </c>
      <c r="X97" s="477" t="str">
        <f t="shared" si="15"/>
        <v>Horse</v>
      </c>
      <c r="AA97" s="366"/>
      <c r="AB97" s="503"/>
      <c r="AC97" s="366"/>
      <c r="AD97" s="366"/>
      <c r="AE97" s="366"/>
      <c r="AF97" s="366"/>
      <c r="AG97" s="366"/>
      <c r="AH97" s="366"/>
      <c r="AI97" s="366"/>
      <c r="AJ97" s="366"/>
      <c r="AM97" s="76"/>
      <c r="AN97" s="76"/>
    </row>
    <row r="98" spans="1:40" ht="17.25" customHeight="1" x14ac:dyDescent="0.3">
      <c r="A98" s="366">
        <f t="shared" si="71"/>
        <v>5</v>
      </c>
      <c r="B98" s="467" t="s">
        <v>573</v>
      </c>
      <c r="C98" s="365" t="s">
        <v>581</v>
      </c>
      <c r="D98" s="365"/>
      <c r="E98" s="468" t="s">
        <v>437</v>
      </c>
      <c r="F98" s="581">
        <v>52489.759259259263</v>
      </c>
      <c r="G98" s="470">
        <v>173169.01408450704</v>
      </c>
      <c r="H98" s="494">
        <f t="shared" si="67"/>
        <v>120679.25482524777</v>
      </c>
      <c r="I98" s="471">
        <v>71</v>
      </c>
      <c r="J98" s="424"/>
      <c r="K98" s="495">
        <f t="shared" si="68"/>
        <v>3726772.9074074076</v>
      </c>
      <c r="L98" s="495">
        <f t="shared" si="69"/>
        <v>12295000</v>
      </c>
      <c r="M98" s="495">
        <f t="shared" si="70"/>
        <v>8568227.0925925933</v>
      </c>
      <c r="N98" s="496">
        <f t="shared" si="62"/>
        <v>0.30311288388836172</v>
      </c>
      <c r="O98" s="497">
        <f t="shared" si="63"/>
        <v>7.9293779098301709E-3</v>
      </c>
      <c r="P98" s="497">
        <f t="shared" si="63"/>
        <v>8.3279963897952367E-3</v>
      </c>
      <c r="Q98" s="497">
        <f t="shared" si="64"/>
        <v>4.4231248442561672E-3</v>
      </c>
      <c r="R98" s="498">
        <f t="shared" si="65"/>
        <v>1.9225561873815327</v>
      </c>
      <c r="S98" s="545">
        <f t="shared" si="20"/>
        <v>5.6483691328560059</v>
      </c>
      <c r="T98" s="546">
        <f t="shared" si="21"/>
        <v>978122.51392203651</v>
      </c>
      <c r="U98" s="404"/>
      <c r="V98" s="476" t="str">
        <f t="shared" si="13"/>
        <v>High</v>
      </c>
      <c r="W98" s="476" t="str">
        <f t="shared" si="14"/>
        <v>High</v>
      </c>
      <c r="X98" s="477" t="str">
        <f t="shared" si="15"/>
        <v>Star</v>
      </c>
      <c r="AA98" s="366"/>
      <c r="AB98" s="503"/>
      <c r="AC98" s="366"/>
      <c r="AD98" s="366"/>
      <c r="AE98" s="366"/>
      <c r="AF98" s="366"/>
      <c r="AG98" s="366"/>
      <c r="AH98" s="366"/>
      <c r="AI98" s="366"/>
      <c r="AJ98" s="366"/>
      <c r="AM98" s="76"/>
      <c r="AN98" s="76"/>
    </row>
    <row r="99" spans="1:40" ht="17.25" customHeight="1" x14ac:dyDescent="0.3">
      <c r="A99" s="366">
        <f>A98+1</f>
        <v>6</v>
      </c>
      <c r="B99" s="467" t="s">
        <v>638</v>
      </c>
      <c r="C99" s="365" t="s">
        <v>685</v>
      </c>
      <c r="D99" s="365"/>
      <c r="E99" s="468" t="s">
        <v>437</v>
      </c>
      <c r="F99" s="581">
        <v>38641.984732824429</v>
      </c>
      <c r="G99" s="470">
        <v>121123.59550561798</v>
      </c>
      <c r="H99" s="494">
        <f t="shared" si="67"/>
        <v>82481.61077279356</v>
      </c>
      <c r="I99" s="471">
        <v>89</v>
      </c>
      <c r="J99" s="424"/>
      <c r="K99" s="495">
        <f t="shared" si="68"/>
        <v>3439136.6412213743</v>
      </c>
      <c r="L99" s="495">
        <f t="shared" si="69"/>
        <v>10780000</v>
      </c>
      <c r="M99" s="495">
        <f t="shared" si="70"/>
        <v>7340863.3587786257</v>
      </c>
      <c r="N99" s="496">
        <f t="shared" si="62"/>
        <v>0.31902937302610151</v>
      </c>
      <c r="O99" s="497">
        <f t="shared" si="63"/>
        <v>6.9523134500178319E-3</v>
      </c>
      <c r="P99" s="497">
        <f t="shared" si="63"/>
        <v>7.1350447285344135E-3</v>
      </c>
      <c r="Q99" s="497">
        <f t="shared" si="64"/>
        <v>5.5444804385746324E-3</v>
      </c>
      <c r="R99" s="498">
        <f t="shared" si="65"/>
        <v>2.4099647982669916</v>
      </c>
      <c r="S99" s="545">
        <f t="shared" si="20"/>
        <v>7.0803500397772474</v>
      </c>
      <c r="T99" s="546">
        <f t="shared" si="21"/>
        <v>857597.45425616554</v>
      </c>
      <c r="U99" s="404"/>
      <c r="V99" s="476" t="str">
        <f t="shared" si="13"/>
        <v>High</v>
      </c>
      <c r="W99" s="476" t="str">
        <f t="shared" si="14"/>
        <v>High</v>
      </c>
      <c r="X99" s="477" t="str">
        <f t="shared" si="15"/>
        <v>Star</v>
      </c>
      <c r="AA99" s="366"/>
      <c r="AB99" s="503"/>
      <c r="AC99" s="366"/>
      <c r="AD99" s="366"/>
      <c r="AE99" s="366"/>
      <c r="AF99" s="366"/>
      <c r="AG99" s="366"/>
      <c r="AH99" s="366"/>
      <c r="AI99" s="366"/>
      <c r="AJ99" s="366"/>
      <c r="AM99" s="76"/>
      <c r="AN99" s="76"/>
    </row>
    <row r="100" spans="1:40" ht="17.25" customHeight="1" x14ac:dyDescent="0.3">
      <c r="A100" s="366"/>
      <c r="B100" s="467"/>
      <c r="C100" s="365"/>
      <c r="D100" s="495"/>
      <c r="E100" s="468"/>
      <c r="F100" s="478"/>
      <c r="G100" s="470"/>
      <c r="H100" s="494"/>
      <c r="I100" s="471"/>
      <c r="J100" s="424"/>
      <c r="K100" s="495"/>
      <c r="L100" s="495"/>
      <c r="M100" s="495"/>
      <c r="N100" s="496"/>
      <c r="O100" s="497"/>
      <c r="P100" s="497"/>
      <c r="Q100" s="497"/>
      <c r="R100" s="498"/>
      <c r="S100" s="545">
        <f t="shared" si="20"/>
        <v>0</v>
      </c>
      <c r="T100" s="546">
        <f t="shared" si="21"/>
        <v>0</v>
      </c>
      <c r="U100" s="404"/>
      <c r="V100" s="476" t="str">
        <f t="shared" si="13"/>
        <v/>
      </c>
      <c r="W100" s="476" t="str">
        <f t="shared" si="14"/>
        <v/>
      </c>
      <c r="X100" s="477" t="str">
        <f t="shared" si="15"/>
        <v/>
      </c>
      <c r="AA100" s="366"/>
      <c r="AB100" s="503"/>
      <c r="AC100" s="366"/>
      <c r="AD100" s="366"/>
      <c r="AE100" s="366"/>
      <c r="AF100" s="366"/>
      <c r="AG100" s="366"/>
      <c r="AH100" s="366"/>
      <c r="AI100" s="366"/>
      <c r="AJ100" s="366"/>
      <c r="AM100" s="76"/>
      <c r="AN100" s="76"/>
    </row>
    <row r="101" spans="1:40" ht="17.25" customHeight="1" x14ac:dyDescent="0.3">
      <c r="A101" s="453"/>
      <c r="B101" s="479" t="s">
        <v>484</v>
      </c>
      <c r="C101" s="479" t="s">
        <v>485</v>
      </c>
      <c r="D101" s="484"/>
      <c r="E101" s="484"/>
      <c r="F101" s="490"/>
      <c r="G101" s="489"/>
      <c r="H101" s="489"/>
      <c r="I101" s="490">
        <f>SUBTOTAL(9,I102:I108)</f>
        <v>1369</v>
      </c>
      <c r="J101" s="484"/>
      <c r="K101" s="480">
        <f>SUBTOTAL(9,K102:K108)</f>
        <v>24412859.795396227</v>
      </c>
      <c r="L101" s="480">
        <f>SUBTOTAL(9,L102:L108)</f>
        <v>104162000</v>
      </c>
      <c r="M101" s="480">
        <f>SUBTOTAL(9,M102:M108)</f>
        <v>79749140.204603776</v>
      </c>
      <c r="N101" s="491">
        <f t="shared" ref="N101:N114" si="72">K101/L101</f>
        <v>0.23437395398894248</v>
      </c>
      <c r="O101" s="486">
        <f t="shared" ref="O101:P114" si="73">L101/L$10</f>
        <v>6.7176889942556342E-2</v>
      </c>
      <c r="P101" s="486">
        <f t="shared" si="73"/>
        <v>7.7513182661485019E-2</v>
      </c>
      <c r="Q101" s="486">
        <f t="shared" ref="Q101:Q114" si="74">I101/I$10</f>
        <v>8.5285322701221036E-2</v>
      </c>
      <c r="R101" s="487">
        <f t="shared" ref="R101:R114" si="75">I101/$K$5*100</f>
        <v>37.070132683455185</v>
      </c>
      <c r="S101" s="487">
        <f t="shared" si="20"/>
        <v>108.91010342084327</v>
      </c>
      <c r="T101" s="487">
        <f t="shared" si="21"/>
        <v>0</v>
      </c>
      <c r="U101" s="404"/>
      <c r="V101" s="476" t="str">
        <f t="shared" si="13"/>
        <v>High</v>
      </c>
      <c r="W101" s="476" t="str">
        <f t="shared" si="14"/>
        <v>High</v>
      </c>
      <c r="X101" s="477" t="str">
        <f t="shared" si="15"/>
        <v>Star</v>
      </c>
      <c r="AA101" s="366"/>
      <c r="AB101" s="503"/>
      <c r="AC101" s="366"/>
      <c r="AD101" s="366"/>
      <c r="AE101" s="366"/>
      <c r="AF101" s="366"/>
      <c r="AG101" s="366"/>
      <c r="AH101" s="366"/>
      <c r="AI101" s="366"/>
      <c r="AJ101" s="366"/>
      <c r="AM101" s="76"/>
      <c r="AN101" s="76"/>
    </row>
    <row r="102" spans="1:40" ht="17.25" customHeight="1" x14ac:dyDescent="0.3">
      <c r="A102" s="366">
        <f t="shared" ref="A102:A107" si="76">A101+1</f>
        <v>1</v>
      </c>
      <c r="B102" s="590" t="s">
        <v>507</v>
      </c>
      <c r="C102" s="365" t="s">
        <v>542</v>
      </c>
      <c r="D102" s="365"/>
      <c r="E102" s="468" t="s">
        <v>437</v>
      </c>
      <c r="F102" s="581">
        <v>36633.407608695656</v>
      </c>
      <c r="G102" s="470">
        <v>121565.83629893238</v>
      </c>
      <c r="H102" s="494">
        <f t="shared" ref="H102:H107" si="77">G102-F102</f>
        <v>84932.428690236731</v>
      </c>
      <c r="I102" s="471">
        <v>281</v>
      </c>
      <c r="J102" s="424"/>
      <c r="K102" s="495">
        <f t="shared" ref="K102:K107" si="78">I102*F102</f>
        <v>10293987.538043479</v>
      </c>
      <c r="L102" s="495">
        <f t="shared" ref="L102:L107" si="79">I102*G102</f>
        <v>34160000</v>
      </c>
      <c r="M102" s="495">
        <f t="shared" ref="M102:M107" si="80">L102-K102</f>
        <v>23866012.461956523</v>
      </c>
      <c r="N102" s="496">
        <f t="shared" si="72"/>
        <v>0.30134623940408312</v>
      </c>
      <c r="O102" s="497">
        <f t="shared" si="73"/>
        <v>2.2030707555900662E-2</v>
      </c>
      <c r="P102" s="497">
        <f t="shared" si="73"/>
        <v>2.3196871823555041E-2</v>
      </c>
      <c r="Q102" s="497">
        <f t="shared" si="74"/>
        <v>1.7505606777971593E-2</v>
      </c>
      <c r="R102" s="498">
        <f t="shared" si="75"/>
        <v>7.6089899810452204</v>
      </c>
      <c r="S102" s="545">
        <f t="shared" si="20"/>
        <v>22.354813046937149</v>
      </c>
      <c r="T102" s="546">
        <f t="shared" si="21"/>
        <v>2717581.5433571991</v>
      </c>
      <c r="U102" s="404"/>
      <c r="V102" s="476" t="str">
        <f t="shared" si="13"/>
        <v>High</v>
      </c>
      <c r="W102" s="476" t="str">
        <f t="shared" si="14"/>
        <v>High</v>
      </c>
      <c r="X102" s="477" t="str">
        <f t="shared" si="15"/>
        <v>Star</v>
      </c>
      <c r="AA102" s="366"/>
      <c r="AB102" s="503"/>
      <c r="AC102" s="366"/>
      <c r="AD102" s="366"/>
      <c r="AE102" s="366"/>
      <c r="AF102" s="366"/>
      <c r="AG102" s="366"/>
      <c r="AH102" s="366"/>
      <c r="AI102" s="366"/>
      <c r="AJ102" s="366"/>
      <c r="AM102" s="76"/>
      <c r="AN102" s="76"/>
    </row>
    <row r="103" spans="1:40" ht="17.25" customHeight="1" x14ac:dyDescent="0.3">
      <c r="A103" s="366">
        <f t="shared" si="76"/>
        <v>2</v>
      </c>
      <c r="B103" s="590" t="s">
        <v>508</v>
      </c>
      <c r="C103" s="365" t="s">
        <v>58</v>
      </c>
      <c r="D103" s="495"/>
      <c r="E103" s="468" t="s">
        <v>437</v>
      </c>
      <c r="F103" s="581">
        <v>4832.4700748129671</v>
      </c>
      <c r="G103" s="470">
        <v>15181.512605042017</v>
      </c>
      <c r="H103" s="494">
        <f t="shared" si="77"/>
        <v>10349.04253022905</v>
      </c>
      <c r="I103" s="471">
        <v>595</v>
      </c>
      <c r="J103" s="424"/>
      <c r="K103" s="495">
        <f t="shared" si="78"/>
        <v>2875319.6945137153</v>
      </c>
      <c r="L103" s="495">
        <f t="shared" si="79"/>
        <v>9033000</v>
      </c>
      <c r="M103" s="495">
        <f t="shared" si="80"/>
        <v>6157680.3054862842</v>
      </c>
      <c r="N103" s="496">
        <f t="shared" si="72"/>
        <v>0.31831281905388192</v>
      </c>
      <c r="O103" s="497">
        <f t="shared" si="73"/>
        <v>5.8256259178117884E-3</v>
      </c>
      <c r="P103" s="497">
        <f t="shared" si="73"/>
        <v>5.9850350369374068E-3</v>
      </c>
      <c r="Q103" s="497">
        <f t="shared" si="74"/>
        <v>3.7067032145527035E-2</v>
      </c>
      <c r="R103" s="498">
        <f t="shared" si="75"/>
        <v>16.111562415380448</v>
      </c>
      <c r="S103" s="545">
        <f t="shared" si="20"/>
        <v>47.334924423229907</v>
      </c>
      <c r="T103" s="546">
        <f t="shared" si="21"/>
        <v>718615.75178997603</v>
      </c>
      <c r="U103" s="404"/>
      <c r="V103" s="476" t="str">
        <f t="shared" si="13"/>
        <v>High</v>
      </c>
      <c r="W103" s="476" t="str">
        <f t="shared" si="14"/>
        <v>Low</v>
      </c>
      <c r="X103" s="477" t="str">
        <f t="shared" si="15"/>
        <v>Horse</v>
      </c>
      <c r="Y103" s="488"/>
      <c r="AA103" s="366"/>
      <c r="AB103" s="503"/>
      <c r="AC103" s="366"/>
      <c r="AD103" s="366"/>
      <c r="AE103" s="366"/>
      <c r="AF103" s="366"/>
      <c r="AG103" s="366"/>
      <c r="AH103" s="366"/>
      <c r="AI103" s="366"/>
      <c r="AJ103" s="366"/>
      <c r="AM103" s="76"/>
      <c r="AN103" s="76"/>
    </row>
    <row r="104" spans="1:40" ht="17.25" customHeight="1" x14ac:dyDescent="0.3">
      <c r="A104" s="366">
        <f t="shared" si="76"/>
        <v>3</v>
      </c>
      <c r="B104" s="590" t="s">
        <v>562</v>
      </c>
      <c r="C104" s="365" t="s">
        <v>565</v>
      </c>
      <c r="D104" s="495"/>
      <c r="E104" s="468" t="s">
        <v>437</v>
      </c>
      <c r="F104" s="581">
        <v>30345.83870967742</v>
      </c>
      <c r="G104" s="470">
        <v>131495.32710280374</v>
      </c>
      <c r="H104" s="494">
        <f t="shared" si="77"/>
        <v>101149.48839312632</v>
      </c>
      <c r="I104" s="471">
        <v>214</v>
      </c>
      <c r="J104" s="424"/>
      <c r="K104" s="495">
        <f t="shared" si="78"/>
        <v>6494009.4838709682</v>
      </c>
      <c r="L104" s="495">
        <f t="shared" si="79"/>
        <v>28140000</v>
      </c>
      <c r="M104" s="495">
        <f t="shared" si="80"/>
        <v>21645990.516129032</v>
      </c>
      <c r="N104" s="496">
        <f t="shared" si="72"/>
        <v>0.23077503496343171</v>
      </c>
      <c r="O104" s="497">
        <f t="shared" si="73"/>
        <v>1.8148246798098497E-2</v>
      </c>
      <c r="P104" s="497">
        <f t="shared" si="73"/>
        <v>2.1039093493181293E-2</v>
      </c>
      <c r="Q104" s="497">
        <f t="shared" si="74"/>
        <v>1.3331672065786195E-2</v>
      </c>
      <c r="R104" s="498">
        <f t="shared" si="75"/>
        <v>5.7947468183049011</v>
      </c>
      <c r="S104" s="545">
        <f t="shared" si="20"/>
        <v>17.024661893396974</v>
      </c>
      <c r="T104" s="546">
        <f t="shared" si="21"/>
        <v>2238663.4844868733</v>
      </c>
      <c r="U104" s="404"/>
      <c r="V104" s="476" t="str">
        <f t="shared" si="13"/>
        <v>High</v>
      </c>
      <c r="W104" s="476" t="str">
        <f t="shared" si="14"/>
        <v>High</v>
      </c>
      <c r="X104" s="477" t="str">
        <f t="shared" si="15"/>
        <v>Star</v>
      </c>
      <c r="Y104" s="488"/>
      <c r="AA104" s="366"/>
      <c r="AB104" s="503"/>
      <c r="AC104" s="366"/>
      <c r="AD104" s="366"/>
      <c r="AE104" s="366"/>
      <c r="AF104" s="366"/>
      <c r="AG104" s="366"/>
      <c r="AH104" s="366"/>
      <c r="AI104" s="366"/>
      <c r="AJ104" s="366"/>
      <c r="AM104" s="76"/>
      <c r="AN104" s="76"/>
    </row>
    <row r="105" spans="1:40" ht="17.25" customHeight="1" x14ac:dyDescent="0.3">
      <c r="A105" s="366">
        <f t="shared" si="76"/>
        <v>4</v>
      </c>
      <c r="B105" s="590" t="s">
        <v>563</v>
      </c>
      <c r="C105" s="365" t="s">
        <v>566</v>
      </c>
      <c r="D105" s="495"/>
      <c r="E105" s="468" t="s">
        <v>437</v>
      </c>
      <c r="F105" s="581">
        <v>20656.006134969324</v>
      </c>
      <c r="G105" s="470">
        <v>102293.57798165138</v>
      </c>
      <c r="H105" s="494">
        <f t="shared" si="77"/>
        <v>81637.571846682054</v>
      </c>
      <c r="I105" s="471">
        <v>109</v>
      </c>
      <c r="J105" s="424"/>
      <c r="K105" s="495">
        <f t="shared" si="78"/>
        <v>2251504.6687116562</v>
      </c>
      <c r="L105" s="495">
        <f t="shared" si="79"/>
        <v>11150000</v>
      </c>
      <c r="M105" s="495">
        <f t="shared" si="80"/>
        <v>8898495.3312883433</v>
      </c>
      <c r="N105" s="496">
        <f t="shared" si="72"/>
        <v>0.20192866983961041</v>
      </c>
      <c r="O105" s="497">
        <f t="shared" si="73"/>
        <v>7.1909364534043438E-3</v>
      </c>
      <c r="P105" s="497">
        <f t="shared" si="73"/>
        <v>8.649004769918596E-3</v>
      </c>
      <c r="Q105" s="497">
        <f t="shared" si="74"/>
        <v>6.7904310989284821E-3</v>
      </c>
      <c r="R105" s="498">
        <f t="shared" si="75"/>
        <v>2.9515299214730573</v>
      </c>
      <c r="S105" s="545">
        <f t="shared" si="20"/>
        <v>8.6714399363564034</v>
      </c>
      <c r="T105" s="546">
        <f t="shared" si="21"/>
        <v>887032.61734287988</v>
      </c>
      <c r="U105" s="404"/>
      <c r="V105" s="476" t="str">
        <f t="shared" si="13"/>
        <v>High</v>
      </c>
      <c r="W105" s="476" t="str">
        <f t="shared" si="14"/>
        <v>High</v>
      </c>
      <c r="X105" s="477" t="str">
        <f t="shared" si="15"/>
        <v>Star</v>
      </c>
      <c r="Y105" s="488"/>
      <c r="AA105" s="366"/>
      <c r="AB105" s="503"/>
      <c r="AC105" s="366"/>
      <c r="AD105" s="366"/>
      <c r="AE105" s="366"/>
      <c r="AF105" s="366"/>
      <c r="AG105" s="366"/>
      <c r="AH105" s="366"/>
      <c r="AI105" s="366"/>
      <c r="AJ105" s="366"/>
      <c r="AM105" s="76"/>
      <c r="AN105" s="76"/>
    </row>
    <row r="106" spans="1:40" ht="17.25" customHeight="1" x14ac:dyDescent="0.3">
      <c r="A106" s="366">
        <f t="shared" si="76"/>
        <v>5</v>
      </c>
      <c r="B106" s="590" t="s">
        <v>739</v>
      </c>
      <c r="C106" s="365" t="s">
        <v>745</v>
      </c>
      <c r="D106" s="495"/>
      <c r="E106" s="468" t="s">
        <v>437</v>
      </c>
      <c r="F106" s="581"/>
      <c r="G106" s="470">
        <v>120000</v>
      </c>
      <c r="H106" s="494">
        <f t="shared" si="77"/>
        <v>120000</v>
      </c>
      <c r="I106" s="471">
        <v>0</v>
      </c>
      <c r="J106" s="424"/>
      <c r="K106" s="495">
        <f t="shared" si="78"/>
        <v>0</v>
      </c>
      <c r="L106" s="495">
        <f t="shared" si="79"/>
        <v>0</v>
      </c>
      <c r="M106" s="495">
        <f t="shared" si="80"/>
        <v>0</v>
      </c>
      <c r="N106" s="496" t="e">
        <f t="shared" si="72"/>
        <v>#DIV/0!</v>
      </c>
      <c r="O106" s="497">
        <f t="shared" si="73"/>
        <v>0</v>
      </c>
      <c r="P106" s="497">
        <f t="shared" si="73"/>
        <v>0</v>
      </c>
      <c r="Q106" s="497">
        <f t="shared" si="74"/>
        <v>0</v>
      </c>
      <c r="R106" s="498">
        <f t="shared" si="75"/>
        <v>0</v>
      </c>
      <c r="S106" s="545">
        <f t="shared" si="20"/>
        <v>0</v>
      </c>
      <c r="T106" s="546">
        <f t="shared" si="21"/>
        <v>0</v>
      </c>
      <c r="U106" s="404"/>
      <c r="V106" s="476" t="str">
        <f t="shared" si="13"/>
        <v>Low</v>
      </c>
      <c r="W106" s="476" t="str">
        <f t="shared" si="14"/>
        <v>Low</v>
      </c>
      <c r="X106" s="477" t="str">
        <f t="shared" si="15"/>
        <v>Dog</v>
      </c>
      <c r="Y106" s="488"/>
      <c r="AA106" s="366"/>
      <c r="AB106" s="503"/>
      <c r="AC106" s="366"/>
      <c r="AD106" s="366"/>
      <c r="AE106" s="366"/>
      <c r="AF106" s="366"/>
      <c r="AG106" s="366"/>
      <c r="AH106" s="366"/>
      <c r="AI106" s="366"/>
      <c r="AJ106" s="366"/>
      <c r="AM106" s="76"/>
      <c r="AN106" s="76"/>
    </row>
    <row r="107" spans="1:40" ht="17.25" customHeight="1" x14ac:dyDescent="0.3">
      <c r="A107" s="366">
        <f t="shared" si="76"/>
        <v>6</v>
      </c>
      <c r="B107" s="590" t="s">
        <v>639</v>
      </c>
      <c r="C107" s="365" t="s">
        <v>686</v>
      </c>
      <c r="D107" s="495"/>
      <c r="E107" s="468" t="s">
        <v>437</v>
      </c>
      <c r="F107" s="581">
        <v>14694.34358974359</v>
      </c>
      <c r="G107" s="470">
        <v>127523.5294117647</v>
      </c>
      <c r="H107" s="494">
        <f t="shared" si="77"/>
        <v>112829.18582202111</v>
      </c>
      <c r="I107" s="471">
        <v>170</v>
      </c>
      <c r="J107" s="424"/>
      <c r="K107" s="495">
        <f t="shared" si="78"/>
        <v>2498038.4102564105</v>
      </c>
      <c r="L107" s="495">
        <f t="shared" si="79"/>
        <v>21679000</v>
      </c>
      <c r="M107" s="495">
        <f t="shared" si="80"/>
        <v>19180961.589743588</v>
      </c>
      <c r="N107" s="496">
        <f t="shared" si="72"/>
        <v>0.11522848887201488</v>
      </c>
      <c r="O107" s="497">
        <f t="shared" si="73"/>
        <v>1.3981373217341057E-2</v>
      </c>
      <c r="P107" s="497">
        <f t="shared" si="73"/>
        <v>1.8643177537892675E-2</v>
      </c>
      <c r="Q107" s="497">
        <f t="shared" si="74"/>
        <v>1.0590580613007725E-2</v>
      </c>
      <c r="R107" s="498">
        <f t="shared" si="75"/>
        <v>4.6033035472515564</v>
      </c>
      <c r="S107" s="545">
        <f t="shared" si="20"/>
        <v>13.52426412092283</v>
      </c>
      <c r="T107" s="546">
        <f t="shared" si="21"/>
        <v>1724661.8933969764</v>
      </c>
      <c r="U107" s="404"/>
      <c r="V107" s="476" t="str">
        <f t="shared" si="13"/>
        <v>High</v>
      </c>
      <c r="W107" s="476" t="str">
        <f t="shared" si="14"/>
        <v>High</v>
      </c>
      <c r="X107" s="477" t="str">
        <f t="shared" si="15"/>
        <v>Star</v>
      </c>
      <c r="Y107" s="488"/>
      <c r="AA107" s="366"/>
      <c r="AB107" s="503"/>
      <c r="AC107" s="366"/>
      <c r="AD107" s="366"/>
      <c r="AE107" s="366"/>
      <c r="AF107" s="366"/>
      <c r="AG107" s="366"/>
      <c r="AH107" s="366"/>
      <c r="AI107" s="366"/>
      <c r="AJ107" s="366"/>
      <c r="AM107" s="76"/>
      <c r="AN107" s="76"/>
    </row>
    <row r="108" spans="1:40" ht="17.25" customHeight="1" x14ac:dyDescent="0.3">
      <c r="A108" s="366"/>
      <c r="B108" s="590"/>
      <c r="C108" s="365"/>
      <c r="D108" s="495"/>
      <c r="E108" s="468"/>
      <c r="F108" s="581"/>
      <c r="G108" s="470"/>
      <c r="H108" s="494"/>
      <c r="I108" s="471"/>
      <c r="J108" s="424"/>
      <c r="K108" s="495"/>
      <c r="L108" s="495"/>
      <c r="M108" s="495"/>
      <c r="N108" s="496"/>
      <c r="O108" s="497"/>
      <c r="P108" s="497"/>
      <c r="Q108" s="497"/>
      <c r="R108" s="498"/>
      <c r="S108" s="545"/>
      <c r="T108" s="546"/>
      <c r="U108" s="404"/>
      <c r="V108" s="476"/>
      <c r="W108" s="476"/>
      <c r="X108" s="477"/>
      <c r="Y108" s="488"/>
      <c r="AA108" s="366"/>
      <c r="AB108" s="503"/>
      <c r="AC108" s="366"/>
      <c r="AD108" s="366"/>
      <c r="AE108" s="366"/>
      <c r="AF108" s="366"/>
      <c r="AG108" s="366"/>
      <c r="AH108" s="366"/>
      <c r="AI108" s="366"/>
      <c r="AJ108" s="366"/>
      <c r="AM108" s="76"/>
      <c r="AN108" s="76"/>
    </row>
    <row r="109" spans="1:40" ht="17.25" customHeight="1" x14ac:dyDescent="0.3">
      <c r="A109" s="453"/>
      <c r="B109" s="479" t="s">
        <v>559</v>
      </c>
      <c r="C109" s="484" t="s">
        <v>560</v>
      </c>
      <c r="D109" s="484"/>
      <c r="E109" s="484"/>
      <c r="F109" s="484"/>
      <c r="G109" s="489"/>
      <c r="H109" s="489"/>
      <c r="I109" s="490">
        <f>SUBTOTAL(9,I110:I115)</f>
        <v>847</v>
      </c>
      <c r="J109" s="484"/>
      <c r="K109" s="490">
        <f>SUBTOTAL(9,K110:K115)</f>
        <v>206057626.2210421</v>
      </c>
      <c r="L109" s="490">
        <f>SUBTOTAL(9,L110:L115)</f>
        <v>677761000</v>
      </c>
      <c r="M109" s="480">
        <f>SUBTOTAL(9,M110:M116)</f>
        <v>471703373.7789579</v>
      </c>
      <c r="N109" s="491">
        <f t="shared" si="72"/>
        <v>0.30402697443647847</v>
      </c>
      <c r="O109" s="486">
        <f t="shared" si="73"/>
        <v>0.43710639296823156</v>
      </c>
      <c r="P109" s="486">
        <f t="shared" si="73"/>
        <v>0.45847804352449151</v>
      </c>
      <c r="Q109" s="486">
        <f t="shared" si="74"/>
        <v>5.2766010465985544E-2</v>
      </c>
      <c r="R109" s="487">
        <f t="shared" si="75"/>
        <v>22.935282967776875</v>
      </c>
      <c r="S109" s="487">
        <f t="shared" ref="S109:S114" si="81">R109*T$5</f>
        <v>67.382657120127277</v>
      </c>
      <c r="T109" s="487">
        <f t="shared" ref="T109:T114" si="82">IFERROR(S109*G109,0)</f>
        <v>0</v>
      </c>
      <c r="U109" s="404"/>
      <c r="V109" s="476" t="str">
        <f t="shared" ref="V109:V114" si="83">IF(B109&lt;&gt;"",IFERROR(IF($I109&gt;=$X$10,"High","Low"),""),"")</f>
        <v>High</v>
      </c>
      <c r="W109" s="476" t="str">
        <f t="shared" ref="W109:W114" si="84">IF(B109&lt;&gt;"",IFERROR(IF($L109&gt;=$X$12,"High","Low"),""),"")</f>
        <v>High</v>
      </c>
      <c r="X109" s="477" t="str">
        <f t="shared" ref="X109:X114" si="85">IF(B109&lt;&gt;"",IFERROR(IF(AND(V109="high",W109="high"),"Star",IF(AND(V109="low",W109="high"),"Puzzle",(IF(AND(V109="high",W109="low"),"Horse","Dog")))),""),"")</f>
        <v>Star</v>
      </c>
      <c r="AA109" s="366"/>
      <c r="AB109" s="503"/>
      <c r="AC109" s="366"/>
      <c r="AD109" s="366"/>
      <c r="AE109" s="366"/>
      <c r="AF109" s="366"/>
      <c r="AG109" s="366"/>
      <c r="AH109" s="366"/>
      <c r="AI109" s="366"/>
      <c r="AJ109" s="366"/>
      <c r="AM109" s="76"/>
      <c r="AN109" s="76"/>
    </row>
    <row r="110" spans="1:40" ht="17.25" customHeight="1" x14ac:dyDescent="0.3">
      <c r="A110" s="366">
        <f t="shared" ref="A110:A114" si="86">A109+1</f>
        <v>1</v>
      </c>
      <c r="B110" s="508" t="s">
        <v>640</v>
      </c>
      <c r="C110" s="365" t="s">
        <v>687</v>
      </c>
      <c r="D110" s="365"/>
      <c r="E110" s="468" t="s">
        <v>437</v>
      </c>
      <c r="F110" s="581">
        <v>140553.12921348316</v>
      </c>
      <c r="G110" s="470">
        <v>516547.16981132078</v>
      </c>
      <c r="H110" s="494">
        <f t="shared" ref="H110:H114" si="87">G110-F110</f>
        <v>375994.04059783765</v>
      </c>
      <c r="I110" s="471">
        <v>159</v>
      </c>
      <c r="J110" s="424"/>
      <c r="K110" s="495">
        <f t="shared" ref="K110:K114" si="88">I110*F110</f>
        <v>22347947.544943821</v>
      </c>
      <c r="L110" s="495">
        <f t="shared" ref="L110:L114" si="89">I110*G110</f>
        <v>82131000</v>
      </c>
      <c r="M110" s="495">
        <f t="shared" ref="M110:M114" si="90">L110-K110</f>
        <v>59783052.455056176</v>
      </c>
      <c r="N110" s="496">
        <f t="shared" si="72"/>
        <v>0.27210124733588803</v>
      </c>
      <c r="O110" s="497">
        <f t="shared" si="73"/>
        <v>5.2968502408480014E-2</v>
      </c>
      <c r="P110" s="497">
        <f t="shared" si="73"/>
        <v>5.8106891850131806E-2</v>
      </c>
      <c r="Q110" s="497">
        <f t="shared" si="74"/>
        <v>9.9053077498131078E-3</v>
      </c>
      <c r="R110" s="498">
        <f t="shared" si="75"/>
        <v>4.3054427294882212</v>
      </c>
      <c r="S110" s="545">
        <f t="shared" si="81"/>
        <v>12.649164677804295</v>
      </c>
      <c r="T110" s="546">
        <f t="shared" si="82"/>
        <v>6533890.2147971364</v>
      </c>
      <c r="U110" s="404"/>
      <c r="V110" s="476" t="str">
        <f t="shared" si="83"/>
        <v>High</v>
      </c>
      <c r="W110" s="476" t="str">
        <f t="shared" si="84"/>
        <v>High</v>
      </c>
      <c r="X110" s="477" t="str">
        <f t="shared" si="85"/>
        <v>Star</v>
      </c>
      <c r="AA110" s="366"/>
      <c r="AB110" s="503"/>
      <c r="AC110" s="366"/>
      <c r="AD110" s="366"/>
      <c r="AE110" s="366"/>
      <c r="AF110" s="366"/>
      <c r="AG110" s="366"/>
      <c r="AH110" s="366"/>
      <c r="AI110" s="366"/>
      <c r="AJ110" s="366"/>
      <c r="AM110" s="76"/>
      <c r="AN110" s="76"/>
    </row>
    <row r="111" spans="1:40" ht="17.25" customHeight="1" x14ac:dyDescent="0.3">
      <c r="A111" s="366">
        <f t="shared" si="86"/>
        <v>2</v>
      </c>
      <c r="B111" s="508" t="s">
        <v>641</v>
      </c>
      <c r="C111" s="365" t="s">
        <v>688</v>
      </c>
      <c r="D111" s="365"/>
      <c r="E111" s="468" t="s">
        <v>437</v>
      </c>
      <c r="F111" s="581">
        <v>232362.19230769231</v>
      </c>
      <c r="G111" s="470">
        <v>657944.4444444445</v>
      </c>
      <c r="H111" s="494">
        <f t="shared" si="87"/>
        <v>425582.25213675218</v>
      </c>
      <c r="I111" s="471">
        <v>90</v>
      </c>
      <c r="J111" s="424"/>
      <c r="K111" s="495">
        <f t="shared" si="88"/>
        <v>20912597.307692308</v>
      </c>
      <c r="L111" s="495">
        <f t="shared" si="89"/>
        <v>59215000.000000007</v>
      </c>
      <c r="M111" s="495">
        <f t="shared" si="90"/>
        <v>38302402.692307696</v>
      </c>
      <c r="N111" s="496">
        <f t="shared" si="72"/>
        <v>0.35316384881689278</v>
      </c>
      <c r="O111" s="497">
        <f t="shared" si="73"/>
        <v>3.8189354447384603E-2</v>
      </c>
      <c r="P111" s="497">
        <f t="shared" si="73"/>
        <v>3.7228503387566433E-2</v>
      </c>
      <c r="Q111" s="497">
        <f t="shared" si="74"/>
        <v>5.6067779715923251E-3</v>
      </c>
      <c r="R111" s="498">
        <f t="shared" si="75"/>
        <v>2.4370430544272947</v>
      </c>
      <c r="S111" s="545">
        <f t="shared" si="81"/>
        <v>7.1599045346062047</v>
      </c>
      <c r="T111" s="546">
        <f t="shared" si="82"/>
        <v>4710819.4112967383</v>
      </c>
      <c r="U111" s="404"/>
      <c r="V111" s="476" t="str">
        <f t="shared" si="83"/>
        <v>High</v>
      </c>
      <c r="W111" s="476" t="str">
        <f t="shared" si="84"/>
        <v>High</v>
      </c>
      <c r="X111" s="477" t="str">
        <f t="shared" si="85"/>
        <v>Star</v>
      </c>
      <c r="AA111" s="366"/>
      <c r="AB111" s="503"/>
      <c r="AC111" s="366"/>
      <c r="AD111" s="366"/>
      <c r="AE111" s="366"/>
      <c r="AF111" s="366"/>
      <c r="AG111" s="366"/>
      <c r="AH111" s="366"/>
      <c r="AI111" s="366"/>
      <c r="AJ111" s="366"/>
      <c r="AM111" s="76"/>
      <c r="AN111" s="76"/>
    </row>
    <row r="112" spans="1:40" ht="17.25" customHeight="1" x14ac:dyDescent="0.3">
      <c r="A112" s="366">
        <f t="shared" si="86"/>
        <v>3</v>
      </c>
      <c r="B112" s="508" t="s">
        <v>642</v>
      </c>
      <c r="C112" s="365" t="s">
        <v>689</v>
      </c>
      <c r="D112" s="365"/>
      <c r="E112" s="468" t="s">
        <v>437</v>
      </c>
      <c r="F112" s="581">
        <v>456827.82978723402</v>
      </c>
      <c r="G112" s="470">
        <v>1428738.4615384615</v>
      </c>
      <c r="H112" s="494">
        <f t="shared" si="87"/>
        <v>971910.63175122743</v>
      </c>
      <c r="I112" s="471">
        <v>65</v>
      </c>
      <c r="J112" s="424"/>
      <c r="K112" s="495">
        <f t="shared" si="88"/>
        <v>29693808.936170213</v>
      </c>
      <c r="L112" s="495">
        <f t="shared" si="89"/>
        <v>92868000</v>
      </c>
      <c r="M112" s="495">
        <f t="shared" si="90"/>
        <v>63174191.063829787</v>
      </c>
      <c r="N112" s="496">
        <f t="shared" si="72"/>
        <v>0.31974209562142192</v>
      </c>
      <c r="O112" s="497">
        <f t="shared" si="73"/>
        <v>5.989308399594212E-2</v>
      </c>
      <c r="P112" s="497">
        <f t="shared" si="73"/>
        <v>6.1402951791817657E-2</v>
      </c>
      <c r="Q112" s="497">
        <f t="shared" si="74"/>
        <v>4.0493396461500127E-3</v>
      </c>
      <c r="R112" s="498">
        <f t="shared" si="75"/>
        <v>1.7600866504197128</v>
      </c>
      <c r="S112" s="545">
        <f t="shared" si="81"/>
        <v>5.1710421638822588</v>
      </c>
      <c r="T112" s="546">
        <f t="shared" si="82"/>
        <v>7388066.825775655</v>
      </c>
      <c r="U112" s="404"/>
      <c r="V112" s="476" t="str">
        <f t="shared" si="83"/>
        <v>High</v>
      </c>
      <c r="W112" s="476" t="str">
        <f t="shared" si="84"/>
        <v>High</v>
      </c>
      <c r="X112" s="477" t="str">
        <f t="shared" si="85"/>
        <v>Star</v>
      </c>
      <c r="AA112" s="366"/>
      <c r="AB112" s="503"/>
      <c r="AC112" s="366"/>
      <c r="AD112" s="366"/>
      <c r="AE112" s="366"/>
      <c r="AF112" s="366"/>
      <c r="AG112" s="366"/>
      <c r="AH112" s="366"/>
      <c r="AI112" s="366"/>
      <c r="AJ112" s="366"/>
      <c r="AM112" s="76"/>
      <c r="AN112" s="76"/>
    </row>
    <row r="113" spans="1:40" ht="17.25" customHeight="1" x14ac:dyDescent="0.3">
      <c r="A113" s="366">
        <f t="shared" si="86"/>
        <v>4</v>
      </c>
      <c r="B113" s="508" t="s">
        <v>643</v>
      </c>
      <c r="C113" s="365" t="s">
        <v>712</v>
      </c>
      <c r="D113" s="365"/>
      <c r="E113" s="468" t="s">
        <v>437</v>
      </c>
      <c r="F113" s="581">
        <v>366058.48979591834</v>
      </c>
      <c r="G113" s="470">
        <v>1241000</v>
      </c>
      <c r="H113" s="494">
        <f t="shared" si="87"/>
        <v>874941.51020408166</v>
      </c>
      <c r="I113" s="471">
        <v>40</v>
      </c>
      <c r="J113" s="424"/>
      <c r="K113" s="495">
        <f t="shared" si="88"/>
        <v>14642339.591836734</v>
      </c>
      <c r="L113" s="495">
        <f t="shared" si="89"/>
        <v>49640000</v>
      </c>
      <c r="M113" s="495">
        <f t="shared" si="90"/>
        <v>34997660.408163264</v>
      </c>
      <c r="N113" s="496">
        <f t="shared" si="72"/>
        <v>0.29497058001282705</v>
      </c>
      <c r="O113" s="497">
        <f t="shared" si="73"/>
        <v>3.2014178075963379E-2</v>
      </c>
      <c r="P113" s="497">
        <f t="shared" si="73"/>
        <v>3.4016417443281446E-2</v>
      </c>
      <c r="Q113" s="497">
        <f t="shared" si="74"/>
        <v>2.4919013207076999E-3</v>
      </c>
      <c r="R113" s="498">
        <f t="shared" si="75"/>
        <v>1.0831302464121311</v>
      </c>
      <c r="S113" s="545">
        <f t="shared" si="81"/>
        <v>3.1821797931583133</v>
      </c>
      <c r="T113" s="546">
        <f t="shared" si="82"/>
        <v>3949085.123309467</v>
      </c>
      <c r="U113" s="404"/>
      <c r="V113" s="476" t="str">
        <f t="shared" si="83"/>
        <v>High</v>
      </c>
      <c r="W113" s="476" t="str">
        <f t="shared" si="84"/>
        <v>High</v>
      </c>
      <c r="X113" s="477" t="str">
        <f t="shared" si="85"/>
        <v>Star</v>
      </c>
      <c r="AA113" s="366"/>
      <c r="AB113" s="503"/>
      <c r="AC113" s="366"/>
      <c r="AD113" s="366"/>
      <c r="AE113" s="366"/>
      <c r="AF113" s="366"/>
      <c r="AG113" s="366"/>
      <c r="AH113" s="366"/>
      <c r="AI113" s="366"/>
      <c r="AJ113" s="366"/>
      <c r="AM113" s="76"/>
      <c r="AN113" s="76"/>
    </row>
    <row r="114" spans="1:40" ht="17.25" customHeight="1" x14ac:dyDescent="0.3">
      <c r="A114" s="366">
        <f t="shared" si="86"/>
        <v>5</v>
      </c>
      <c r="B114" s="508" t="s">
        <v>700</v>
      </c>
      <c r="C114" s="365" t="s">
        <v>701</v>
      </c>
      <c r="D114" s="365"/>
      <c r="E114" s="468" t="s">
        <v>437</v>
      </c>
      <c r="F114" s="581">
        <v>240285.86783042393</v>
      </c>
      <c r="G114" s="470">
        <v>799000</v>
      </c>
      <c r="H114" s="494">
        <f t="shared" si="87"/>
        <v>558714.13216957613</v>
      </c>
      <c r="I114" s="471">
        <v>493</v>
      </c>
      <c r="J114" s="424"/>
      <c r="K114" s="495">
        <f t="shared" si="88"/>
        <v>118460932.840399</v>
      </c>
      <c r="L114" s="495">
        <f t="shared" si="89"/>
        <v>393907000</v>
      </c>
      <c r="M114" s="495">
        <f t="shared" si="90"/>
        <v>275446067.15960097</v>
      </c>
      <c r="N114" s="496">
        <f t="shared" si="72"/>
        <v>0.30073325135222018</v>
      </c>
      <c r="O114" s="497">
        <f t="shared" si="73"/>
        <v>0.25404127404046145</v>
      </c>
      <c r="P114" s="497">
        <f t="shared" si="73"/>
        <v>0.26772327905169419</v>
      </c>
      <c r="Q114" s="497">
        <f t="shared" si="74"/>
        <v>3.0712683777722401E-2</v>
      </c>
      <c r="R114" s="498">
        <f t="shared" si="75"/>
        <v>13.349580287029516</v>
      </c>
      <c r="S114" s="545">
        <f t="shared" si="81"/>
        <v>39.220365950676211</v>
      </c>
      <c r="T114" s="546">
        <f t="shared" si="82"/>
        <v>31337072.394590292</v>
      </c>
      <c r="U114" s="404"/>
      <c r="V114" s="476" t="str">
        <f t="shared" si="83"/>
        <v>High</v>
      </c>
      <c r="W114" s="476" t="str">
        <f t="shared" si="84"/>
        <v>High</v>
      </c>
      <c r="X114" s="477" t="str">
        <f t="shared" si="85"/>
        <v>Star</v>
      </c>
      <c r="AA114" s="366"/>
      <c r="AB114" s="503"/>
      <c r="AC114" s="366"/>
      <c r="AD114" s="366"/>
      <c r="AE114" s="366"/>
      <c r="AF114" s="366"/>
      <c r="AG114" s="366"/>
      <c r="AH114" s="366"/>
      <c r="AI114" s="366"/>
      <c r="AJ114" s="366"/>
      <c r="AM114" s="76"/>
      <c r="AN114" s="76"/>
    </row>
    <row r="115" spans="1:40" s="148" customFormat="1" ht="17.25" customHeight="1" x14ac:dyDescent="0.3">
      <c r="A115" s="366"/>
      <c r="B115" s="495"/>
      <c r="C115" s="495"/>
      <c r="D115" s="495"/>
      <c r="E115" s="468"/>
      <c r="F115" s="478"/>
      <c r="G115" s="494"/>
      <c r="H115" s="494"/>
      <c r="I115" s="471"/>
      <c r="J115" s="424"/>
      <c r="K115" s="495"/>
      <c r="L115" s="495"/>
      <c r="M115" s="495"/>
      <c r="N115" s="496"/>
      <c r="O115" s="497"/>
      <c r="P115" s="497"/>
      <c r="Q115" s="497"/>
      <c r="R115" s="498"/>
      <c r="S115" s="545">
        <f t="shared" si="20"/>
        <v>0</v>
      </c>
      <c r="T115" s="546">
        <f t="shared" si="21"/>
        <v>0</v>
      </c>
      <c r="U115" s="404"/>
      <c r="V115" s="476" t="str">
        <f t="shared" si="13"/>
        <v/>
      </c>
      <c r="W115" s="476" t="str">
        <f t="shared" si="14"/>
        <v/>
      </c>
      <c r="X115" s="477" t="str">
        <f t="shared" si="15"/>
        <v/>
      </c>
      <c r="Y115" s="374"/>
      <c r="Z115" s="571"/>
      <c r="AA115" s="453"/>
      <c r="AB115" s="504"/>
      <c r="AC115" s="453"/>
      <c r="AD115" s="453"/>
      <c r="AE115" s="453"/>
      <c r="AF115" s="453"/>
      <c r="AG115" s="453"/>
      <c r="AH115" s="453"/>
      <c r="AI115" s="453"/>
      <c r="AJ115" s="453"/>
      <c r="AK115" s="505"/>
      <c r="AL115" s="506"/>
      <c r="AM115" s="138"/>
      <c r="AN115" s="138"/>
    </row>
    <row r="116" spans="1:40" ht="17.25" customHeight="1" x14ac:dyDescent="0.3">
      <c r="A116" s="453"/>
      <c r="B116" s="510" t="s">
        <v>29</v>
      </c>
      <c r="C116" s="510"/>
      <c r="D116" s="510"/>
      <c r="E116" s="510"/>
      <c r="F116" s="510"/>
      <c r="G116" s="511"/>
      <c r="H116" s="511"/>
      <c r="I116" s="513">
        <f>SUBTOTAL(9,I118:I158)</f>
        <v>7808</v>
      </c>
      <c r="J116" s="514"/>
      <c r="K116" s="514">
        <f>SUBTOTAL(9,K118:K158)</f>
        <v>58639456.773321837</v>
      </c>
      <c r="L116" s="514">
        <f>SUBTOTAL(9,L118:L158)</f>
        <v>147300000</v>
      </c>
      <c r="M116" s="514">
        <f>SUBTOTAL(9,M118:M158)</f>
        <v>88660543.226678133</v>
      </c>
      <c r="N116" s="515">
        <f t="shared" ref="N116:N122" si="91">K116/L116</f>
        <v>0.39809542955411975</v>
      </c>
      <c r="O116" s="516">
        <f t="shared" ref="O116:P122" si="92">L116/L$10</f>
        <v>9.4997752429278909E-2</v>
      </c>
      <c r="P116" s="516">
        <f t="shared" si="92"/>
        <v>8.6174733224261918E-2</v>
      </c>
      <c r="Q116" s="516">
        <f t="shared" ref="Q116:Q122" si="93">I116/I$10</f>
        <v>0.48641913780214302</v>
      </c>
      <c r="R116" s="517">
        <f t="shared" ref="R116:R122" si="94">I116/$K$5*100</f>
        <v>211.42702409964801</v>
      </c>
      <c r="S116" s="517">
        <f t="shared" si="20"/>
        <v>621.16149562450278</v>
      </c>
      <c r="T116" s="517">
        <f t="shared" si="21"/>
        <v>0</v>
      </c>
      <c r="U116" s="404"/>
      <c r="V116" s="476" t="str">
        <f t="shared" si="13"/>
        <v>High</v>
      </c>
      <c r="W116" s="476" t="str">
        <f t="shared" si="14"/>
        <v>High</v>
      </c>
      <c r="X116" s="477" t="str">
        <f t="shared" si="15"/>
        <v>Star</v>
      </c>
      <c r="AA116" s="366"/>
      <c r="AB116" s="503"/>
      <c r="AC116" s="366"/>
      <c r="AD116" s="366"/>
      <c r="AE116" s="366"/>
      <c r="AF116" s="366"/>
      <c r="AG116" s="366"/>
      <c r="AH116" s="366"/>
      <c r="AI116" s="366"/>
      <c r="AJ116" s="366"/>
      <c r="AM116" s="76"/>
      <c r="AN116" s="76"/>
    </row>
    <row r="117" spans="1:40" ht="17.25" customHeight="1" x14ac:dyDescent="0.3">
      <c r="A117" s="453"/>
      <c r="B117" s="479" t="s">
        <v>486</v>
      </c>
      <c r="C117" s="480" t="s">
        <v>487</v>
      </c>
      <c r="D117" s="480"/>
      <c r="E117" s="480"/>
      <c r="F117" s="482"/>
      <c r="G117" s="481"/>
      <c r="H117" s="481"/>
      <c r="I117" s="482">
        <f>SUBTOTAL(9,I118:I123)</f>
        <v>1205</v>
      </c>
      <c r="J117" s="484"/>
      <c r="K117" s="480">
        <f>SUBTOTAL(9,K118:K123)</f>
        <v>9331218.9613192249</v>
      </c>
      <c r="L117" s="480">
        <f>SUBTOTAL(9,L118:L123)</f>
        <v>57601000</v>
      </c>
      <c r="M117" s="480">
        <f>SUBTOTAL(9,M118:M123)</f>
        <v>48269781.038680777</v>
      </c>
      <c r="N117" s="491">
        <f t="shared" si="91"/>
        <v>0.16199751673268215</v>
      </c>
      <c r="O117" s="492">
        <f t="shared" si="92"/>
        <v>3.7148442210990458E-2</v>
      </c>
      <c r="P117" s="492">
        <f t="shared" si="92"/>
        <v>4.6916422485331781E-2</v>
      </c>
      <c r="Q117" s="492">
        <f t="shared" si="93"/>
        <v>7.5068527286319464E-2</v>
      </c>
      <c r="R117" s="493">
        <f t="shared" si="94"/>
        <v>32.629298673165444</v>
      </c>
      <c r="S117" s="543">
        <f>R117*T$5</f>
        <v>95.863166268894176</v>
      </c>
      <c r="T117" s="543">
        <f>S117*U$5</f>
        <v>0</v>
      </c>
      <c r="U117" s="404"/>
      <c r="V117" s="476" t="str">
        <f t="shared" si="13"/>
        <v>High</v>
      </c>
      <c r="W117" s="476" t="str">
        <f t="shared" si="14"/>
        <v>High</v>
      </c>
      <c r="X117" s="477" t="str">
        <f t="shared" si="15"/>
        <v>Star</v>
      </c>
      <c r="AA117" s="366"/>
      <c r="AB117" s="503"/>
      <c r="AC117" s="366"/>
      <c r="AD117" s="366"/>
      <c r="AE117" s="366"/>
      <c r="AF117" s="366"/>
      <c r="AG117" s="366"/>
      <c r="AH117" s="366"/>
      <c r="AI117" s="366"/>
      <c r="AJ117" s="366"/>
      <c r="AM117" s="76"/>
      <c r="AN117" s="76"/>
    </row>
    <row r="118" spans="1:40" ht="17.25" customHeight="1" x14ac:dyDescent="0.3">
      <c r="A118" s="366">
        <f t="shared" ref="A118:A122" si="95">A117+1</f>
        <v>1</v>
      </c>
      <c r="B118" s="518" t="s">
        <v>509</v>
      </c>
      <c r="C118" s="365" t="s">
        <v>543</v>
      </c>
      <c r="D118" s="365"/>
      <c r="E118" s="468" t="s">
        <v>471</v>
      </c>
      <c r="F118" s="581">
        <v>6239.4490861618797</v>
      </c>
      <c r="G118" s="470">
        <v>49969.512195121948</v>
      </c>
      <c r="H118" s="494">
        <f t="shared" ref="H118:H122" si="96">G118-F118</f>
        <v>43730.063108960065</v>
      </c>
      <c r="I118" s="471">
        <v>328</v>
      </c>
      <c r="J118" s="424"/>
      <c r="K118" s="495">
        <f t="shared" ref="K118:K122" si="97">I118*F118</f>
        <v>2046539.3002610966</v>
      </c>
      <c r="L118" s="495">
        <f t="shared" ref="L118:L122" si="98">I118*G118</f>
        <v>16389999.999999998</v>
      </c>
      <c r="M118" s="495">
        <f t="shared" ref="M118:M122" si="99">L118-K118</f>
        <v>14343460.699738901</v>
      </c>
      <c r="N118" s="496">
        <f t="shared" si="91"/>
        <v>0.124865118990915</v>
      </c>
      <c r="O118" s="497">
        <f t="shared" si="92"/>
        <v>1.0570354122986295E-2</v>
      </c>
      <c r="P118" s="497">
        <f t="shared" si="92"/>
        <v>1.3941307534654907E-2</v>
      </c>
      <c r="Q118" s="497">
        <f t="shared" si="93"/>
        <v>2.0433590829803141E-2</v>
      </c>
      <c r="R118" s="498">
        <f t="shared" si="94"/>
        <v>8.8816680205794754</v>
      </c>
      <c r="S118" s="545">
        <f t="shared" si="20"/>
        <v>26.093874303898172</v>
      </c>
      <c r="T118" s="546">
        <f t="shared" si="21"/>
        <v>1303898.170246619</v>
      </c>
      <c r="U118" s="404"/>
      <c r="V118" s="476" t="str">
        <f t="shared" ref="V118:V160" si="100">IF(B118&lt;&gt;"",IFERROR(IF($I118&gt;=$X$10,"High","Low"),""),"")</f>
        <v>High</v>
      </c>
      <c r="W118" s="476" t="str">
        <f t="shared" ref="W118:W160" si="101">IF(B118&lt;&gt;"",IFERROR(IF($L118&gt;=$X$12,"High","Low"),""),"")</f>
        <v>High</v>
      </c>
      <c r="X118" s="477" t="str">
        <f t="shared" ref="X118:X160" si="102">IF(B118&lt;&gt;"",IFERROR(IF(AND(V118="high",W118="high"),"Star",IF(AND(V118="low",W118="high"),"Puzzle",(IF(AND(V118="high",W118="low"),"Horse","Dog")))),""),"")</f>
        <v>Star</v>
      </c>
      <c r="AA118" s="366"/>
      <c r="AB118" s="503"/>
      <c r="AC118" s="366"/>
      <c r="AD118" s="366"/>
      <c r="AE118" s="366"/>
      <c r="AF118" s="366"/>
      <c r="AG118" s="366"/>
      <c r="AH118" s="366"/>
      <c r="AI118" s="366"/>
      <c r="AJ118" s="366"/>
      <c r="AM118" s="76"/>
      <c r="AN118" s="76"/>
    </row>
    <row r="119" spans="1:40" ht="17.25" customHeight="1" x14ac:dyDescent="0.3">
      <c r="A119" s="366">
        <f t="shared" si="95"/>
        <v>2</v>
      </c>
      <c r="B119" s="518" t="s">
        <v>510</v>
      </c>
      <c r="C119" s="365" t="s">
        <v>544</v>
      </c>
      <c r="D119" s="365"/>
      <c r="E119" s="468" t="s">
        <v>471</v>
      </c>
      <c r="F119" s="581">
        <v>9453.5674999999992</v>
      </c>
      <c r="G119" s="470">
        <v>50082.278481012661</v>
      </c>
      <c r="H119" s="494">
        <f t="shared" si="96"/>
        <v>40628.710981012664</v>
      </c>
      <c r="I119" s="471">
        <v>316</v>
      </c>
      <c r="J119" s="424"/>
      <c r="K119" s="495">
        <f t="shared" si="97"/>
        <v>2987327.3299999996</v>
      </c>
      <c r="L119" s="495">
        <f t="shared" si="98"/>
        <v>15826000.000000002</v>
      </c>
      <c r="M119" s="495">
        <f t="shared" si="99"/>
        <v>12838672.670000002</v>
      </c>
      <c r="N119" s="496">
        <f t="shared" si="91"/>
        <v>0.18876073107544541</v>
      </c>
      <c r="O119" s="497">
        <f t="shared" si="92"/>
        <v>1.0206615274580912E-2</v>
      </c>
      <c r="P119" s="497">
        <f t="shared" si="92"/>
        <v>1.2478709829943428E-2</v>
      </c>
      <c r="Q119" s="497">
        <f t="shared" si="93"/>
        <v>1.9686020433590828E-2</v>
      </c>
      <c r="R119" s="498">
        <f t="shared" si="94"/>
        <v>8.5567289466558361</v>
      </c>
      <c r="S119" s="545">
        <f t="shared" si="20"/>
        <v>25.139220365950678</v>
      </c>
      <c r="T119" s="546">
        <f t="shared" si="21"/>
        <v>1259029.435163087</v>
      </c>
      <c r="U119" s="404"/>
      <c r="V119" s="476" t="str">
        <f t="shared" si="100"/>
        <v>High</v>
      </c>
      <c r="W119" s="476" t="str">
        <f t="shared" si="101"/>
        <v>High</v>
      </c>
      <c r="X119" s="477" t="str">
        <f t="shared" si="102"/>
        <v>Star</v>
      </c>
      <c r="AA119" s="366"/>
      <c r="AB119" s="503"/>
      <c r="AC119" s="366"/>
      <c r="AD119" s="366"/>
      <c r="AE119" s="366"/>
      <c r="AF119" s="366"/>
      <c r="AG119" s="366"/>
      <c r="AH119" s="366"/>
      <c r="AI119" s="366"/>
      <c r="AJ119" s="366"/>
      <c r="AM119" s="76"/>
      <c r="AN119" s="76"/>
    </row>
    <row r="120" spans="1:40" ht="17.25" customHeight="1" x14ac:dyDescent="0.3">
      <c r="A120" s="366">
        <f t="shared" si="95"/>
        <v>3</v>
      </c>
      <c r="B120" s="518" t="s">
        <v>511</v>
      </c>
      <c r="C120" s="365" t="s">
        <v>468</v>
      </c>
      <c r="D120" s="365"/>
      <c r="E120" s="468" t="s">
        <v>471</v>
      </c>
      <c r="F120" s="581">
        <v>5491.0398230088495</v>
      </c>
      <c r="G120" s="470">
        <v>49978.260869565216</v>
      </c>
      <c r="H120" s="494">
        <f t="shared" si="96"/>
        <v>44487.221046556369</v>
      </c>
      <c r="I120" s="471">
        <v>184</v>
      </c>
      <c r="J120" s="424"/>
      <c r="K120" s="495">
        <f t="shared" si="97"/>
        <v>1010351.3274336283</v>
      </c>
      <c r="L120" s="495">
        <f t="shared" si="98"/>
        <v>9196000</v>
      </c>
      <c r="M120" s="495">
        <f t="shared" si="99"/>
        <v>8185648.672566372</v>
      </c>
      <c r="N120" s="496">
        <f t="shared" si="91"/>
        <v>0.10986856540165596</v>
      </c>
      <c r="O120" s="497">
        <f t="shared" si="92"/>
        <v>5.9307490247090897E-3</v>
      </c>
      <c r="P120" s="497">
        <f t="shared" si="92"/>
        <v>7.9561444691632083E-3</v>
      </c>
      <c r="Q120" s="497">
        <f t="shared" si="93"/>
        <v>1.1462746075255419E-2</v>
      </c>
      <c r="R120" s="498">
        <f t="shared" si="94"/>
        <v>4.9823991334958029</v>
      </c>
      <c r="S120" s="545">
        <f t="shared" ref="S120:S158" si="103">R120*T$5</f>
        <v>14.63802704852824</v>
      </c>
      <c r="T120" s="546">
        <f t="shared" ref="T120:T158" si="104">IFERROR(S120*G120,0)</f>
        <v>731583.13444709615</v>
      </c>
      <c r="U120" s="404"/>
      <c r="V120" s="476" t="str">
        <f t="shared" si="100"/>
        <v>High</v>
      </c>
      <c r="W120" s="476" t="str">
        <f t="shared" si="101"/>
        <v>Low</v>
      </c>
      <c r="X120" s="477" t="str">
        <f t="shared" si="102"/>
        <v>Horse</v>
      </c>
      <c r="AA120" s="366"/>
      <c r="AB120" s="503"/>
      <c r="AC120" s="366"/>
      <c r="AD120" s="366"/>
      <c r="AE120" s="366"/>
      <c r="AF120" s="366"/>
      <c r="AG120" s="366"/>
      <c r="AH120" s="366"/>
      <c r="AI120" s="366"/>
      <c r="AJ120" s="366"/>
      <c r="AM120" s="76"/>
      <c r="AN120" s="76"/>
    </row>
    <row r="121" spans="1:40" ht="17.25" customHeight="1" x14ac:dyDescent="0.3">
      <c r="A121" s="366">
        <f t="shared" si="95"/>
        <v>4</v>
      </c>
      <c r="B121" s="518" t="s">
        <v>512</v>
      </c>
      <c r="C121" s="365" t="s">
        <v>545</v>
      </c>
      <c r="D121" s="365"/>
      <c r="E121" s="468" t="s">
        <v>471</v>
      </c>
      <c r="F121" s="581">
        <v>18453.58781362007</v>
      </c>
      <c r="G121" s="470">
        <v>59892.857142857145</v>
      </c>
      <c r="H121" s="494">
        <f t="shared" si="96"/>
        <v>41439.269329237075</v>
      </c>
      <c r="I121" s="471">
        <v>168</v>
      </c>
      <c r="J121" s="424"/>
      <c r="K121" s="495">
        <f t="shared" si="97"/>
        <v>3100202.7526881718</v>
      </c>
      <c r="L121" s="495">
        <f t="shared" si="98"/>
        <v>10062000</v>
      </c>
      <c r="M121" s="495">
        <f t="shared" si="99"/>
        <v>6961797.2473118287</v>
      </c>
      <c r="N121" s="496">
        <f t="shared" si="91"/>
        <v>0.30810999331029337</v>
      </c>
      <c r="O121" s="497">
        <f t="shared" si="92"/>
        <v>6.4892558380407628E-3</v>
      </c>
      <c r="P121" s="497">
        <f t="shared" si="92"/>
        <v>6.7666066405058676E-3</v>
      </c>
      <c r="Q121" s="497">
        <f t="shared" si="93"/>
        <v>1.046598554697234E-2</v>
      </c>
      <c r="R121" s="498">
        <f t="shared" si="94"/>
        <v>4.5491470349309502</v>
      </c>
      <c r="S121" s="545">
        <f t="shared" si="103"/>
        <v>13.365155131264915</v>
      </c>
      <c r="T121" s="546">
        <f t="shared" si="104"/>
        <v>800477.32696897374</v>
      </c>
      <c r="U121" s="404"/>
      <c r="V121" s="476" t="str">
        <f t="shared" si="100"/>
        <v>High</v>
      </c>
      <c r="W121" s="476" t="str">
        <f t="shared" si="101"/>
        <v>High</v>
      </c>
      <c r="X121" s="477" t="str">
        <f t="shared" si="102"/>
        <v>Star</v>
      </c>
      <c r="AA121" s="366"/>
      <c r="AB121" s="503"/>
      <c r="AC121" s="366"/>
      <c r="AD121" s="366"/>
      <c r="AE121" s="366"/>
      <c r="AF121" s="366"/>
      <c r="AG121" s="366"/>
      <c r="AH121" s="366"/>
      <c r="AI121" s="366"/>
      <c r="AJ121" s="366"/>
      <c r="AM121" s="76"/>
      <c r="AN121" s="76"/>
    </row>
    <row r="122" spans="1:40" ht="17.25" customHeight="1" x14ac:dyDescent="0.3">
      <c r="A122" s="366">
        <f t="shared" si="95"/>
        <v>5</v>
      </c>
      <c r="B122" s="518" t="s">
        <v>705</v>
      </c>
      <c r="C122" s="365" t="s">
        <v>706</v>
      </c>
      <c r="D122" s="365"/>
      <c r="E122" s="468" t="s">
        <v>471</v>
      </c>
      <c r="F122" s="581">
        <v>893.7715355805243</v>
      </c>
      <c r="G122" s="470">
        <v>29315.78947368421</v>
      </c>
      <c r="H122" s="494">
        <f t="shared" si="96"/>
        <v>28422.017938103687</v>
      </c>
      <c r="I122" s="471">
        <v>209</v>
      </c>
      <c r="J122" s="424"/>
      <c r="K122" s="495">
        <f t="shared" si="97"/>
        <v>186798.25093632957</v>
      </c>
      <c r="L122" s="495">
        <f t="shared" si="98"/>
        <v>6127000</v>
      </c>
      <c r="M122" s="495">
        <f t="shared" si="99"/>
        <v>5940201.7490636706</v>
      </c>
      <c r="N122" s="496">
        <f t="shared" si="91"/>
        <v>3.0487718448886824E-2</v>
      </c>
      <c r="O122" s="497">
        <f t="shared" si="92"/>
        <v>3.9514679506734004E-3</v>
      </c>
      <c r="P122" s="497">
        <f t="shared" si="92"/>
        <v>5.773654011064366E-3</v>
      </c>
      <c r="Q122" s="497">
        <f t="shared" si="93"/>
        <v>1.3020184400697733E-2</v>
      </c>
      <c r="R122" s="498">
        <f t="shared" si="94"/>
        <v>5.6593555375033846</v>
      </c>
      <c r="S122" s="545">
        <f t="shared" si="103"/>
        <v>16.626889419252187</v>
      </c>
      <c r="T122" s="546">
        <f t="shared" si="104"/>
        <v>487430.38981702464</v>
      </c>
      <c r="U122" s="404"/>
      <c r="V122" s="476" t="str">
        <f t="shared" si="100"/>
        <v>High</v>
      </c>
      <c r="W122" s="476" t="str">
        <f t="shared" si="101"/>
        <v>Low</v>
      </c>
      <c r="X122" s="477" t="str">
        <f t="shared" si="102"/>
        <v>Horse</v>
      </c>
      <c r="AA122" s="366"/>
      <c r="AB122" s="503"/>
      <c r="AC122" s="366"/>
      <c r="AD122" s="366"/>
      <c r="AE122" s="366"/>
      <c r="AF122" s="366"/>
      <c r="AG122" s="366"/>
      <c r="AH122" s="366"/>
      <c r="AI122" s="366"/>
      <c r="AJ122" s="366"/>
      <c r="AM122" s="76"/>
      <c r="AN122" s="76"/>
    </row>
    <row r="123" spans="1:40" ht="17.25" customHeight="1" x14ac:dyDescent="0.3">
      <c r="A123" s="366"/>
      <c r="B123" s="518"/>
      <c r="C123" s="518"/>
      <c r="D123" s="495"/>
      <c r="E123" s="468"/>
      <c r="F123" s="478"/>
      <c r="G123" s="470"/>
      <c r="H123" s="494"/>
      <c r="I123" s="471"/>
      <c r="J123" s="424"/>
      <c r="K123" s="495"/>
      <c r="L123" s="495"/>
      <c r="M123" s="495"/>
      <c r="N123" s="496"/>
      <c r="O123" s="497"/>
      <c r="P123" s="497"/>
      <c r="Q123" s="497"/>
      <c r="R123" s="498"/>
      <c r="S123" s="545">
        <f t="shared" si="103"/>
        <v>0</v>
      </c>
      <c r="T123" s="546">
        <f t="shared" si="104"/>
        <v>0</v>
      </c>
      <c r="U123" s="404"/>
      <c r="V123" s="476" t="str">
        <f t="shared" si="100"/>
        <v/>
      </c>
      <c r="W123" s="476" t="str">
        <f t="shared" si="101"/>
        <v/>
      </c>
      <c r="X123" s="477" t="str">
        <f t="shared" si="102"/>
        <v/>
      </c>
      <c r="AA123" s="366"/>
      <c r="AB123" s="503"/>
      <c r="AC123" s="366"/>
      <c r="AD123" s="366"/>
      <c r="AE123" s="366"/>
      <c r="AF123" s="366"/>
      <c r="AG123" s="366"/>
      <c r="AH123" s="366"/>
      <c r="AI123" s="366"/>
      <c r="AJ123" s="366"/>
      <c r="AM123" s="76"/>
      <c r="AN123" s="76"/>
    </row>
    <row r="124" spans="1:40" ht="17.25" customHeight="1" x14ac:dyDescent="0.3">
      <c r="A124" s="453"/>
      <c r="B124" s="479" t="s">
        <v>488</v>
      </c>
      <c r="C124" s="480" t="s">
        <v>489</v>
      </c>
      <c r="D124" s="480"/>
      <c r="E124" s="480"/>
      <c r="F124" s="480"/>
      <c r="G124" s="481"/>
      <c r="H124" s="481"/>
      <c r="I124" s="482">
        <f>SUBTOTAL(9,I125:I129)</f>
        <v>1445</v>
      </c>
      <c r="J124" s="484"/>
      <c r="K124" s="480">
        <f>SUBTOTAL(9,K125:K129)</f>
        <v>7373087.2862149039</v>
      </c>
      <c r="L124" s="480">
        <f>SUBTOTAL(9,L125:L129)</f>
        <v>33605000</v>
      </c>
      <c r="M124" s="480">
        <f>SUBTOTAL(9,M125:M129)</f>
        <v>26231912.713785093</v>
      </c>
      <c r="N124" s="491">
        <f t="shared" ref="N124:N128" si="105">K124/L124</f>
        <v>0.21940447213851819</v>
      </c>
      <c r="O124" s="492">
        <f t="shared" ref="O124:P128" si="106">L124/L$10</f>
        <v>2.1672773050820895E-2</v>
      </c>
      <c r="P124" s="492">
        <f t="shared" si="106"/>
        <v>2.5496438413343234E-2</v>
      </c>
      <c r="Q124" s="492">
        <f t="shared" ref="Q124:Q128" si="107">I124/I$10</f>
        <v>9.0019935210565658E-2</v>
      </c>
      <c r="R124" s="493">
        <f t="shared" ref="R124:R128" si="108">I124/$K$5*100</f>
        <v>39.128080151638237</v>
      </c>
      <c r="S124" s="493">
        <f t="shared" si="103"/>
        <v>114.95624502784408</v>
      </c>
      <c r="T124" s="493">
        <f t="shared" si="104"/>
        <v>0</v>
      </c>
      <c r="U124" s="404"/>
      <c r="V124" s="476" t="str">
        <f t="shared" si="100"/>
        <v>High</v>
      </c>
      <c r="W124" s="476" t="str">
        <f t="shared" si="101"/>
        <v>High</v>
      </c>
      <c r="X124" s="477" t="str">
        <f t="shared" si="102"/>
        <v>Star</v>
      </c>
      <c r="Y124" s="488"/>
      <c r="AA124" s="366"/>
      <c r="AB124" s="503"/>
      <c r="AC124" s="366"/>
      <c r="AD124" s="366"/>
      <c r="AE124" s="366"/>
      <c r="AF124" s="366"/>
      <c r="AG124" s="366"/>
      <c r="AH124" s="366"/>
      <c r="AI124" s="366"/>
      <c r="AJ124" s="366"/>
      <c r="AM124" s="76"/>
      <c r="AN124" s="76"/>
    </row>
    <row r="125" spans="1:40" ht="17.25" customHeight="1" x14ac:dyDescent="0.3">
      <c r="A125" s="366">
        <v>1</v>
      </c>
      <c r="B125" s="590" t="s">
        <v>438</v>
      </c>
      <c r="C125" s="365" t="s">
        <v>470</v>
      </c>
      <c r="D125" s="365"/>
      <c r="E125" s="468" t="s">
        <v>320</v>
      </c>
      <c r="F125" s="581">
        <v>6037.0279720279723</v>
      </c>
      <c r="G125" s="470">
        <v>25000</v>
      </c>
      <c r="H125" s="494">
        <f t="shared" ref="H125:H128" si="109">G125-F125</f>
        <v>18962.972027972028</v>
      </c>
      <c r="I125" s="471">
        <v>393</v>
      </c>
      <c r="J125" s="424"/>
      <c r="K125" s="495">
        <f t="shared" ref="K125:K128" si="110">I125*F125</f>
        <v>2372551.9930069931</v>
      </c>
      <c r="L125" s="495">
        <f t="shared" ref="L125:L128" si="111">I125*G125</f>
        <v>9825000</v>
      </c>
      <c r="M125" s="495">
        <f t="shared" ref="M125:M128" si="112">L125-K125</f>
        <v>7452448.0069930069</v>
      </c>
      <c r="N125" s="496">
        <f t="shared" si="105"/>
        <v>0.24148111888111889</v>
      </c>
      <c r="O125" s="497">
        <f t="shared" si="106"/>
        <v>6.3364081304661595E-3</v>
      </c>
      <c r="P125" s="497">
        <f t="shared" si="106"/>
        <v>7.2435008347327794E-3</v>
      </c>
      <c r="Q125" s="497">
        <f t="shared" si="107"/>
        <v>2.4482930475953152E-2</v>
      </c>
      <c r="R125" s="498">
        <f t="shared" si="108"/>
        <v>10.641754670999187</v>
      </c>
      <c r="S125" s="545">
        <f t="shared" si="103"/>
        <v>31.264916467780427</v>
      </c>
      <c r="T125" s="546">
        <f t="shared" si="104"/>
        <v>781622.91169451072</v>
      </c>
      <c r="U125" s="404"/>
      <c r="V125" s="476" t="str">
        <f t="shared" si="100"/>
        <v>High</v>
      </c>
      <c r="W125" s="476" t="str">
        <f t="shared" si="101"/>
        <v>Low</v>
      </c>
      <c r="X125" s="477" t="str">
        <f t="shared" si="102"/>
        <v>Horse</v>
      </c>
      <c r="Y125" s="488"/>
      <c r="AA125" s="366"/>
      <c r="AB125" s="503"/>
      <c r="AC125" s="366"/>
      <c r="AD125" s="366"/>
      <c r="AE125" s="366"/>
      <c r="AF125" s="366"/>
      <c r="AG125" s="366"/>
      <c r="AH125" s="366"/>
      <c r="AI125" s="366"/>
      <c r="AJ125" s="366"/>
      <c r="AM125" s="76"/>
      <c r="AN125" s="76"/>
    </row>
    <row r="126" spans="1:40" ht="17.25" customHeight="1" x14ac:dyDescent="0.3">
      <c r="A126" s="366">
        <f t="shared" ref="A126:A128" si="113">A125+1</f>
        <v>2</v>
      </c>
      <c r="B126" s="590" t="s">
        <v>439</v>
      </c>
      <c r="C126" s="365" t="s">
        <v>546</v>
      </c>
      <c r="D126" s="365"/>
      <c r="E126" s="468" t="s">
        <v>307</v>
      </c>
      <c r="F126" s="581">
        <v>3500.1018735363</v>
      </c>
      <c r="G126" s="470">
        <v>20000</v>
      </c>
      <c r="H126" s="494">
        <f t="shared" si="109"/>
        <v>16499.8981264637</v>
      </c>
      <c r="I126" s="471">
        <v>504</v>
      </c>
      <c r="J126" s="424"/>
      <c r="K126" s="495">
        <f t="shared" si="110"/>
        <v>1764051.3442622952</v>
      </c>
      <c r="L126" s="495">
        <f t="shared" si="111"/>
        <v>10080000</v>
      </c>
      <c r="M126" s="495">
        <f t="shared" si="112"/>
        <v>8315948.6557377046</v>
      </c>
      <c r="N126" s="496">
        <f t="shared" si="105"/>
        <v>0.17500509367681499</v>
      </c>
      <c r="O126" s="497">
        <f t="shared" si="106"/>
        <v>6.5008645246919993E-3</v>
      </c>
      <c r="P126" s="497">
        <f t="shared" si="106"/>
        <v>8.0827911812209868E-3</v>
      </c>
      <c r="Q126" s="497">
        <f t="shared" si="107"/>
        <v>3.1397956640917019E-2</v>
      </c>
      <c r="R126" s="498">
        <f t="shared" si="108"/>
        <v>13.647441104792851</v>
      </c>
      <c r="S126" s="545">
        <f t="shared" si="103"/>
        <v>40.095465393794747</v>
      </c>
      <c r="T126" s="546">
        <f t="shared" si="104"/>
        <v>801909.30787589494</v>
      </c>
      <c r="U126" s="404"/>
      <c r="V126" s="476" t="str">
        <f t="shared" si="100"/>
        <v>High</v>
      </c>
      <c r="W126" s="476" t="str">
        <f t="shared" si="101"/>
        <v>High</v>
      </c>
      <c r="X126" s="477" t="str">
        <f t="shared" si="102"/>
        <v>Star</v>
      </c>
      <c r="Y126" s="488"/>
      <c r="AA126" s="366"/>
      <c r="AB126" s="503"/>
      <c r="AC126" s="366"/>
      <c r="AD126" s="366"/>
      <c r="AE126" s="366"/>
      <c r="AF126" s="366"/>
      <c r="AG126" s="366"/>
      <c r="AH126" s="366"/>
      <c r="AI126" s="366"/>
      <c r="AJ126" s="366"/>
      <c r="AM126" s="76"/>
      <c r="AN126" s="76"/>
    </row>
    <row r="127" spans="1:40" ht="17.25" customHeight="1" x14ac:dyDescent="0.3">
      <c r="A127" s="366">
        <f t="shared" si="113"/>
        <v>3</v>
      </c>
      <c r="B127" s="590" t="s">
        <v>513</v>
      </c>
      <c r="C127" s="365" t="s">
        <v>547</v>
      </c>
      <c r="D127" s="365"/>
      <c r="E127" s="468" t="s">
        <v>320</v>
      </c>
      <c r="F127" s="581">
        <v>6096.0989304812838</v>
      </c>
      <c r="G127" s="470">
        <v>25000</v>
      </c>
      <c r="H127" s="494">
        <f t="shared" si="109"/>
        <v>18903.901069518717</v>
      </c>
      <c r="I127" s="471">
        <v>330</v>
      </c>
      <c r="J127" s="424"/>
      <c r="K127" s="495">
        <f t="shared" si="110"/>
        <v>2011712.6470588236</v>
      </c>
      <c r="L127" s="495">
        <f t="shared" si="111"/>
        <v>8250000</v>
      </c>
      <c r="M127" s="495">
        <f t="shared" si="112"/>
        <v>6238287.3529411759</v>
      </c>
      <c r="N127" s="496">
        <f t="shared" si="105"/>
        <v>0.24384395721925134</v>
      </c>
      <c r="O127" s="497">
        <f t="shared" si="106"/>
        <v>5.3206480484830352E-3</v>
      </c>
      <c r="P127" s="497">
        <f t="shared" si="106"/>
        <v>6.0633820733712032E-3</v>
      </c>
      <c r="Q127" s="497">
        <f t="shared" si="107"/>
        <v>2.0558185895838525E-2</v>
      </c>
      <c r="R127" s="498">
        <f t="shared" si="108"/>
        <v>8.9358245329000816</v>
      </c>
      <c r="S127" s="545">
        <f t="shared" si="103"/>
        <v>26.252983293556085</v>
      </c>
      <c r="T127" s="546">
        <f t="shared" si="104"/>
        <v>656324.58233890217</v>
      </c>
      <c r="U127" s="404"/>
      <c r="V127" s="476" t="str">
        <f t="shared" si="100"/>
        <v>High</v>
      </c>
      <c r="W127" s="476" t="str">
        <f t="shared" si="101"/>
        <v>Low</v>
      </c>
      <c r="X127" s="477" t="str">
        <f t="shared" si="102"/>
        <v>Horse</v>
      </c>
      <c r="Y127" s="488"/>
      <c r="AA127" s="366"/>
      <c r="AB127" s="503"/>
      <c r="AC127" s="366"/>
      <c r="AD127" s="366"/>
      <c r="AE127" s="366"/>
      <c r="AF127" s="366"/>
      <c r="AG127" s="366"/>
      <c r="AH127" s="366"/>
      <c r="AI127" s="366"/>
      <c r="AJ127" s="366"/>
      <c r="AM127" s="76"/>
      <c r="AN127" s="76"/>
    </row>
    <row r="128" spans="1:40" ht="17.25" customHeight="1" x14ac:dyDescent="0.3">
      <c r="A128" s="366">
        <f t="shared" si="113"/>
        <v>4</v>
      </c>
      <c r="B128" s="590" t="s">
        <v>514</v>
      </c>
      <c r="C128" s="365" t="s">
        <v>548</v>
      </c>
      <c r="D128" s="365"/>
      <c r="E128" s="468" t="s">
        <v>320</v>
      </c>
      <c r="F128" s="581">
        <v>5618.2169811320755</v>
      </c>
      <c r="G128" s="470">
        <v>25000</v>
      </c>
      <c r="H128" s="494">
        <f t="shared" si="109"/>
        <v>19381.783018867925</v>
      </c>
      <c r="I128" s="471">
        <v>218</v>
      </c>
      <c r="J128" s="424"/>
      <c r="K128" s="495">
        <f t="shared" si="110"/>
        <v>1224771.3018867925</v>
      </c>
      <c r="L128" s="495">
        <f t="shared" si="111"/>
        <v>5450000</v>
      </c>
      <c r="M128" s="495">
        <f t="shared" si="112"/>
        <v>4225228.6981132077</v>
      </c>
      <c r="N128" s="496">
        <f t="shared" si="105"/>
        <v>0.22472867924528303</v>
      </c>
      <c r="O128" s="497">
        <f t="shared" si="106"/>
        <v>3.5148523471797018E-3</v>
      </c>
      <c r="P128" s="497">
        <f t="shared" si="106"/>
        <v>4.1067643240182668E-3</v>
      </c>
      <c r="Q128" s="497">
        <f t="shared" si="107"/>
        <v>1.3580862197856964E-2</v>
      </c>
      <c r="R128" s="498">
        <f t="shared" si="108"/>
        <v>5.9030598429461145</v>
      </c>
      <c r="S128" s="545">
        <f t="shared" si="103"/>
        <v>17.342879872712807</v>
      </c>
      <c r="T128" s="546">
        <f t="shared" si="104"/>
        <v>433571.99681782018</v>
      </c>
      <c r="U128" s="404"/>
      <c r="V128" s="476" t="str">
        <f t="shared" si="100"/>
        <v>High</v>
      </c>
      <c r="W128" s="476" t="str">
        <f t="shared" si="101"/>
        <v>Low</v>
      </c>
      <c r="X128" s="477" t="str">
        <f t="shared" si="102"/>
        <v>Horse</v>
      </c>
      <c r="Y128" s="488"/>
      <c r="AA128" s="366"/>
      <c r="AB128" s="503"/>
      <c r="AC128" s="366"/>
      <c r="AD128" s="366"/>
      <c r="AE128" s="366"/>
      <c r="AF128" s="366"/>
      <c r="AG128" s="366"/>
      <c r="AH128" s="366"/>
      <c r="AI128" s="366"/>
      <c r="AJ128" s="366"/>
      <c r="AM128" s="76"/>
      <c r="AN128" s="76"/>
    </row>
    <row r="129" spans="1:40" ht="17.25" customHeight="1" x14ac:dyDescent="0.3">
      <c r="A129" s="366"/>
      <c r="B129" s="518"/>
      <c r="C129" s="518"/>
      <c r="D129" s="495"/>
      <c r="E129" s="468"/>
      <c r="F129" s="478"/>
      <c r="G129" s="470"/>
      <c r="H129" s="494"/>
      <c r="I129" s="471"/>
      <c r="J129" s="424"/>
      <c r="K129" s="495"/>
      <c r="L129" s="495"/>
      <c r="M129" s="495"/>
      <c r="N129" s="496"/>
      <c r="O129" s="497"/>
      <c r="P129" s="497"/>
      <c r="Q129" s="497"/>
      <c r="R129" s="498"/>
      <c r="S129" s="545">
        <f t="shared" si="103"/>
        <v>0</v>
      </c>
      <c r="T129" s="546">
        <f t="shared" si="104"/>
        <v>0</v>
      </c>
      <c r="U129" s="404"/>
      <c r="V129" s="476" t="str">
        <f t="shared" si="100"/>
        <v/>
      </c>
      <c r="W129" s="476" t="str">
        <f t="shared" si="101"/>
        <v/>
      </c>
      <c r="X129" s="477" t="str">
        <f t="shared" si="102"/>
        <v/>
      </c>
      <c r="AA129" s="366"/>
      <c r="AB129" s="503"/>
      <c r="AC129" s="366"/>
      <c r="AD129" s="366"/>
      <c r="AE129" s="366"/>
      <c r="AF129" s="366"/>
      <c r="AG129" s="366"/>
      <c r="AH129" s="366"/>
      <c r="AI129" s="366"/>
      <c r="AJ129" s="366"/>
      <c r="AM129" s="76"/>
      <c r="AN129" s="76"/>
    </row>
    <row r="130" spans="1:40" ht="17.25" customHeight="1" x14ac:dyDescent="0.3">
      <c r="A130" s="453"/>
      <c r="B130" s="479" t="s">
        <v>491</v>
      </c>
      <c r="C130" s="480" t="s">
        <v>492</v>
      </c>
      <c r="D130" s="480"/>
      <c r="E130" s="480"/>
      <c r="F130" s="480"/>
      <c r="G130" s="481"/>
      <c r="H130" s="481"/>
      <c r="I130" s="482">
        <f>SUBTOTAL(9,I131:I146)</f>
        <v>633</v>
      </c>
      <c r="J130" s="484"/>
      <c r="K130" s="480">
        <f>SUBTOTAL(9,K131:K146)</f>
        <v>16975511.087706923</v>
      </c>
      <c r="L130" s="480">
        <f>SUBTOTAL(9,L131:L146)</f>
        <v>45255000</v>
      </c>
      <c r="M130" s="480">
        <f>SUBTOTAL(9,M131:M146)</f>
        <v>28279488.912293069</v>
      </c>
      <c r="N130" s="491">
        <f t="shared" ref="N130:N145" si="114">K130/L130</f>
        <v>0.3751079679086714</v>
      </c>
      <c r="O130" s="492">
        <f t="shared" ref="O130:P145" si="115">L130/L$10</f>
        <v>2.9186173022315121E-2</v>
      </c>
      <c r="P130" s="492">
        <f t="shared" si="115"/>
        <v>2.748660592463003E-2</v>
      </c>
      <c r="Q130" s="492">
        <f t="shared" ref="Q130:Q145" si="116">I130/I$10</f>
        <v>3.9434338400199352E-2</v>
      </c>
      <c r="R130" s="493">
        <f t="shared" ref="R130:R145" si="117">I130/$K$5*100</f>
        <v>17.140536149471973</v>
      </c>
      <c r="S130" s="493">
        <f t="shared" si="103"/>
        <v>50.357995226730303</v>
      </c>
      <c r="T130" s="493">
        <f t="shared" si="104"/>
        <v>0</v>
      </c>
      <c r="U130" s="404"/>
      <c r="V130" s="476" t="str">
        <f t="shared" si="100"/>
        <v>High</v>
      </c>
      <c r="W130" s="476" t="str">
        <f t="shared" si="101"/>
        <v>High</v>
      </c>
      <c r="X130" s="477" t="str">
        <f t="shared" si="102"/>
        <v>Star</v>
      </c>
      <c r="Y130" s="488"/>
      <c r="AA130" s="366"/>
      <c r="AB130" s="503"/>
      <c r="AC130" s="366"/>
      <c r="AD130" s="366"/>
      <c r="AE130" s="366"/>
      <c r="AF130" s="366"/>
      <c r="AG130" s="366"/>
      <c r="AH130" s="366"/>
      <c r="AI130" s="366"/>
      <c r="AJ130" s="366"/>
      <c r="AM130" s="76"/>
      <c r="AN130" s="76"/>
    </row>
    <row r="131" spans="1:40" ht="17.25" customHeight="1" x14ac:dyDescent="0.3">
      <c r="A131" s="366">
        <f>A130+1</f>
        <v>1</v>
      </c>
      <c r="B131" s="590" t="s">
        <v>691</v>
      </c>
      <c r="C131" s="365" t="s">
        <v>693</v>
      </c>
      <c r="D131" s="365"/>
      <c r="E131" s="468" t="s">
        <v>320</v>
      </c>
      <c r="F131" s="581">
        <v>16390.106707317074</v>
      </c>
      <c r="G131" s="470">
        <v>49000</v>
      </c>
      <c r="H131" s="494">
        <f t="shared" ref="H131:H145" si="118">G131-F131</f>
        <v>32609.893292682926</v>
      </c>
      <c r="I131" s="471">
        <v>276</v>
      </c>
      <c r="J131" s="424"/>
      <c r="K131" s="495">
        <f t="shared" ref="K131:K145" si="119">I131*F131</f>
        <v>4523669.4512195121</v>
      </c>
      <c r="L131" s="495">
        <f t="shared" ref="L131:L145" si="120">I131*G131</f>
        <v>13524000</v>
      </c>
      <c r="M131" s="495">
        <f t="shared" ref="M131:M145" si="121">L131-K131</f>
        <v>9000330.5487804879</v>
      </c>
      <c r="N131" s="496">
        <f t="shared" si="114"/>
        <v>0.3344919736187158</v>
      </c>
      <c r="O131" s="497">
        <f t="shared" si="115"/>
        <v>8.7219932372950993E-3</v>
      </c>
      <c r="P131" s="497">
        <f t="shared" si="115"/>
        <v>8.7479847939613501E-3</v>
      </c>
      <c r="Q131" s="497">
        <f t="shared" si="116"/>
        <v>1.7194119112883131E-2</v>
      </c>
      <c r="R131" s="498">
        <f t="shared" si="117"/>
        <v>7.4735987002437039</v>
      </c>
      <c r="S131" s="545">
        <f t="shared" si="103"/>
        <v>21.957040572792359</v>
      </c>
      <c r="T131" s="546">
        <f t="shared" si="104"/>
        <v>1075894.9880668256</v>
      </c>
      <c r="U131" s="404"/>
      <c r="V131" s="476" t="str">
        <f t="shared" si="100"/>
        <v>High</v>
      </c>
      <c r="W131" s="476" t="str">
        <f t="shared" si="101"/>
        <v>High</v>
      </c>
      <c r="X131" s="477" t="str">
        <f t="shared" si="102"/>
        <v>Star</v>
      </c>
      <c r="Y131" s="488"/>
      <c r="AA131" s="366"/>
      <c r="AB131" s="503"/>
      <c r="AC131" s="366"/>
      <c r="AD131" s="366"/>
      <c r="AE131" s="366"/>
      <c r="AF131" s="366"/>
      <c r="AG131" s="366"/>
      <c r="AH131" s="366"/>
      <c r="AI131" s="366"/>
      <c r="AJ131" s="366"/>
      <c r="AM131" s="76"/>
      <c r="AN131" s="76"/>
    </row>
    <row r="132" spans="1:40" ht="17.25" customHeight="1" x14ac:dyDescent="0.3">
      <c r="A132" s="366">
        <f>A131+1</f>
        <v>2</v>
      </c>
      <c r="B132" s="590" t="s">
        <v>556</v>
      </c>
      <c r="C132" s="365" t="s">
        <v>549</v>
      </c>
      <c r="D132" s="365"/>
      <c r="E132" s="468" t="s">
        <v>320</v>
      </c>
      <c r="F132" s="581">
        <v>13812</v>
      </c>
      <c r="G132" s="470">
        <v>35000</v>
      </c>
      <c r="H132" s="494">
        <f t="shared" si="118"/>
        <v>21188</v>
      </c>
      <c r="I132" s="471">
        <v>176</v>
      </c>
      <c r="J132" s="424"/>
      <c r="K132" s="495">
        <f t="shared" si="119"/>
        <v>2430912</v>
      </c>
      <c r="L132" s="495">
        <f t="shared" si="120"/>
        <v>6160000</v>
      </c>
      <c r="M132" s="495">
        <f t="shared" si="121"/>
        <v>3729088</v>
      </c>
      <c r="N132" s="496">
        <f t="shared" si="114"/>
        <v>0.39462857142857144</v>
      </c>
      <c r="O132" s="497">
        <f t="shared" si="115"/>
        <v>3.9727505428673324E-3</v>
      </c>
      <c r="P132" s="497">
        <f t="shared" si="115"/>
        <v>3.6245341148902479E-3</v>
      </c>
      <c r="Q132" s="497">
        <f t="shared" si="116"/>
        <v>1.0964365811113879E-2</v>
      </c>
      <c r="R132" s="498">
        <f t="shared" si="117"/>
        <v>4.765773084213377</v>
      </c>
      <c r="S132" s="545">
        <f t="shared" si="103"/>
        <v>14.001591089896579</v>
      </c>
      <c r="T132" s="546">
        <f t="shared" si="104"/>
        <v>490055.68814638024</v>
      </c>
      <c r="U132" s="404"/>
      <c r="V132" s="476" t="str">
        <f t="shared" si="100"/>
        <v>High</v>
      </c>
      <c r="W132" s="476" t="str">
        <f t="shared" si="101"/>
        <v>Low</v>
      </c>
      <c r="X132" s="477" t="str">
        <f t="shared" si="102"/>
        <v>Horse</v>
      </c>
      <c r="Y132" s="488"/>
      <c r="AA132" s="366"/>
      <c r="AB132" s="503"/>
      <c r="AC132" s="366"/>
      <c r="AD132" s="366"/>
      <c r="AE132" s="366"/>
      <c r="AF132" s="366"/>
      <c r="AG132" s="366"/>
      <c r="AH132" s="366"/>
      <c r="AI132" s="366"/>
      <c r="AJ132" s="366"/>
      <c r="AM132" s="76"/>
      <c r="AN132" s="76"/>
    </row>
    <row r="133" spans="1:40" ht="17.25" customHeight="1" x14ac:dyDescent="0.3">
      <c r="A133" s="366">
        <f t="shared" ref="A133:A145" si="122">A132+1</f>
        <v>3</v>
      </c>
      <c r="B133" s="590" t="s">
        <v>515</v>
      </c>
      <c r="C133" s="365" t="s">
        <v>722</v>
      </c>
      <c r="D133" s="365"/>
      <c r="E133" s="468" t="s">
        <v>320</v>
      </c>
      <c r="F133" s="581"/>
      <c r="G133" s="470">
        <v>39000</v>
      </c>
      <c r="H133" s="494">
        <f t="shared" si="118"/>
        <v>39000</v>
      </c>
      <c r="I133" s="471">
        <v>0</v>
      </c>
      <c r="J133" s="424"/>
      <c r="K133" s="495">
        <f t="shared" si="119"/>
        <v>0</v>
      </c>
      <c r="L133" s="495">
        <f t="shared" si="120"/>
        <v>0</v>
      </c>
      <c r="M133" s="495">
        <f t="shared" si="121"/>
        <v>0</v>
      </c>
      <c r="N133" s="496" t="e">
        <f t="shared" si="114"/>
        <v>#DIV/0!</v>
      </c>
      <c r="O133" s="497">
        <f t="shared" si="115"/>
        <v>0</v>
      </c>
      <c r="P133" s="497">
        <f t="shared" si="115"/>
        <v>0</v>
      </c>
      <c r="Q133" s="497">
        <f t="shared" si="116"/>
        <v>0</v>
      </c>
      <c r="R133" s="498">
        <f t="shared" si="117"/>
        <v>0</v>
      </c>
      <c r="S133" s="545">
        <f t="shared" si="103"/>
        <v>0</v>
      </c>
      <c r="T133" s="546">
        <f t="shared" si="104"/>
        <v>0</v>
      </c>
      <c r="U133" s="404"/>
      <c r="V133" s="476" t="str">
        <f t="shared" si="100"/>
        <v>Low</v>
      </c>
      <c r="W133" s="476" t="str">
        <f t="shared" si="101"/>
        <v>Low</v>
      </c>
      <c r="X133" s="477" t="str">
        <f t="shared" si="102"/>
        <v>Dog</v>
      </c>
      <c r="Y133" s="488"/>
      <c r="AA133" s="366"/>
      <c r="AB133" s="503"/>
      <c r="AC133" s="366"/>
      <c r="AD133" s="366"/>
      <c r="AE133" s="366"/>
      <c r="AF133" s="366"/>
      <c r="AG133" s="366"/>
      <c r="AH133" s="366"/>
      <c r="AI133" s="366"/>
      <c r="AJ133" s="366"/>
      <c r="AM133" s="76"/>
      <c r="AN133" s="76"/>
    </row>
    <row r="134" spans="1:40" s="148" customFormat="1" ht="17.25" customHeight="1" x14ac:dyDescent="0.3">
      <c r="A134" s="366">
        <f t="shared" si="122"/>
        <v>4</v>
      </c>
      <c r="B134" s="590" t="s">
        <v>707</v>
      </c>
      <c r="C134" s="365" t="s">
        <v>708</v>
      </c>
      <c r="D134" s="365"/>
      <c r="E134" s="468" t="s">
        <v>471</v>
      </c>
      <c r="F134" s="581">
        <v>26760.396551724138</v>
      </c>
      <c r="G134" s="470">
        <v>65357.142857142855</v>
      </c>
      <c r="H134" s="494">
        <f t="shared" si="118"/>
        <v>38596.746305418717</v>
      </c>
      <c r="I134" s="471">
        <v>56</v>
      </c>
      <c r="J134" s="424"/>
      <c r="K134" s="495">
        <f t="shared" si="119"/>
        <v>1498582.2068965517</v>
      </c>
      <c r="L134" s="495">
        <f t="shared" si="120"/>
        <v>3660000</v>
      </c>
      <c r="M134" s="495">
        <f t="shared" si="121"/>
        <v>2161417.7931034481</v>
      </c>
      <c r="N134" s="496">
        <f t="shared" si="114"/>
        <v>0.40944869040889387</v>
      </c>
      <c r="O134" s="497">
        <f t="shared" si="115"/>
        <v>2.3604329524179284E-3</v>
      </c>
      <c r="P134" s="497">
        <f t="shared" si="115"/>
        <v>2.1008172849860986E-3</v>
      </c>
      <c r="Q134" s="497">
        <f t="shared" si="116"/>
        <v>3.4886618489907801E-3</v>
      </c>
      <c r="R134" s="498">
        <f t="shared" si="117"/>
        <v>1.5163823449769833</v>
      </c>
      <c r="S134" s="545">
        <f t="shared" si="103"/>
        <v>4.4550517104216381</v>
      </c>
      <c r="T134" s="546">
        <f t="shared" si="104"/>
        <v>291169.45107398561</v>
      </c>
      <c r="U134" s="404"/>
      <c r="V134" s="476" t="str">
        <f t="shared" si="100"/>
        <v>High</v>
      </c>
      <c r="W134" s="476" t="str">
        <f t="shared" si="101"/>
        <v>Low</v>
      </c>
      <c r="X134" s="477" t="str">
        <f t="shared" si="102"/>
        <v>Horse</v>
      </c>
      <c r="Y134" s="488"/>
      <c r="Z134" s="571"/>
      <c r="AA134" s="366"/>
      <c r="AB134" s="503"/>
      <c r="AC134" s="366"/>
      <c r="AD134" s="366"/>
      <c r="AE134" s="366"/>
      <c r="AF134" s="366"/>
      <c r="AG134" s="366"/>
      <c r="AH134" s="366"/>
      <c r="AI134" s="366"/>
      <c r="AJ134" s="366"/>
      <c r="AK134" s="375"/>
      <c r="AL134" s="376"/>
      <c r="AM134" s="138"/>
      <c r="AN134" s="138"/>
    </row>
    <row r="135" spans="1:40" ht="17.25" customHeight="1" x14ac:dyDescent="0.3">
      <c r="A135" s="366">
        <f t="shared" si="122"/>
        <v>5</v>
      </c>
      <c r="B135" s="590" t="s">
        <v>702</v>
      </c>
      <c r="C135" s="365" t="s">
        <v>703</v>
      </c>
      <c r="D135" s="365"/>
      <c r="E135" s="468" t="s">
        <v>471</v>
      </c>
      <c r="F135" s="581">
        <v>6967.9390243902435</v>
      </c>
      <c r="G135" s="470">
        <v>59636.36363636364</v>
      </c>
      <c r="H135" s="494">
        <f t="shared" si="118"/>
        <v>52668.424611973394</v>
      </c>
      <c r="I135" s="471">
        <v>66</v>
      </c>
      <c r="J135" s="424"/>
      <c r="K135" s="495">
        <f t="shared" si="119"/>
        <v>459883.97560975607</v>
      </c>
      <c r="L135" s="495">
        <f t="shared" si="120"/>
        <v>3936000</v>
      </c>
      <c r="M135" s="495">
        <f t="shared" si="121"/>
        <v>3476116.0243902439</v>
      </c>
      <c r="N135" s="496">
        <f t="shared" si="114"/>
        <v>0.11684044095776323</v>
      </c>
      <c r="O135" s="497">
        <f t="shared" si="115"/>
        <v>2.5384328144035426E-3</v>
      </c>
      <c r="P135" s="497">
        <f t="shared" si="115"/>
        <v>3.3786548125759167E-3</v>
      </c>
      <c r="Q135" s="497">
        <f t="shared" si="116"/>
        <v>4.1116371791677046E-3</v>
      </c>
      <c r="R135" s="498">
        <f t="shared" si="117"/>
        <v>1.7871649065800164</v>
      </c>
      <c r="S135" s="545">
        <f t="shared" si="103"/>
        <v>5.2505966587112169</v>
      </c>
      <c r="T135" s="546">
        <f t="shared" si="104"/>
        <v>313126.49164677807</v>
      </c>
      <c r="U135" s="404"/>
      <c r="V135" s="476" t="str">
        <f t="shared" si="100"/>
        <v>High</v>
      </c>
      <c r="W135" s="476" t="str">
        <f t="shared" si="101"/>
        <v>Low</v>
      </c>
      <c r="X135" s="477" t="str">
        <f t="shared" si="102"/>
        <v>Horse</v>
      </c>
      <c r="Y135" s="488"/>
      <c r="AA135" s="366"/>
      <c r="AB135" s="503"/>
      <c r="AC135" s="366"/>
      <c r="AD135" s="366"/>
      <c r="AE135" s="366"/>
      <c r="AF135" s="366"/>
      <c r="AG135" s="366"/>
      <c r="AH135" s="366"/>
      <c r="AI135" s="366"/>
      <c r="AJ135" s="366"/>
      <c r="AM135" s="76"/>
      <c r="AN135" s="76"/>
    </row>
    <row r="136" spans="1:40" ht="17.25" customHeight="1" x14ac:dyDescent="0.3">
      <c r="A136" s="366">
        <f t="shared" si="122"/>
        <v>6</v>
      </c>
      <c r="B136" s="590" t="s">
        <v>692</v>
      </c>
      <c r="C136" s="365" t="s">
        <v>725</v>
      </c>
      <c r="D136" s="365"/>
      <c r="E136" s="468" t="s">
        <v>307</v>
      </c>
      <c r="F136" s="581">
        <v>192000</v>
      </c>
      <c r="G136" s="470">
        <v>450000</v>
      </c>
      <c r="H136" s="494">
        <f t="shared" si="118"/>
        <v>258000</v>
      </c>
      <c r="I136" s="471">
        <v>3</v>
      </c>
      <c r="J136" s="424"/>
      <c r="K136" s="495">
        <f t="shared" si="119"/>
        <v>576000</v>
      </c>
      <c r="L136" s="495">
        <f t="shared" si="120"/>
        <v>1350000</v>
      </c>
      <c r="M136" s="495">
        <f t="shared" si="121"/>
        <v>774000</v>
      </c>
      <c r="N136" s="496">
        <f t="shared" si="114"/>
        <v>0.42666666666666669</v>
      </c>
      <c r="O136" s="497">
        <f t="shared" si="115"/>
        <v>8.7065149884267838E-4</v>
      </c>
      <c r="P136" s="497">
        <f t="shared" si="115"/>
        <v>7.5229906210983811E-4</v>
      </c>
      <c r="Q136" s="497">
        <f t="shared" si="116"/>
        <v>1.8689259905307749E-4</v>
      </c>
      <c r="R136" s="498">
        <f t="shared" si="117"/>
        <v>8.1234768480909825E-2</v>
      </c>
      <c r="S136" s="545">
        <f t="shared" si="103"/>
        <v>0.23866348448687347</v>
      </c>
      <c r="T136" s="546">
        <f t="shared" si="104"/>
        <v>107398.56801909306</v>
      </c>
      <c r="U136" s="404"/>
      <c r="V136" s="476" t="str">
        <f t="shared" si="100"/>
        <v>Low</v>
      </c>
      <c r="W136" s="476" t="str">
        <f t="shared" si="101"/>
        <v>Low</v>
      </c>
      <c r="X136" s="477" t="str">
        <f t="shared" si="102"/>
        <v>Dog</v>
      </c>
      <c r="Y136" s="488"/>
      <c r="AA136" s="366"/>
      <c r="AB136" s="503"/>
      <c r="AC136" s="366"/>
      <c r="AD136" s="366"/>
      <c r="AE136" s="366"/>
      <c r="AF136" s="366"/>
      <c r="AG136" s="366"/>
      <c r="AH136" s="366"/>
      <c r="AI136" s="366"/>
      <c r="AJ136" s="366"/>
      <c r="AM136" s="76"/>
      <c r="AN136" s="76"/>
    </row>
    <row r="137" spans="1:40" ht="17.25" customHeight="1" x14ac:dyDescent="0.3">
      <c r="A137" s="366">
        <f t="shared" si="122"/>
        <v>7</v>
      </c>
      <c r="B137" s="590" t="s">
        <v>697</v>
      </c>
      <c r="C137" s="365" t="s">
        <v>704</v>
      </c>
      <c r="D137" s="365"/>
      <c r="E137" s="468" t="s">
        <v>307</v>
      </c>
      <c r="F137" s="581">
        <v>85444</v>
      </c>
      <c r="G137" s="470">
        <v>195000</v>
      </c>
      <c r="H137" s="494">
        <f t="shared" si="118"/>
        <v>109556</v>
      </c>
      <c r="I137" s="471">
        <v>9</v>
      </c>
      <c r="J137" s="424"/>
      <c r="K137" s="495">
        <f t="shared" si="119"/>
        <v>768996</v>
      </c>
      <c r="L137" s="495">
        <f t="shared" si="120"/>
        <v>1755000</v>
      </c>
      <c r="M137" s="495">
        <f t="shared" si="121"/>
        <v>986004</v>
      </c>
      <c r="N137" s="496">
        <f t="shared" si="114"/>
        <v>0.43817435897435897</v>
      </c>
      <c r="O137" s="497">
        <f t="shared" si="115"/>
        <v>1.131846948495482E-3</v>
      </c>
      <c r="P137" s="497">
        <f t="shared" si="115"/>
        <v>9.5835902381983054E-4</v>
      </c>
      <c r="Q137" s="497">
        <f t="shared" si="116"/>
        <v>5.6067779715923249E-4</v>
      </c>
      <c r="R137" s="498">
        <f t="shared" si="117"/>
        <v>0.2437043054427295</v>
      </c>
      <c r="S137" s="545">
        <f t="shared" si="103"/>
        <v>0.71599045346062051</v>
      </c>
      <c r="T137" s="546">
        <f t="shared" si="104"/>
        <v>139618.13842482099</v>
      </c>
      <c r="U137" s="404"/>
      <c r="V137" s="476" t="str">
        <f t="shared" si="100"/>
        <v>Low</v>
      </c>
      <c r="W137" s="476" t="str">
        <f t="shared" si="101"/>
        <v>Low</v>
      </c>
      <c r="X137" s="477" t="str">
        <f t="shared" si="102"/>
        <v>Dog</v>
      </c>
      <c r="Y137" s="488"/>
      <c r="AA137" s="366"/>
      <c r="AB137" s="503"/>
      <c r="AC137" s="366"/>
      <c r="AD137" s="366"/>
      <c r="AE137" s="366"/>
      <c r="AF137" s="366"/>
      <c r="AG137" s="366"/>
      <c r="AH137" s="366"/>
      <c r="AI137" s="366"/>
      <c r="AJ137" s="366"/>
      <c r="AM137" s="76"/>
      <c r="AN137" s="76"/>
    </row>
    <row r="138" spans="1:40" ht="17.25" customHeight="1" x14ac:dyDescent="0.3">
      <c r="A138" s="366">
        <f t="shared" si="122"/>
        <v>8</v>
      </c>
      <c r="B138" s="590" t="s">
        <v>699</v>
      </c>
      <c r="C138" s="365" t="s">
        <v>715</v>
      </c>
      <c r="D138" s="365"/>
      <c r="E138" s="468" t="s">
        <v>307</v>
      </c>
      <c r="F138" s="581">
        <v>142954.6</v>
      </c>
      <c r="G138" s="470">
        <v>380000</v>
      </c>
      <c r="H138" s="494">
        <f t="shared" si="118"/>
        <v>237045.4</v>
      </c>
      <c r="I138" s="471">
        <v>4</v>
      </c>
      <c r="J138" s="424"/>
      <c r="K138" s="495">
        <f t="shared" si="119"/>
        <v>571818.4</v>
      </c>
      <c r="L138" s="495">
        <f t="shared" si="120"/>
        <v>1520000</v>
      </c>
      <c r="M138" s="495">
        <f t="shared" si="121"/>
        <v>948181.6</v>
      </c>
      <c r="N138" s="496">
        <f t="shared" si="114"/>
        <v>0.37619631578947371</v>
      </c>
      <c r="O138" s="497">
        <f t="shared" si="115"/>
        <v>9.8028909499323796E-4</v>
      </c>
      <c r="P138" s="497">
        <f t="shared" si="115"/>
        <v>9.2159706510310804E-4</v>
      </c>
      <c r="Q138" s="497">
        <f t="shared" si="116"/>
        <v>2.4919013207077E-4</v>
      </c>
      <c r="R138" s="498">
        <f t="shared" si="117"/>
        <v>0.1083130246412131</v>
      </c>
      <c r="S138" s="545">
        <f t="shared" si="103"/>
        <v>0.31821797931583135</v>
      </c>
      <c r="T138" s="546">
        <f t="shared" si="104"/>
        <v>120922.83214001592</v>
      </c>
      <c r="U138" s="404"/>
      <c r="V138" s="476" t="str">
        <f t="shared" si="100"/>
        <v>Low</v>
      </c>
      <c r="W138" s="476" t="str">
        <f t="shared" si="101"/>
        <v>Low</v>
      </c>
      <c r="X138" s="477" t="str">
        <f t="shared" si="102"/>
        <v>Dog</v>
      </c>
      <c r="Y138" s="488"/>
      <c r="AA138" s="366"/>
      <c r="AB138" s="503"/>
      <c r="AC138" s="366"/>
      <c r="AD138" s="366"/>
      <c r="AE138" s="366"/>
      <c r="AF138" s="366"/>
      <c r="AG138" s="366"/>
      <c r="AH138" s="366"/>
      <c r="AI138" s="366"/>
      <c r="AJ138" s="366"/>
      <c r="AM138" s="76"/>
      <c r="AN138" s="76"/>
    </row>
    <row r="139" spans="1:40" ht="17.25" customHeight="1" x14ac:dyDescent="0.3">
      <c r="A139" s="366">
        <f t="shared" si="122"/>
        <v>9</v>
      </c>
      <c r="B139" s="590" t="s">
        <v>709</v>
      </c>
      <c r="C139" s="365" t="s">
        <v>714</v>
      </c>
      <c r="D139" s="365"/>
      <c r="E139" s="468" t="s">
        <v>307</v>
      </c>
      <c r="F139" s="581">
        <v>306818.15384615387</v>
      </c>
      <c r="G139" s="470">
        <v>600000</v>
      </c>
      <c r="H139" s="494">
        <f t="shared" si="118"/>
        <v>293181.84615384613</v>
      </c>
      <c r="I139" s="471">
        <v>4</v>
      </c>
      <c r="J139" s="424"/>
      <c r="K139" s="495">
        <f t="shared" si="119"/>
        <v>1227272.6153846155</v>
      </c>
      <c r="L139" s="495">
        <f t="shared" si="120"/>
        <v>2400000</v>
      </c>
      <c r="M139" s="495">
        <f t="shared" si="121"/>
        <v>1172727.3846153845</v>
      </c>
      <c r="N139" s="496">
        <f t="shared" si="114"/>
        <v>0.51136358974358975</v>
      </c>
      <c r="O139" s="497">
        <f t="shared" si="115"/>
        <v>1.5478248868314283E-3</v>
      </c>
      <c r="P139" s="497">
        <f t="shared" si="115"/>
        <v>1.1398471725538465E-3</v>
      </c>
      <c r="Q139" s="497">
        <f t="shared" si="116"/>
        <v>2.4919013207077E-4</v>
      </c>
      <c r="R139" s="498">
        <f t="shared" si="117"/>
        <v>0.1083130246412131</v>
      </c>
      <c r="S139" s="545">
        <f t="shared" si="103"/>
        <v>0.31821797931583135</v>
      </c>
      <c r="T139" s="546">
        <f t="shared" si="104"/>
        <v>190930.7875894988</v>
      </c>
      <c r="U139" s="404"/>
      <c r="V139" s="476" t="str">
        <f t="shared" si="100"/>
        <v>Low</v>
      </c>
      <c r="W139" s="476" t="str">
        <f t="shared" si="101"/>
        <v>Low</v>
      </c>
      <c r="X139" s="477" t="str">
        <f t="shared" si="102"/>
        <v>Dog</v>
      </c>
      <c r="Y139" s="488"/>
      <c r="AA139" s="366"/>
      <c r="AB139" s="503"/>
      <c r="AC139" s="366"/>
      <c r="AD139" s="366"/>
      <c r="AE139" s="366"/>
      <c r="AF139" s="366"/>
      <c r="AG139" s="366"/>
      <c r="AH139" s="366"/>
      <c r="AI139" s="366"/>
      <c r="AJ139" s="366"/>
      <c r="AM139" s="76"/>
      <c r="AN139" s="76"/>
    </row>
    <row r="140" spans="1:40" ht="17.25" customHeight="1" x14ac:dyDescent="0.3">
      <c r="A140" s="366">
        <f t="shared" si="122"/>
        <v>10</v>
      </c>
      <c r="B140" s="590" t="s">
        <v>575</v>
      </c>
      <c r="C140" s="365" t="s">
        <v>723</v>
      </c>
      <c r="D140" s="365"/>
      <c r="E140" s="468" t="s">
        <v>307</v>
      </c>
      <c r="F140" s="581">
        <v>176210</v>
      </c>
      <c r="G140" s="470">
        <v>350000</v>
      </c>
      <c r="H140" s="494">
        <f t="shared" si="118"/>
        <v>173790</v>
      </c>
      <c r="I140" s="471">
        <v>5</v>
      </c>
      <c r="J140" s="424"/>
      <c r="K140" s="495">
        <f t="shared" si="119"/>
        <v>881050</v>
      </c>
      <c r="L140" s="495">
        <f t="shared" si="120"/>
        <v>1750000</v>
      </c>
      <c r="M140" s="495">
        <f t="shared" si="121"/>
        <v>868950</v>
      </c>
      <c r="N140" s="496">
        <f t="shared" si="114"/>
        <v>0.50345714285714283</v>
      </c>
      <c r="O140" s="497">
        <f t="shared" si="115"/>
        <v>1.1286223133145832E-3</v>
      </c>
      <c r="P140" s="497">
        <f t="shared" si="115"/>
        <v>8.4458691217098689E-4</v>
      </c>
      <c r="Q140" s="497">
        <f t="shared" si="116"/>
        <v>3.1148766508846249E-4</v>
      </c>
      <c r="R140" s="498">
        <f t="shared" si="117"/>
        <v>0.13539128080151638</v>
      </c>
      <c r="S140" s="545">
        <f t="shared" si="103"/>
        <v>0.39777247414478917</v>
      </c>
      <c r="T140" s="546">
        <f t="shared" si="104"/>
        <v>139220.36595067621</v>
      </c>
      <c r="U140" s="404"/>
      <c r="V140" s="476" t="str">
        <f t="shared" si="100"/>
        <v>Low</v>
      </c>
      <c r="W140" s="476" t="str">
        <f t="shared" si="101"/>
        <v>Low</v>
      </c>
      <c r="X140" s="477" t="str">
        <f t="shared" si="102"/>
        <v>Dog</v>
      </c>
      <c r="Y140" s="488"/>
      <c r="AA140" s="366"/>
      <c r="AB140" s="503"/>
      <c r="AC140" s="366"/>
      <c r="AD140" s="366"/>
      <c r="AE140" s="366"/>
      <c r="AF140" s="366"/>
      <c r="AG140" s="366"/>
      <c r="AH140" s="366"/>
      <c r="AI140" s="366"/>
      <c r="AJ140" s="366"/>
      <c r="AM140" s="76"/>
      <c r="AN140" s="76"/>
    </row>
    <row r="141" spans="1:40" ht="17.25" customHeight="1" x14ac:dyDescent="0.3">
      <c r="A141" s="366">
        <f t="shared" si="122"/>
        <v>11</v>
      </c>
      <c r="B141" s="590" t="s">
        <v>576</v>
      </c>
      <c r="C141" s="365" t="s">
        <v>724</v>
      </c>
      <c r="D141" s="365"/>
      <c r="E141" s="468" t="s">
        <v>307</v>
      </c>
      <c r="F141" s="581">
        <v>162727.5</v>
      </c>
      <c r="G141" s="470">
        <v>350000</v>
      </c>
      <c r="H141" s="494">
        <f t="shared" si="118"/>
        <v>187272.5</v>
      </c>
      <c r="I141" s="471">
        <v>9</v>
      </c>
      <c r="J141" s="424"/>
      <c r="K141" s="495">
        <f t="shared" si="119"/>
        <v>1464547.5</v>
      </c>
      <c r="L141" s="495">
        <f t="shared" si="120"/>
        <v>3150000</v>
      </c>
      <c r="M141" s="495">
        <f t="shared" si="121"/>
        <v>1685452.5</v>
      </c>
      <c r="N141" s="496">
        <f t="shared" si="114"/>
        <v>0.46493571428571429</v>
      </c>
      <c r="O141" s="497">
        <f t="shared" si="115"/>
        <v>2.0315201639662496E-3</v>
      </c>
      <c r="P141" s="497">
        <f t="shared" si="115"/>
        <v>1.6381968152205193E-3</v>
      </c>
      <c r="Q141" s="497">
        <f t="shared" si="116"/>
        <v>5.6067779715923249E-4</v>
      </c>
      <c r="R141" s="498">
        <f t="shared" si="117"/>
        <v>0.2437043054427295</v>
      </c>
      <c r="S141" s="545">
        <f t="shared" si="103"/>
        <v>0.71599045346062051</v>
      </c>
      <c r="T141" s="546">
        <f t="shared" si="104"/>
        <v>250596.65871121717</v>
      </c>
      <c r="U141" s="404"/>
      <c r="V141" s="476" t="str">
        <f t="shared" si="100"/>
        <v>Low</v>
      </c>
      <c r="W141" s="476" t="str">
        <f t="shared" si="101"/>
        <v>Low</v>
      </c>
      <c r="X141" s="477" t="str">
        <f t="shared" si="102"/>
        <v>Dog</v>
      </c>
      <c r="Y141" s="488"/>
      <c r="AA141" s="366"/>
      <c r="AB141" s="503"/>
      <c r="AC141" s="366"/>
      <c r="AD141" s="366"/>
      <c r="AE141" s="366"/>
      <c r="AF141" s="366"/>
      <c r="AG141" s="366"/>
      <c r="AH141" s="366"/>
      <c r="AI141" s="366"/>
      <c r="AJ141" s="366"/>
      <c r="AM141" s="76"/>
      <c r="AN141" s="76"/>
    </row>
    <row r="142" spans="1:40" ht="17.25" customHeight="1" x14ac:dyDescent="0.3">
      <c r="A142" s="366">
        <f t="shared" si="122"/>
        <v>12</v>
      </c>
      <c r="B142" s="590" t="s">
        <v>698</v>
      </c>
      <c r="C142" s="365" t="s">
        <v>726</v>
      </c>
      <c r="D142" s="365"/>
      <c r="E142" s="468" t="s">
        <v>307</v>
      </c>
      <c r="F142" s="581">
        <v>67909.368421052626</v>
      </c>
      <c r="G142" s="470">
        <v>190000</v>
      </c>
      <c r="H142" s="494">
        <f t="shared" si="118"/>
        <v>122090.63157894737</v>
      </c>
      <c r="I142" s="471">
        <v>3</v>
      </c>
      <c r="J142" s="424"/>
      <c r="K142" s="495">
        <f t="shared" si="119"/>
        <v>203728.10526315786</v>
      </c>
      <c r="L142" s="495">
        <f t="shared" si="120"/>
        <v>570000</v>
      </c>
      <c r="M142" s="495">
        <f t="shared" si="121"/>
        <v>366271.89473684214</v>
      </c>
      <c r="N142" s="496">
        <f t="shared" si="114"/>
        <v>0.35741772853185588</v>
      </c>
      <c r="O142" s="497">
        <f t="shared" si="115"/>
        <v>3.6760841062246421E-4</v>
      </c>
      <c r="P142" s="497">
        <f t="shared" si="115"/>
        <v>3.5600258771023216E-4</v>
      </c>
      <c r="Q142" s="497">
        <f t="shared" si="116"/>
        <v>1.8689259905307749E-4</v>
      </c>
      <c r="R142" s="498">
        <f t="shared" si="117"/>
        <v>8.1234768480909825E-2</v>
      </c>
      <c r="S142" s="545">
        <f t="shared" si="103"/>
        <v>0.23866348448687347</v>
      </c>
      <c r="T142" s="546">
        <f t="shared" si="104"/>
        <v>45346.062052505957</v>
      </c>
      <c r="U142" s="404"/>
      <c r="V142" s="476" t="str">
        <f t="shared" si="100"/>
        <v>Low</v>
      </c>
      <c r="W142" s="476" t="str">
        <f t="shared" si="101"/>
        <v>Low</v>
      </c>
      <c r="X142" s="477" t="str">
        <f t="shared" si="102"/>
        <v>Dog</v>
      </c>
      <c r="Y142" s="488"/>
      <c r="AA142" s="366"/>
      <c r="AB142" s="503"/>
      <c r="AC142" s="366"/>
      <c r="AD142" s="366"/>
      <c r="AE142" s="366"/>
      <c r="AF142" s="366"/>
      <c r="AG142" s="366"/>
      <c r="AH142" s="366"/>
      <c r="AI142" s="366"/>
      <c r="AJ142" s="366"/>
      <c r="AM142" s="76"/>
      <c r="AN142" s="76"/>
    </row>
    <row r="143" spans="1:40" ht="17.25" customHeight="1" x14ac:dyDescent="0.3">
      <c r="A143" s="366">
        <f t="shared" si="122"/>
        <v>13</v>
      </c>
      <c r="B143" s="590" t="s">
        <v>733</v>
      </c>
      <c r="C143" s="365" t="s">
        <v>734</v>
      </c>
      <c r="D143" s="365"/>
      <c r="E143" s="468" t="s">
        <v>732</v>
      </c>
      <c r="F143" s="581">
        <v>67909.333333333328</v>
      </c>
      <c r="G143" s="470">
        <v>190000</v>
      </c>
      <c r="H143" s="494">
        <f t="shared" si="118"/>
        <v>122090.66666666667</v>
      </c>
      <c r="I143" s="471">
        <v>2</v>
      </c>
      <c r="J143" s="424"/>
      <c r="K143" s="495">
        <f t="shared" si="119"/>
        <v>135818.66666666666</v>
      </c>
      <c r="L143" s="495">
        <f t="shared" si="120"/>
        <v>380000</v>
      </c>
      <c r="M143" s="495">
        <f t="shared" si="121"/>
        <v>244181.33333333334</v>
      </c>
      <c r="N143" s="496">
        <f t="shared" si="114"/>
        <v>0.35741754385964908</v>
      </c>
      <c r="O143" s="497">
        <f t="shared" si="115"/>
        <v>2.4507227374830949E-4</v>
      </c>
      <c r="P143" s="497">
        <f t="shared" si="115"/>
        <v>2.3733512668139072E-4</v>
      </c>
      <c r="Q143" s="497">
        <f t="shared" si="116"/>
        <v>1.24595066035385E-4</v>
      </c>
      <c r="R143" s="498">
        <f t="shared" si="117"/>
        <v>5.4156512320606552E-2</v>
      </c>
      <c r="S143" s="545">
        <f t="shared" si="103"/>
        <v>0.15910898965791567</v>
      </c>
      <c r="T143" s="546">
        <f t="shared" si="104"/>
        <v>30230.70803500398</v>
      </c>
      <c r="U143" s="404"/>
      <c r="V143" s="476" t="str">
        <f t="shared" si="100"/>
        <v>Low</v>
      </c>
      <c r="W143" s="476" t="str">
        <f t="shared" si="101"/>
        <v>Low</v>
      </c>
      <c r="X143" s="477" t="str">
        <f t="shared" si="102"/>
        <v>Dog</v>
      </c>
      <c r="Y143" s="488"/>
      <c r="AA143" s="366"/>
      <c r="AB143" s="503"/>
      <c r="AC143" s="366"/>
      <c r="AD143" s="366"/>
      <c r="AE143" s="366"/>
      <c r="AF143" s="366"/>
      <c r="AG143" s="366"/>
      <c r="AH143" s="366"/>
      <c r="AI143" s="366"/>
      <c r="AJ143" s="366"/>
      <c r="AM143" s="76"/>
      <c r="AN143" s="76"/>
    </row>
    <row r="144" spans="1:40" ht="17.25" customHeight="1" x14ac:dyDescent="0.3">
      <c r="A144" s="366">
        <f t="shared" si="122"/>
        <v>14</v>
      </c>
      <c r="B144" s="590" t="s">
        <v>730</v>
      </c>
      <c r="C144" s="365" t="s">
        <v>731</v>
      </c>
      <c r="D144" s="365"/>
      <c r="E144" s="468" t="s">
        <v>732</v>
      </c>
      <c r="F144" s="581">
        <v>51954.833333333336</v>
      </c>
      <c r="G144" s="470">
        <v>150000</v>
      </c>
      <c r="H144" s="494">
        <f t="shared" si="118"/>
        <v>98045.166666666657</v>
      </c>
      <c r="I144" s="471">
        <v>17</v>
      </c>
      <c r="J144" s="424"/>
      <c r="K144" s="495">
        <f t="shared" si="119"/>
        <v>883232.16666666674</v>
      </c>
      <c r="L144" s="495">
        <f t="shared" si="120"/>
        <v>2550000</v>
      </c>
      <c r="M144" s="495">
        <f t="shared" si="121"/>
        <v>1666767.8333333333</v>
      </c>
      <c r="N144" s="496">
        <f t="shared" si="114"/>
        <v>0.34636555555555559</v>
      </c>
      <c r="O144" s="497">
        <f t="shared" si="115"/>
        <v>1.6445639422583925E-3</v>
      </c>
      <c r="P144" s="497">
        <f t="shared" si="115"/>
        <v>1.6200360177926532E-3</v>
      </c>
      <c r="Q144" s="497">
        <f t="shared" si="116"/>
        <v>1.0590580613007725E-3</v>
      </c>
      <c r="R144" s="498">
        <f t="shared" si="117"/>
        <v>0.46033035472515571</v>
      </c>
      <c r="S144" s="545">
        <f t="shared" si="103"/>
        <v>1.3524264120922831</v>
      </c>
      <c r="T144" s="546">
        <f t="shared" si="104"/>
        <v>202863.96181384247</v>
      </c>
      <c r="U144" s="404"/>
      <c r="V144" s="476" t="str">
        <f t="shared" si="100"/>
        <v>High</v>
      </c>
      <c r="W144" s="476" t="str">
        <f t="shared" si="101"/>
        <v>Low</v>
      </c>
      <c r="X144" s="477" t="str">
        <f t="shared" si="102"/>
        <v>Horse</v>
      </c>
      <c r="Y144" s="488"/>
      <c r="AA144" s="366"/>
      <c r="AB144" s="503"/>
      <c r="AC144" s="366"/>
      <c r="AD144" s="366"/>
      <c r="AE144" s="366"/>
      <c r="AF144" s="366"/>
      <c r="AG144" s="366"/>
      <c r="AH144" s="366"/>
      <c r="AI144" s="366"/>
      <c r="AJ144" s="366"/>
      <c r="AM144" s="76"/>
      <c r="AN144" s="76"/>
    </row>
    <row r="145" spans="1:40" ht="17.25" customHeight="1" x14ac:dyDescent="0.3">
      <c r="A145" s="366">
        <f t="shared" si="122"/>
        <v>15</v>
      </c>
      <c r="B145" s="590" t="s">
        <v>711</v>
      </c>
      <c r="C145" s="365" t="s">
        <v>713</v>
      </c>
      <c r="D145" s="365"/>
      <c r="E145" s="468" t="s">
        <v>307</v>
      </c>
      <c r="F145" s="581">
        <v>450000</v>
      </c>
      <c r="G145" s="470">
        <v>850000</v>
      </c>
      <c r="H145" s="494">
        <f t="shared" si="118"/>
        <v>400000</v>
      </c>
      <c r="I145" s="471">
        <v>3</v>
      </c>
      <c r="J145" s="424"/>
      <c r="K145" s="495">
        <f t="shared" si="119"/>
        <v>1350000</v>
      </c>
      <c r="L145" s="495">
        <f t="shared" si="120"/>
        <v>2550000</v>
      </c>
      <c r="M145" s="495">
        <f t="shared" si="121"/>
        <v>1200000</v>
      </c>
      <c r="N145" s="496">
        <f t="shared" si="114"/>
        <v>0.52941176470588236</v>
      </c>
      <c r="O145" s="497">
        <f t="shared" si="115"/>
        <v>1.6445639422583925E-3</v>
      </c>
      <c r="P145" s="497">
        <f t="shared" si="115"/>
        <v>1.1663551350540127E-3</v>
      </c>
      <c r="Q145" s="497">
        <f t="shared" si="116"/>
        <v>1.8689259905307749E-4</v>
      </c>
      <c r="R145" s="498">
        <f t="shared" si="117"/>
        <v>8.1234768480909825E-2</v>
      </c>
      <c r="S145" s="545">
        <f t="shared" si="103"/>
        <v>0.23866348448687347</v>
      </c>
      <c r="T145" s="546">
        <f t="shared" si="104"/>
        <v>202863.96181384244</v>
      </c>
      <c r="U145" s="404"/>
      <c r="V145" s="476" t="str">
        <f t="shared" si="100"/>
        <v>Low</v>
      </c>
      <c r="W145" s="476" t="str">
        <f t="shared" si="101"/>
        <v>Low</v>
      </c>
      <c r="X145" s="477" t="str">
        <f t="shared" si="102"/>
        <v>Dog</v>
      </c>
      <c r="Y145" s="488"/>
      <c r="AA145" s="366"/>
      <c r="AB145" s="503"/>
      <c r="AC145" s="366"/>
      <c r="AD145" s="366"/>
      <c r="AE145" s="366"/>
      <c r="AF145" s="366"/>
      <c r="AG145" s="366"/>
      <c r="AH145" s="366"/>
      <c r="AI145" s="366"/>
      <c r="AJ145" s="366"/>
      <c r="AM145" s="76"/>
      <c r="AN145" s="76"/>
    </row>
    <row r="146" spans="1:40" ht="17.25" customHeight="1" x14ac:dyDescent="0.3">
      <c r="A146" s="366"/>
      <c r="B146" s="518"/>
      <c r="C146" s="518"/>
      <c r="D146" s="495"/>
      <c r="E146" s="468"/>
      <c r="F146" s="478"/>
      <c r="G146" s="470"/>
      <c r="H146" s="494"/>
      <c r="I146" s="471"/>
      <c r="J146" s="424"/>
      <c r="K146" s="495"/>
      <c r="L146" s="495"/>
      <c r="M146" s="495"/>
      <c r="N146" s="496"/>
      <c r="O146" s="497"/>
      <c r="P146" s="497"/>
      <c r="Q146" s="497"/>
      <c r="R146" s="498"/>
      <c r="S146" s="545">
        <f t="shared" si="103"/>
        <v>0</v>
      </c>
      <c r="T146" s="546">
        <f t="shared" si="104"/>
        <v>0</v>
      </c>
      <c r="U146" s="404"/>
      <c r="V146" s="476" t="str">
        <f t="shared" si="100"/>
        <v/>
      </c>
      <c r="W146" s="476" t="str">
        <f t="shared" si="101"/>
        <v/>
      </c>
      <c r="X146" s="477" t="str">
        <f t="shared" si="102"/>
        <v/>
      </c>
      <c r="AA146" s="366"/>
      <c r="AB146" s="503"/>
      <c r="AC146" s="366"/>
      <c r="AD146" s="366"/>
      <c r="AE146" s="366"/>
      <c r="AF146" s="366"/>
      <c r="AG146" s="366"/>
      <c r="AH146" s="366"/>
      <c r="AI146" s="366"/>
      <c r="AJ146" s="366"/>
      <c r="AM146" s="76"/>
      <c r="AN146" s="76"/>
    </row>
    <row r="147" spans="1:40" ht="17.25" customHeight="1" x14ac:dyDescent="0.3">
      <c r="A147" s="453"/>
      <c r="B147" s="479" t="s">
        <v>449</v>
      </c>
      <c r="C147" s="480" t="s">
        <v>450</v>
      </c>
      <c r="D147" s="480"/>
      <c r="E147" s="480"/>
      <c r="F147" s="482"/>
      <c r="G147" s="481"/>
      <c r="H147" s="481"/>
      <c r="I147" s="483">
        <f>SUBTOTAL(9,I148:I151)</f>
        <v>1362</v>
      </c>
      <c r="J147" s="484"/>
      <c r="K147" s="480">
        <f>SUBTOTAL(9,K148:K151)</f>
        <v>23150644.708778463</v>
      </c>
      <c r="L147" s="480">
        <f>SUBTOTAL(9,L148:L151)</f>
        <v>1350000</v>
      </c>
      <c r="M147" s="480">
        <f>SUBTOTAL(9,M148:M151)</f>
        <v>-21800644.708778463</v>
      </c>
      <c r="N147" s="485">
        <f>K147/L147</f>
        <v>17.148625710206268</v>
      </c>
      <c r="O147" s="486">
        <f>L147/L$10</f>
        <v>8.7065149884267838E-4</v>
      </c>
      <c r="P147" s="486">
        <f>M147/M$10</f>
        <v>-2.1189411586309874E-2</v>
      </c>
      <c r="Q147" s="486">
        <f>I147/I$10</f>
        <v>8.484923997009719E-2</v>
      </c>
      <c r="R147" s="487">
        <f t="shared" ref="R147" si="123">I147/$K$5*100</f>
        <v>36.880584890333061</v>
      </c>
      <c r="S147" s="487">
        <f t="shared" si="103"/>
        <v>108.35322195704056</v>
      </c>
      <c r="T147" s="487">
        <f t="shared" si="104"/>
        <v>0</v>
      </c>
      <c r="U147" s="404"/>
      <c r="V147" s="476" t="str">
        <f t="shared" si="100"/>
        <v>High</v>
      </c>
      <c r="W147" s="476" t="str">
        <f t="shared" si="101"/>
        <v>Low</v>
      </c>
      <c r="X147" s="477" t="str">
        <f t="shared" si="102"/>
        <v>Horse</v>
      </c>
      <c r="AA147" s="366"/>
      <c r="AB147" s="503"/>
      <c r="AC147" s="366"/>
      <c r="AD147" s="366"/>
      <c r="AE147" s="366"/>
      <c r="AF147" s="366"/>
      <c r="AG147" s="366"/>
      <c r="AH147" s="366"/>
      <c r="AI147" s="366"/>
      <c r="AJ147" s="366"/>
      <c r="AM147" s="76"/>
      <c r="AN147" s="76"/>
    </row>
    <row r="148" spans="1:40" s="148" customFormat="1" ht="17.25" customHeight="1" x14ac:dyDescent="0.3">
      <c r="A148" s="366">
        <v>1</v>
      </c>
      <c r="B148" s="467" t="s">
        <v>453</v>
      </c>
      <c r="C148" s="365" t="s">
        <v>451</v>
      </c>
      <c r="D148" s="365"/>
      <c r="E148" s="468"/>
      <c r="F148" s="469">
        <v>1508.5797633136096</v>
      </c>
      <c r="G148" s="470"/>
      <c r="H148" s="470">
        <f>G148-F148</f>
        <v>-1508.5797633136096</v>
      </c>
      <c r="I148" s="471">
        <v>1</v>
      </c>
      <c r="J148" s="424"/>
      <c r="K148" s="472">
        <f>I148*F148*$K$5</f>
        <v>5571185.0659171604</v>
      </c>
      <c r="L148" s="424">
        <f>I148*G148</f>
        <v>0</v>
      </c>
      <c r="M148" s="424">
        <f>L148-K148</f>
        <v>-5571185.0659171604</v>
      </c>
      <c r="N148" s="473" t="e">
        <f>K148/L148</f>
        <v>#DIV/0!</v>
      </c>
      <c r="O148" s="474">
        <f>L148/L$10</f>
        <v>0</v>
      </c>
      <c r="P148" s="474">
        <f>M148/M$10</f>
        <v>-5.4149835916405898E-3</v>
      </c>
      <c r="Q148" s="474">
        <f>I148/I$10</f>
        <v>6.22975330176925E-5</v>
      </c>
      <c r="R148" s="475">
        <f>I148/$K$5*100</f>
        <v>2.7078256160303276E-2</v>
      </c>
      <c r="S148" s="545">
        <f t="shared" si="103"/>
        <v>7.9554494828957836E-2</v>
      </c>
      <c r="T148" s="546">
        <f t="shared" si="104"/>
        <v>0</v>
      </c>
      <c r="U148" s="404"/>
      <c r="V148" s="476" t="str">
        <f t="shared" si="100"/>
        <v>Low</v>
      </c>
      <c r="W148" s="476" t="str">
        <f t="shared" si="101"/>
        <v>Low</v>
      </c>
      <c r="X148" s="477" t="str">
        <f t="shared" si="102"/>
        <v>Dog</v>
      </c>
      <c r="Y148" s="374"/>
      <c r="Z148" s="571"/>
      <c r="AA148" s="366"/>
      <c r="AB148" s="503"/>
      <c r="AC148" s="366"/>
      <c r="AD148" s="366"/>
      <c r="AE148" s="366"/>
      <c r="AF148" s="366"/>
      <c r="AG148" s="366"/>
      <c r="AH148" s="366"/>
      <c r="AI148" s="366"/>
      <c r="AJ148" s="366"/>
      <c r="AK148" s="375"/>
      <c r="AL148" s="376"/>
      <c r="AM148" s="138"/>
      <c r="AN148" s="138"/>
    </row>
    <row r="149" spans="1:40" ht="17.25" customHeight="1" x14ac:dyDescent="0.3">
      <c r="A149" s="366">
        <f t="shared" ref="A149:A150" si="124">A148+1</f>
        <v>2</v>
      </c>
      <c r="B149" s="590" t="s">
        <v>728</v>
      </c>
      <c r="C149" s="365" t="s">
        <v>729</v>
      </c>
      <c r="D149" s="365"/>
      <c r="E149" s="468" t="s">
        <v>437</v>
      </c>
      <c r="F149" s="581">
        <v>13625.171352074967</v>
      </c>
      <c r="G149" s="470">
        <v>0</v>
      </c>
      <c r="H149" s="494">
        <f t="shared" ref="H149:H150" si="125">G149-F149</f>
        <v>-13625.171352074967</v>
      </c>
      <c r="I149" s="471">
        <v>1226</v>
      </c>
      <c r="J149" s="424"/>
      <c r="K149" s="495">
        <f t="shared" ref="K149:K150" si="126">I149*F149</f>
        <v>16704460.07764391</v>
      </c>
      <c r="L149" s="495">
        <f t="shared" ref="L149:L150" si="127">I149*G149</f>
        <v>0</v>
      </c>
      <c r="M149" s="495">
        <f t="shared" ref="M149:M150" si="128">L149-K149</f>
        <v>-16704460.07764391</v>
      </c>
      <c r="N149" s="496" t="e">
        <f t="shared" ref="N149:N150" si="129">K149/L149</f>
        <v>#DIV/0!</v>
      </c>
      <c r="O149" s="497">
        <f t="shared" ref="O149:P150" si="130">L149/L$10</f>
        <v>0</v>
      </c>
      <c r="P149" s="497">
        <f t="shared" si="130"/>
        <v>-1.6236110658220605E-2</v>
      </c>
      <c r="Q149" s="497">
        <f t="shared" ref="Q149:Q150" si="131">I149/I$10</f>
        <v>7.6376775479691003E-2</v>
      </c>
      <c r="R149" s="498">
        <f t="shared" ref="R149:R150" si="132">I149/$K$5*100</f>
        <v>33.197942052531815</v>
      </c>
      <c r="S149" s="545">
        <f t="shared" si="103"/>
        <v>97.533810660302294</v>
      </c>
      <c r="T149" s="546">
        <f t="shared" si="104"/>
        <v>0</v>
      </c>
      <c r="U149" s="404"/>
      <c r="V149" s="476" t="str">
        <f t="shared" si="100"/>
        <v>High</v>
      </c>
      <c r="W149" s="476" t="str">
        <f t="shared" si="101"/>
        <v>Low</v>
      </c>
      <c r="X149" s="477" t="str">
        <f t="shared" si="102"/>
        <v>Horse</v>
      </c>
      <c r="Y149" s="488"/>
      <c r="AA149" s="366"/>
      <c r="AB149" s="503"/>
      <c r="AC149" s="366"/>
      <c r="AD149" s="366"/>
      <c r="AE149" s="366"/>
      <c r="AF149" s="366"/>
      <c r="AG149" s="366"/>
      <c r="AH149" s="366"/>
      <c r="AI149" s="366"/>
      <c r="AJ149" s="366"/>
      <c r="AM149" s="76"/>
      <c r="AN149" s="76"/>
    </row>
    <row r="150" spans="1:40" ht="17.25" customHeight="1" x14ac:dyDescent="0.3">
      <c r="A150" s="366">
        <f t="shared" si="124"/>
        <v>3</v>
      </c>
      <c r="B150" s="590" t="s">
        <v>735</v>
      </c>
      <c r="C150" s="365" t="s">
        <v>737</v>
      </c>
      <c r="D150" s="365"/>
      <c r="E150" s="468" t="s">
        <v>437</v>
      </c>
      <c r="F150" s="581">
        <v>6481.478260869565</v>
      </c>
      <c r="G150" s="470">
        <v>10000</v>
      </c>
      <c r="H150" s="494">
        <f t="shared" si="125"/>
        <v>3518.521739130435</v>
      </c>
      <c r="I150" s="471">
        <v>135</v>
      </c>
      <c r="J150" s="424"/>
      <c r="K150" s="495">
        <f t="shared" si="126"/>
        <v>874999.56521739124</v>
      </c>
      <c r="L150" s="495">
        <f t="shared" si="127"/>
        <v>1350000</v>
      </c>
      <c r="M150" s="495">
        <f t="shared" si="128"/>
        <v>475000.43478260876</v>
      </c>
      <c r="N150" s="496">
        <f t="shared" si="129"/>
        <v>0.64814782608695642</v>
      </c>
      <c r="O150" s="497">
        <f t="shared" si="130"/>
        <v>8.7065149884267838E-4</v>
      </c>
      <c r="P150" s="497">
        <f t="shared" si="130"/>
        <v>4.6168266355132027E-4</v>
      </c>
      <c r="Q150" s="497">
        <f t="shared" si="131"/>
        <v>8.4101669573884881E-3</v>
      </c>
      <c r="R150" s="498">
        <f t="shared" si="132"/>
        <v>3.6555645816409426</v>
      </c>
      <c r="S150" s="545">
        <f t="shared" si="103"/>
        <v>10.739856801909308</v>
      </c>
      <c r="T150" s="546">
        <f t="shared" si="104"/>
        <v>107398.56801909309</v>
      </c>
      <c r="U150" s="404"/>
      <c r="V150" s="476" t="str">
        <f t="shared" si="100"/>
        <v>High</v>
      </c>
      <c r="W150" s="476" t="str">
        <f t="shared" si="101"/>
        <v>Low</v>
      </c>
      <c r="X150" s="477" t="str">
        <f t="shared" si="102"/>
        <v>Horse</v>
      </c>
      <c r="Y150" s="488"/>
      <c r="AA150" s="366"/>
      <c r="AB150" s="503"/>
      <c r="AC150" s="366"/>
      <c r="AD150" s="366"/>
      <c r="AE150" s="366"/>
      <c r="AF150" s="366"/>
      <c r="AG150" s="366"/>
      <c r="AH150" s="366"/>
      <c r="AI150" s="366"/>
      <c r="AJ150" s="366"/>
      <c r="AM150" s="76"/>
      <c r="AN150" s="76"/>
    </row>
    <row r="151" spans="1:40" ht="17.25" customHeight="1" x14ac:dyDescent="0.3">
      <c r="A151" s="366"/>
      <c r="B151" s="590"/>
      <c r="C151" s="365"/>
      <c r="D151" s="365"/>
      <c r="E151" s="468"/>
      <c r="F151" s="581"/>
      <c r="G151" s="470"/>
      <c r="H151" s="494"/>
      <c r="I151" s="471"/>
      <c r="J151" s="424"/>
      <c r="K151" s="495"/>
      <c r="L151" s="495"/>
      <c r="M151" s="495"/>
      <c r="N151" s="496"/>
      <c r="O151" s="497"/>
      <c r="P151" s="497"/>
      <c r="Q151" s="497"/>
      <c r="R151" s="498"/>
      <c r="S151" s="545"/>
      <c r="T151" s="546"/>
      <c r="U151" s="404"/>
      <c r="V151" s="476"/>
      <c r="W151" s="476"/>
      <c r="X151" s="477"/>
      <c r="Y151" s="488"/>
      <c r="AA151" s="366"/>
      <c r="AB151" s="503"/>
      <c r="AC151" s="366"/>
      <c r="AD151" s="366"/>
      <c r="AE151" s="366"/>
      <c r="AF151" s="366"/>
      <c r="AG151" s="366"/>
      <c r="AH151" s="366"/>
      <c r="AI151" s="366"/>
      <c r="AJ151" s="366"/>
      <c r="AM151" s="76"/>
      <c r="AN151" s="76"/>
    </row>
    <row r="152" spans="1:40" ht="17.25" customHeight="1" x14ac:dyDescent="0.3">
      <c r="A152" s="453"/>
      <c r="B152" s="479" t="s">
        <v>493</v>
      </c>
      <c r="C152" s="479" t="s">
        <v>440</v>
      </c>
      <c r="D152" s="480"/>
      <c r="E152" s="480"/>
      <c r="F152" s="480"/>
      <c r="G152" s="481"/>
      <c r="H152" s="481"/>
      <c r="I152" s="482">
        <f>SUBTOTAL(9,I153:I158)</f>
        <v>3163</v>
      </c>
      <c r="J152" s="484"/>
      <c r="K152" s="480">
        <f>SUBTOTAL(9,K153:K158)</f>
        <v>1808994.7293023255</v>
      </c>
      <c r="L152" s="480">
        <f>SUBTOTAL(9,L153:L158)</f>
        <v>9489000</v>
      </c>
      <c r="M152" s="480">
        <f>SUBTOTAL(9,M153:M158)</f>
        <v>7680005.2706976747</v>
      </c>
      <c r="N152" s="485">
        <f t="shared" ref="N152:N157" si="133">K152/L152</f>
        <v>0.19064124031007751</v>
      </c>
      <c r="O152" s="486">
        <f t="shared" ref="O152:P157" si="134">L152/L$10</f>
        <v>6.1197126463097594E-3</v>
      </c>
      <c r="P152" s="486">
        <f t="shared" si="134"/>
        <v>7.4646779872667626E-3</v>
      </c>
      <c r="Q152" s="486">
        <f t="shared" ref="Q152:Q157" si="135">I152/I$10</f>
        <v>0.19704709693496136</v>
      </c>
      <c r="R152" s="487">
        <f t="shared" ref="R152:R157" si="136">I152/$K$5*100</f>
        <v>85.648524235039261</v>
      </c>
      <c r="S152" s="487">
        <f t="shared" si="103"/>
        <v>251.63086714399361</v>
      </c>
      <c r="T152" s="487">
        <f t="shared" si="104"/>
        <v>0</v>
      </c>
      <c r="U152" s="404"/>
      <c r="V152" s="476" t="str">
        <f t="shared" si="100"/>
        <v>High</v>
      </c>
      <c r="W152" s="476" t="str">
        <f t="shared" si="101"/>
        <v>Low</v>
      </c>
      <c r="X152" s="477" t="str">
        <f t="shared" si="102"/>
        <v>Horse</v>
      </c>
      <c r="AA152" s="366"/>
      <c r="AB152" s="503"/>
      <c r="AC152" s="366"/>
      <c r="AD152" s="366"/>
      <c r="AE152" s="366"/>
      <c r="AF152" s="366"/>
      <c r="AG152" s="366"/>
      <c r="AH152" s="366"/>
      <c r="AI152" s="366"/>
      <c r="AJ152" s="366"/>
      <c r="AM152" s="76"/>
      <c r="AN152" s="76"/>
    </row>
    <row r="153" spans="1:40" ht="17.25" customHeight="1" x14ac:dyDescent="0.3">
      <c r="A153" s="366">
        <v>1</v>
      </c>
      <c r="B153" s="518" t="s">
        <v>568</v>
      </c>
      <c r="C153" s="365" t="s">
        <v>727</v>
      </c>
      <c r="D153" s="365"/>
      <c r="E153" s="468" t="s">
        <v>431</v>
      </c>
      <c r="F153" s="581">
        <v>571.92372093023255</v>
      </c>
      <c r="G153" s="470">
        <v>3000</v>
      </c>
      <c r="H153" s="494">
        <f t="shared" ref="H153:H157" si="137">G153-F153</f>
        <v>2428.0762790697672</v>
      </c>
      <c r="I153" s="471">
        <v>3163</v>
      </c>
      <c r="J153" s="424"/>
      <c r="K153" s="495">
        <f t="shared" ref="K153:K157" si="138">I153*F153</f>
        <v>1808994.7293023255</v>
      </c>
      <c r="L153" s="495">
        <f t="shared" ref="L153:L157" si="139">I153*G153</f>
        <v>9489000</v>
      </c>
      <c r="M153" s="495">
        <f t="shared" ref="M153:M157" si="140">L153-K153</f>
        <v>7680005.2706976747</v>
      </c>
      <c r="N153" s="496">
        <f t="shared" si="133"/>
        <v>0.19064124031007751</v>
      </c>
      <c r="O153" s="497">
        <f t="shared" si="134"/>
        <v>6.1197126463097594E-3</v>
      </c>
      <c r="P153" s="497">
        <f t="shared" si="134"/>
        <v>7.4646779872667626E-3</v>
      </c>
      <c r="Q153" s="497">
        <f t="shared" si="135"/>
        <v>0.19704709693496136</v>
      </c>
      <c r="R153" s="498">
        <f t="shared" si="136"/>
        <v>85.648524235039261</v>
      </c>
      <c r="S153" s="545">
        <f t="shared" si="103"/>
        <v>251.63086714399361</v>
      </c>
      <c r="T153" s="546">
        <f t="shared" si="104"/>
        <v>754892.60143198085</v>
      </c>
      <c r="U153" s="404"/>
      <c r="V153" s="476" t="str">
        <f t="shared" si="100"/>
        <v>High</v>
      </c>
      <c r="W153" s="476" t="str">
        <f t="shared" si="101"/>
        <v>Low</v>
      </c>
      <c r="X153" s="477" t="str">
        <f t="shared" si="102"/>
        <v>Horse</v>
      </c>
      <c r="AA153" s="366"/>
      <c r="AB153" s="503"/>
      <c r="AC153" s="366"/>
      <c r="AD153" s="366"/>
      <c r="AE153" s="366"/>
      <c r="AF153" s="366"/>
      <c r="AG153" s="366"/>
      <c r="AH153" s="366"/>
      <c r="AI153" s="366"/>
      <c r="AJ153" s="366"/>
      <c r="AM153" s="76"/>
      <c r="AN153" s="76"/>
    </row>
    <row r="154" spans="1:40" ht="17.25" customHeight="1" x14ac:dyDescent="0.3">
      <c r="A154" s="366">
        <f t="shared" ref="A154:A157" si="141">A153+1</f>
        <v>2</v>
      </c>
      <c r="B154" s="518" t="s">
        <v>516</v>
      </c>
      <c r="C154" s="365" t="s">
        <v>551</v>
      </c>
      <c r="D154" s="365"/>
      <c r="E154" s="468" t="s">
        <v>307</v>
      </c>
      <c r="F154" s="478"/>
      <c r="G154" s="470">
        <v>100000</v>
      </c>
      <c r="H154" s="494">
        <f t="shared" si="137"/>
        <v>100000</v>
      </c>
      <c r="I154" s="471">
        <v>0</v>
      </c>
      <c r="J154" s="424"/>
      <c r="K154" s="495">
        <f t="shared" si="138"/>
        <v>0</v>
      </c>
      <c r="L154" s="495">
        <f t="shared" si="139"/>
        <v>0</v>
      </c>
      <c r="M154" s="495">
        <f t="shared" si="140"/>
        <v>0</v>
      </c>
      <c r="N154" s="496" t="e">
        <f t="shared" si="133"/>
        <v>#DIV/0!</v>
      </c>
      <c r="O154" s="497">
        <f t="shared" si="134"/>
        <v>0</v>
      </c>
      <c r="P154" s="497">
        <f t="shared" si="134"/>
        <v>0</v>
      </c>
      <c r="Q154" s="497">
        <f t="shared" si="135"/>
        <v>0</v>
      </c>
      <c r="R154" s="498">
        <f t="shared" si="136"/>
        <v>0</v>
      </c>
      <c r="S154" s="545">
        <f t="shared" si="103"/>
        <v>0</v>
      </c>
      <c r="T154" s="546">
        <f t="shared" si="104"/>
        <v>0</v>
      </c>
      <c r="U154" s="404"/>
      <c r="V154" s="476" t="str">
        <f t="shared" si="100"/>
        <v>Low</v>
      </c>
      <c r="W154" s="476" t="str">
        <f t="shared" si="101"/>
        <v>Low</v>
      </c>
      <c r="X154" s="477" t="str">
        <f t="shared" si="102"/>
        <v>Dog</v>
      </c>
      <c r="AA154" s="366"/>
      <c r="AB154" s="503"/>
      <c r="AC154" s="366"/>
      <c r="AD154" s="366"/>
      <c r="AE154" s="366"/>
      <c r="AF154" s="366"/>
      <c r="AG154" s="366"/>
      <c r="AH154" s="366"/>
      <c r="AI154" s="366"/>
      <c r="AJ154" s="366"/>
      <c r="AM154" s="76"/>
      <c r="AN154" s="76"/>
    </row>
    <row r="155" spans="1:40" ht="26" x14ac:dyDescent="0.3">
      <c r="A155" s="366">
        <f t="shared" si="141"/>
        <v>3</v>
      </c>
      <c r="B155" s="518" t="s">
        <v>517</v>
      </c>
      <c r="C155" s="365" t="s">
        <v>552</v>
      </c>
      <c r="D155" s="365"/>
      <c r="E155" s="468" t="s">
        <v>553</v>
      </c>
      <c r="F155" s="478"/>
      <c r="G155" s="470">
        <v>150000</v>
      </c>
      <c r="H155" s="494">
        <f t="shared" si="137"/>
        <v>150000</v>
      </c>
      <c r="I155" s="471">
        <v>0</v>
      </c>
      <c r="J155" s="424"/>
      <c r="K155" s="495">
        <f t="shared" si="138"/>
        <v>0</v>
      </c>
      <c r="L155" s="495">
        <f t="shared" si="139"/>
        <v>0</v>
      </c>
      <c r="M155" s="495">
        <f t="shared" si="140"/>
        <v>0</v>
      </c>
      <c r="N155" s="496" t="e">
        <f t="shared" si="133"/>
        <v>#DIV/0!</v>
      </c>
      <c r="O155" s="497">
        <f t="shared" si="134"/>
        <v>0</v>
      </c>
      <c r="P155" s="497">
        <f t="shared" si="134"/>
        <v>0</v>
      </c>
      <c r="Q155" s="497">
        <f t="shared" si="135"/>
        <v>0</v>
      </c>
      <c r="R155" s="498">
        <f t="shared" si="136"/>
        <v>0</v>
      </c>
      <c r="S155" s="545">
        <f t="shared" si="103"/>
        <v>0</v>
      </c>
      <c r="T155" s="546">
        <f t="shared" si="104"/>
        <v>0</v>
      </c>
      <c r="U155" s="404"/>
      <c r="V155" s="476" t="str">
        <f t="shared" si="100"/>
        <v>Low</v>
      </c>
      <c r="W155" s="476" t="str">
        <f t="shared" si="101"/>
        <v>Low</v>
      </c>
      <c r="X155" s="477" t="str">
        <f t="shared" si="102"/>
        <v>Dog</v>
      </c>
      <c r="Y155" s="488"/>
      <c r="Z155" s="465"/>
      <c r="AA155" s="366"/>
      <c r="AB155" s="503"/>
      <c r="AC155" s="366"/>
      <c r="AD155" s="366"/>
      <c r="AE155" s="366"/>
      <c r="AF155" s="366"/>
      <c r="AG155" s="366"/>
      <c r="AH155" s="366"/>
      <c r="AI155" s="366"/>
      <c r="AJ155" s="366"/>
      <c r="AM155" s="76"/>
      <c r="AN155" s="76"/>
    </row>
    <row r="156" spans="1:40" ht="17.25" customHeight="1" x14ac:dyDescent="0.3">
      <c r="A156" s="366">
        <f t="shared" si="141"/>
        <v>4</v>
      </c>
      <c r="B156" s="518" t="s">
        <v>518</v>
      </c>
      <c r="C156" s="365" t="s">
        <v>554</v>
      </c>
      <c r="D156" s="365"/>
      <c r="E156" s="468" t="s">
        <v>415</v>
      </c>
      <c r="F156" s="478"/>
      <c r="G156" s="470">
        <v>50000</v>
      </c>
      <c r="H156" s="494">
        <f t="shared" si="137"/>
        <v>50000</v>
      </c>
      <c r="I156" s="471">
        <v>0</v>
      </c>
      <c r="J156" s="424"/>
      <c r="K156" s="495">
        <f t="shared" si="138"/>
        <v>0</v>
      </c>
      <c r="L156" s="495">
        <f t="shared" si="139"/>
        <v>0</v>
      </c>
      <c r="M156" s="495">
        <f t="shared" si="140"/>
        <v>0</v>
      </c>
      <c r="N156" s="496" t="e">
        <f t="shared" si="133"/>
        <v>#DIV/0!</v>
      </c>
      <c r="O156" s="497">
        <f t="shared" si="134"/>
        <v>0</v>
      </c>
      <c r="P156" s="497">
        <f t="shared" si="134"/>
        <v>0</v>
      </c>
      <c r="Q156" s="497">
        <f t="shared" si="135"/>
        <v>0</v>
      </c>
      <c r="R156" s="498">
        <f t="shared" si="136"/>
        <v>0</v>
      </c>
      <c r="S156" s="545">
        <f t="shared" si="103"/>
        <v>0</v>
      </c>
      <c r="T156" s="546">
        <f t="shared" si="104"/>
        <v>0</v>
      </c>
      <c r="U156" s="404"/>
      <c r="V156" s="476" t="str">
        <f t="shared" si="100"/>
        <v>Low</v>
      </c>
      <c r="W156" s="476" t="str">
        <f t="shared" si="101"/>
        <v>Low</v>
      </c>
      <c r="X156" s="477" t="str">
        <f t="shared" si="102"/>
        <v>Dog</v>
      </c>
      <c r="Y156" s="571"/>
      <c r="AA156" s="366"/>
      <c r="AB156" s="503"/>
      <c r="AC156" s="366"/>
      <c r="AD156" s="366"/>
      <c r="AE156" s="366"/>
      <c r="AF156" s="366"/>
      <c r="AG156" s="366"/>
      <c r="AH156" s="366"/>
      <c r="AI156" s="366"/>
      <c r="AJ156" s="366"/>
      <c r="AM156" s="76"/>
      <c r="AN156" s="76"/>
    </row>
    <row r="157" spans="1:40" ht="17.25" customHeight="1" x14ac:dyDescent="0.3">
      <c r="A157" s="366">
        <f t="shared" si="141"/>
        <v>5</v>
      </c>
      <c r="B157" s="518" t="s">
        <v>519</v>
      </c>
      <c r="C157" s="365" t="s">
        <v>441</v>
      </c>
      <c r="D157" s="365"/>
      <c r="E157" s="468" t="s">
        <v>38</v>
      </c>
      <c r="F157" s="478"/>
      <c r="G157" s="470">
        <v>80000</v>
      </c>
      <c r="H157" s="494">
        <f t="shared" si="137"/>
        <v>80000</v>
      </c>
      <c r="I157" s="471">
        <v>0</v>
      </c>
      <c r="J157" s="424"/>
      <c r="K157" s="495">
        <f t="shared" si="138"/>
        <v>0</v>
      </c>
      <c r="L157" s="495">
        <f t="shared" si="139"/>
        <v>0</v>
      </c>
      <c r="M157" s="495">
        <f t="shared" si="140"/>
        <v>0</v>
      </c>
      <c r="N157" s="496" t="e">
        <f t="shared" si="133"/>
        <v>#DIV/0!</v>
      </c>
      <c r="O157" s="497">
        <f t="shared" si="134"/>
        <v>0</v>
      </c>
      <c r="P157" s="497">
        <f t="shared" si="134"/>
        <v>0</v>
      </c>
      <c r="Q157" s="497">
        <f t="shared" si="135"/>
        <v>0</v>
      </c>
      <c r="R157" s="498">
        <f t="shared" si="136"/>
        <v>0</v>
      </c>
      <c r="S157" s="545">
        <f t="shared" si="103"/>
        <v>0</v>
      </c>
      <c r="T157" s="546">
        <f t="shared" si="104"/>
        <v>0</v>
      </c>
      <c r="U157" s="404"/>
      <c r="V157" s="476" t="str">
        <f t="shared" si="100"/>
        <v>Low</v>
      </c>
      <c r="W157" s="476" t="str">
        <f t="shared" si="101"/>
        <v>Low</v>
      </c>
      <c r="X157" s="477" t="str">
        <f t="shared" si="102"/>
        <v>Dog</v>
      </c>
      <c r="Y157" s="571"/>
      <c r="AM157" s="76"/>
      <c r="AN157" s="76"/>
    </row>
    <row r="158" spans="1:40" ht="17.25" customHeight="1" x14ac:dyDescent="0.3">
      <c r="A158" s="366"/>
      <c r="B158" s="519"/>
      <c r="C158" s="520"/>
      <c r="D158" s="520"/>
      <c r="E158" s="521"/>
      <c r="F158" s="522"/>
      <c r="G158" s="523"/>
      <c r="H158" s="524"/>
      <c r="I158" s="525"/>
      <c r="J158" s="499"/>
      <c r="K158" s="526"/>
      <c r="L158" s="526"/>
      <c r="M158" s="526"/>
      <c r="N158" s="527"/>
      <c r="O158" s="528"/>
      <c r="P158" s="528"/>
      <c r="Q158" s="528"/>
      <c r="R158" s="529"/>
      <c r="S158" s="549">
        <f t="shared" si="103"/>
        <v>0</v>
      </c>
      <c r="T158" s="550">
        <f t="shared" si="104"/>
        <v>0</v>
      </c>
      <c r="U158" s="404"/>
      <c r="V158" s="476" t="str">
        <f t="shared" si="100"/>
        <v/>
      </c>
      <c r="W158" s="476" t="str">
        <f t="shared" si="101"/>
        <v/>
      </c>
      <c r="X158" s="477" t="str">
        <f t="shared" si="102"/>
        <v/>
      </c>
      <c r="Y158" s="571"/>
      <c r="AM158" s="76"/>
      <c r="AN158" s="76"/>
    </row>
    <row r="159" spans="1:40" ht="17.25" customHeight="1" x14ac:dyDescent="0.3">
      <c r="U159" s="465"/>
      <c r="V159" s="571" t="str">
        <f t="shared" si="100"/>
        <v/>
      </c>
      <c r="W159" s="571" t="str">
        <f t="shared" si="101"/>
        <v/>
      </c>
      <c r="X159" s="571" t="str">
        <f t="shared" si="102"/>
        <v/>
      </c>
      <c r="AM159" s="76"/>
      <c r="AN159" s="76"/>
    </row>
    <row r="160" spans="1:40" s="148" customFormat="1" ht="17.25" customHeight="1" x14ac:dyDescent="0.3">
      <c r="A160" s="571"/>
      <c r="B160" s="571"/>
      <c r="C160" s="571"/>
      <c r="D160" s="571"/>
      <c r="E160" s="530"/>
      <c r="F160" s="503"/>
      <c r="G160" s="571" t="s">
        <v>736</v>
      </c>
      <c r="H160" s="571"/>
      <c r="I160" s="401"/>
      <c r="J160" s="571"/>
      <c r="K160" s="571"/>
      <c r="L160" s="571"/>
      <c r="M160" s="571"/>
      <c r="N160" s="571"/>
      <c r="O160" s="571"/>
      <c r="P160" s="571"/>
      <c r="Q160" s="571"/>
      <c r="R160" s="571"/>
      <c r="S160" s="571"/>
      <c r="T160" s="571"/>
      <c r="U160" s="465"/>
      <c r="V160" s="571" t="str">
        <f t="shared" si="100"/>
        <v/>
      </c>
      <c r="W160" s="571" t="str">
        <f t="shared" si="101"/>
        <v/>
      </c>
      <c r="X160" s="571" t="str">
        <f t="shared" si="102"/>
        <v/>
      </c>
      <c r="Y160" s="374"/>
      <c r="Z160" s="571"/>
      <c r="AA160" s="571"/>
      <c r="AB160" s="571"/>
      <c r="AC160" s="571"/>
      <c r="AD160" s="571"/>
      <c r="AE160" s="571"/>
      <c r="AF160" s="571"/>
      <c r="AG160" s="571"/>
      <c r="AH160" s="571"/>
      <c r="AI160" s="571"/>
      <c r="AJ160" s="571"/>
      <c r="AK160" s="375"/>
      <c r="AL160" s="376"/>
      <c r="AM160" s="138"/>
      <c r="AN160" s="138"/>
    </row>
    <row r="161" spans="1:40" ht="17.25" customHeight="1" x14ac:dyDescent="0.3">
      <c r="V161" s="571"/>
      <c r="W161" s="571"/>
      <c r="X161" s="571"/>
      <c r="AM161" s="76"/>
      <c r="AN161" s="76"/>
    </row>
    <row r="162" spans="1:40" ht="17.25" customHeight="1" x14ac:dyDescent="0.3">
      <c r="AM162" s="76"/>
      <c r="AN162" s="76"/>
    </row>
    <row r="163" spans="1:40" ht="17.25" customHeight="1" x14ac:dyDescent="0.3">
      <c r="AM163" s="76"/>
      <c r="AN163" s="76"/>
    </row>
    <row r="164" spans="1:40" ht="17.25" customHeight="1" x14ac:dyDescent="0.3">
      <c r="AM164" s="76"/>
      <c r="AN164" s="76"/>
    </row>
    <row r="165" spans="1:40" s="148" customFormat="1" ht="17.25" customHeight="1" x14ac:dyDescent="0.3">
      <c r="A165" s="571"/>
      <c r="B165" s="571"/>
      <c r="C165" s="571"/>
      <c r="D165" s="571"/>
      <c r="E165" s="530"/>
      <c r="F165" s="503"/>
      <c r="G165" s="571"/>
      <c r="H165" s="571"/>
      <c r="I165" s="401"/>
      <c r="J165" s="571"/>
      <c r="K165" s="571"/>
      <c r="L165" s="571"/>
      <c r="M165" s="571"/>
      <c r="N165" s="571"/>
      <c r="O165" s="571"/>
      <c r="P165" s="571"/>
      <c r="Q165" s="571"/>
      <c r="R165" s="571"/>
      <c r="S165" s="571"/>
      <c r="T165" s="571"/>
      <c r="U165" s="571"/>
      <c r="V165" s="374"/>
      <c r="W165" s="374"/>
      <c r="X165" s="374"/>
      <c r="Y165" s="374"/>
      <c r="Z165" s="571"/>
      <c r="AA165" s="571"/>
      <c r="AB165" s="571"/>
      <c r="AC165" s="571"/>
      <c r="AD165" s="571"/>
      <c r="AE165" s="571"/>
      <c r="AF165" s="571"/>
      <c r="AG165" s="571"/>
      <c r="AH165" s="571"/>
      <c r="AI165" s="571"/>
      <c r="AJ165" s="571"/>
      <c r="AK165" s="375"/>
      <c r="AL165" s="376"/>
      <c r="AM165" s="138"/>
      <c r="AN165" s="138"/>
    </row>
    <row r="166" spans="1:40" ht="17.25" customHeight="1" x14ac:dyDescent="0.3">
      <c r="AM166" s="76"/>
      <c r="AN166" s="76"/>
    </row>
    <row r="167" spans="1:40" ht="17.25" customHeight="1" x14ac:dyDescent="0.3">
      <c r="AM167" s="76"/>
      <c r="AN167" s="76"/>
    </row>
    <row r="168" spans="1:40" ht="17.25" customHeight="1" x14ac:dyDescent="0.3">
      <c r="AM168" s="76"/>
      <c r="AN168" s="76"/>
    </row>
    <row r="169" spans="1:40" ht="17.25" customHeight="1" x14ac:dyDescent="0.3">
      <c r="AM169" s="76"/>
      <c r="AN169" s="76"/>
    </row>
    <row r="170" spans="1:40" ht="17.25" customHeight="1" x14ac:dyDescent="0.3">
      <c r="AM170" s="76"/>
      <c r="AN170" s="76"/>
    </row>
    <row r="171" spans="1:40" ht="17.25" customHeight="1" x14ac:dyDescent="0.3">
      <c r="AM171" s="76"/>
      <c r="AN171" s="76"/>
    </row>
    <row r="172" spans="1:40" ht="17.25" customHeight="1" x14ac:dyDescent="0.3">
      <c r="AM172" s="76"/>
      <c r="AN172" s="76"/>
    </row>
    <row r="173" spans="1:40" ht="17.25" customHeight="1" x14ac:dyDescent="0.3">
      <c r="AM173" s="76"/>
      <c r="AN173" s="76"/>
    </row>
    <row r="174" spans="1:40" ht="17.25" customHeight="1" x14ac:dyDescent="0.3">
      <c r="AM174" s="76"/>
      <c r="AN174" s="76"/>
    </row>
    <row r="175" spans="1:40" ht="17.25" customHeight="1" x14ac:dyDescent="0.3">
      <c r="AM175" s="76"/>
      <c r="AN175" s="76"/>
    </row>
    <row r="176" spans="1:40" ht="17.25" customHeight="1" x14ac:dyDescent="0.3">
      <c r="AM176" s="76"/>
      <c r="AN176" s="76"/>
    </row>
    <row r="177" spans="1:40" ht="17.25" customHeight="1" x14ac:dyDescent="0.3">
      <c r="AM177" s="76"/>
      <c r="AN177" s="76"/>
    </row>
    <row r="178" spans="1:40" ht="17.25" customHeight="1" x14ac:dyDescent="0.3">
      <c r="AM178" s="76"/>
      <c r="AN178" s="76"/>
    </row>
    <row r="179" spans="1:40" ht="17.25" customHeight="1" x14ac:dyDescent="0.3">
      <c r="AM179" s="76"/>
      <c r="AN179" s="76"/>
    </row>
    <row r="180" spans="1:40" ht="17.25" customHeight="1" x14ac:dyDescent="0.3">
      <c r="AM180" s="76"/>
      <c r="AN180" s="76"/>
    </row>
    <row r="181" spans="1:40" ht="17.25" customHeight="1" x14ac:dyDescent="0.3">
      <c r="AM181" s="76"/>
      <c r="AN181" s="76"/>
    </row>
    <row r="182" spans="1:40" ht="17.25" customHeight="1" x14ac:dyDescent="0.3">
      <c r="AM182" s="76"/>
      <c r="AN182" s="76"/>
    </row>
    <row r="183" spans="1:40" ht="17.25" customHeight="1" x14ac:dyDescent="0.3">
      <c r="AM183" s="76"/>
      <c r="AN183" s="76"/>
    </row>
    <row r="184" spans="1:40" s="148" customFormat="1" ht="17.25" customHeight="1" x14ac:dyDescent="0.3">
      <c r="A184" s="571"/>
      <c r="B184" s="571"/>
      <c r="C184" s="571"/>
      <c r="D184" s="571"/>
      <c r="E184" s="530"/>
      <c r="F184" s="503"/>
      <c r="G184" s="571"/>
      <c r="H184" s="571"/>
      <c r="I184" s="401"/>
      <c r="J184" s="571"/>
      <c r="K184" s="571"/>
      <c r="L184" s="571"/>
      <c r="M184" s="571"/>
      <c r="N184" s="571"/>
      <c r="O184" s="571"/>
      <c r="P184" s="571"/>
      <c r="Q184" s="571"/>
      <c r="R184" s="571"/>
      <c r="S184" s="571"/>
      <c r="T184" s="571"/>
      <c r="U184" s="571"/>
      <c r="V184" s="374"/>
      <c r="W184" s="374"/>
      <c r="X184" s="374"/>
      <c r="Y184" s="374"/>
      <c r="Z184" s="571"/>
      <c r="AA184" s="571"/>
      <c r="AB184" s="571"/>
      <c r="AC184" s="571"/>
      <c r="AD184" s="571"/>
      <c r="AE184" s="571"/>
      <c r="AF184" s="571"/>
      <c r="AG184" s="571"/>
      <c r="AH184" s="571"/>
      <c r="AI184" s="571"/>
      <c r="AJ184" s="571"/>
      <c r="AK184" s="375"/>
      <c r="AL184" s="376"/>
      <c r="AM184" s="138"/>
      <c r="AN184" s="138"/>
    </row>
    <row r="185" spans="1:40" ht="17.25" customHeight="1" x14ac:dyDescent="0.3">
      <c r="AM185" s="76"/>
      <c r="AN185" s="76"/>
    </row>
    <row r="186" spans="1:40" ht="17.25" customHeight="1" x14ac:dyDescent="0.3">
      <c r="AM186" s="76"/>
      <c r="AN186" s="76"/>
    </row>
    <row r="187" spans="1:40" ht="17.25" customHeight="1" x14ac:dyDescent="0.3">
      <c r="AM187" s="76"/>
      <c r="AN187" s="76"/>
    </row>
    <row r="188" spans="1:40" s="148" customFormat="1" ht="17.25" customHeight="1" x14ac:dyDescent="0.3">
      <c r="A188" s="571"/>
      <c r="B188" s="571"/>
      <c r="C188" s="571"/>
      <c r="D188" s="571"/>
      <c r="E188" s="530"/>
      <c r="F188" s="503"/>
      <c r="G188" s="571"/>
      <c r="H188" s="571"/>
      <c r="I188" s="401"/>
      <c r="J188" s="571"/>
      <c r="K188" s="571"/>
      <c r="L188" s="571"/>
      <c r="M188" s="571"/>
      <c r="N188" s="571"/>
      <c r="O188" s="571"/>
      <c r="P188" s="571"/>
      <c r="Q188" s="571"/>
      <c r="R188" s="571"/>
      <c r="S188" s="571"/>
      <c r="T188" s="571"/>
      <c r="U188" s="571"/>
      <c r="V188" s="374"/>
      <c r="W188" s="374"/>
      <c r="X188" s="374"/>
      <c r="Y188" s="374"/>
      <c r="Z188" s="571"/>
      <c r="AA188" s="571"/>
      <c r="AB188" s="571"/>
      <c r="AC188" s="571"/>
      <c r="AD188" s="571"/>
      <c r="AE188" s="571"/>
      <c r="AF188" s="571"/>
      <c r="AG188" s="571"/>
      <c r="AH188" s="571"/>
      <c r="AI188" s="571"/>
      <c r="AJ188" s="571"/>
      <c r="AK188" s="375"/>
      <c r="AL188" s="376"/>
      <c r="AM188" s="138"/>
      <c r="AN188" s="138"/>
    </row>
    <row r="189" spans="1:40" ht="17.25" customHeight="1" x14ac:dyDescent="0.3">
      <c r="AM189" s="76"/>
      <c r="AN189" s="76"/>
    </row>
    <row r="190" spans="1:40" ht="17.25" customHeight="1" x14ac:dyDescent="0.3">
      <c r="AM190" s="76"/>
      <c r="AN190" s="76"/>
    </row>
    <row r="191" spans="1:40" ht="17.25" customHeight="1" x14ac:dyDescent="0.3">
      <c r="AM191" s="76"/>
      <c r="AN191" s="76"/>
    </row>
    <row r="192" spans="1:40" ht="17.25" customHeight="1" x14ac:dyDescent="0.3">
      <c r="AM192" s="76"/>
      <c r="AN192" s="76"/>
    </row>
    <row r="193" spans="1:40" ht="17.25" customHeight="1" x14ac:dyDescent="0.3">
      <c r="AM193" s="76"/>
      <c r="AN193" s="76"/>
    </row>
    <row r="194" spans="1:40" ht="17.25" customHeight="1" x14ac:dyDescent="0.3">
      <c r="AM194" s="76"/>
      <c r="AN194" s="76"/>
    </row>
    <row r="195" spans="1:40" ht="17.25" customHeight="1" x14ac:dyDescent="0.3">
      <c r="AM195" s="76"/>
      <c r="AN195" s="76"/>
    </row>
    <row r="196" spans="1:40" ht="17.25" customHeight="1" x14ac:dyDescent="0.3">
      <c r="AM196" s="76"/>
      <c r="AN196" s="76"/>
    </row>
    <row r="197" spans="1:40" ht="17.25" customHeight="1" x14ac:dyDescent="0.3">
      <c r="AM197" s="76"/>
      <c r="AN197" s="76"/>
    </row>
    <row r="198" spans="1:40" ht="17.25" customHeight="1" x14ac:dyDescent="0.3">
      <c r="AM198" s="76"/>
      <c r="AN198" s="76"/>
    </row>
    <row r="199" spans="1:40" ht="17.25" customHeight="1" x14ac:dyDescent="0.3">
      <c r="AM199" s="76"/>
      <c r="AN199" s="76"/>
    </row>
    <row r="200" spans="1:40" ht="17.25" customHeight="1" x14ac:dyDescent="0.3">
      <c r="AM200" s="76"/>
      <c r="AN200" s="76"/>
    </row>
    <row r="201" spans="1:40" ht="17.25" customHeight="1" x14ac:dyDescent="0.3">
      <c r="AM201" s="76"/>
      <c r="AN201" s="76"/>
    </row>
    <row r="202" spans="1:40" ht="17.25" customHeight="1" x14ac:dyDescent="0.3">
      <c r="AM202" s="76"/>
      <c r="AN202" s="76"/>
    </row>
    <row r="203" spans="1:40" ht="17.25" customHeight="1" x14ac:dyDescent="0.3">
      <c r="AM203" s="76"/>
      <c r="AN203" s="76"/>
    </row>
    <row r="204" spans="1:40" ht="17.25" customHeight="1" x14ac:dyDescent="0.3">
      <c r="AM204" s="76"/>
      <c r="AN204" s="76"/>
    </row>
    <row r="205" spans="1:40" ht="17.25" customHeight="1" x14ac:dyDescent="0.3">
      <c r="AM205" s="76"/>
      <c r="AN205" s="76"/>
    </row>
    <row r="206" spans="1:40" ht="17.25" customHeight="1" x14ac:dyDescent="0.3">
      <c r="AM206" s="76"/>
      <c r="AN206" s="76"/>
    </row>
    <row r="207" spans="1:40" s="148" customFormat="1" ht="17.25" customHeight="1" x14ac:dyDescent="0.3">
      <c r="A207" s="571"/>
      <c r="B207" s="571"/>
      <c r="C207" s="571"/>
      <c r="D207" s="571"/>
      <c r="E207" s="530"/>
      <c r="F207" s="503"/>
      <c r="G207" s="571"/>
      <c r="H207" s="571"/>
      <c r="I207" s="401"/>
      <c r="J207" s="571"/>
      <c r="K207" s="571"/>
      <c r="L207" s="571"/>
      <c r="M207" s="571"/>
      <c r="N207" s="571"/>
      <c r="O207" s="571"/>
      <c r="P207" s="571"/>
      <c r="Q207" s="571"/>
      <c r="R207" s="571"/>
      <c r="S207" s="571"/>
      <c r="T207" s="571"/>
      <c r="U207" s="571"/>
      <c r="V207" s="374"/>
      <c r="W207" s="374"/>
      <c r="X207" s="374"/>
      <c r="Y207" s="374"/>
      <c r="Z207" s="571"/>
      <c r="AA207" s="571"/>
      <c r="AB207" s="571"/>
      <c r="AC207" s="571"/>
      <c r="AD207" s="571"/>
      <c r="AE207" s="571"/>
      <c r="AF207" s="571"/>
      <c r="AG207" s="571"/>
      <c r="AH207" s="571"/>
      <c r="AI207" s="571"/>
      <c r="AJ207" s="571"/>
      <c r="AK207" s="375"/>
      <c r="AL207" s="376"/>
      <c r="AM207" s="138"/>
      <c r="AN207" s="138"/>
    </row>
    <row r="208" spans="1:40" ht="17.25" customHeight="1" x14ac:dyDescent="0.3">
      <c r="AM208" s="76"/>
      <c r="AN208" s="76"/>
    </row>
    <row r="209" spans="39:40" ht="17.25" customHeight="1" x14ac:dyDescent="0.3">
      <c r="AM209" s="76"/>
      <c r="AN209" s="76"/>
    </row>
    <row r="210" spans="39:40" ht="17.25" customHeight="1" x14ac:dyDescent="0.3">
      <c r="AM210" s="76"/>
      <c r="AN210" s="76"/>
    </row>
    <row r="211" spans="39:40" ht="17.25" customHeight="1" x14ac:dyDescent="0.3">
      <c r="AM211" s="76"/>
      <c r="AN211" s="76"/>
    </row>
    <row r="212" spans="39:40" ht="17.25" customHeight="1" x14ac:dyDescent="0.3">
      <c r="AM212" s="76"/>
      <c r="AN212" s="76"/>
    </row>
    <row r="213" spans="39:40" ht="17.25" customHeight="1" x14ac:dyDescent="0.3">
      <c r="AM213" s="76"/>
      <c r="AN213" s="76"/>
    </row>
    <row r="214" spans="39:40" ht="17.25" customHeight="1" x14ac:dyDescent="0.3">
      <c r="AM214" s="76"/>
      <c r="AN214" s="76"/>
    </row>
    <row r="215" spans="39:40" ht="17.25" customHeight="1" x14ac:dyDescent="0.3">
      <c r="AM215" s="76"/>
      <c r="AN215" s="76"/>
    </row>
    <row r="216" spans="39:40" ht="17.25" customHeight="1" x14ac:dyDescent="0.3">
      <c r="AM216" s="76"/>
      <c r="AN216" s="76"/>
    </row>
    <row r="217" spans="39:40" ht="17.25" customHeight="1" x14ac:dyDescent="0.3">
      <c r="AM217" s="76"/>
      <c r="AN217" s="76"/>
    </row>
    <row r="218" spans="39:40" ht="17.25" customHeight="1" x14ac:dyDescent="0.3">
      <c r="AM218" s="76"/>
      <c r="AN218" s="76"/>
    </row>
    <row r="219" spans="39:40" ht="17.25" customHeight="1" x14ac:dyDescent="0.3">
      <c r="AM219" s="76"/>
      <c r="AN219" s="76"/>
    </row>
    <row r="220" spans="39:40" ht="17.25" customHeight="1" x14ac:dyDescent="0.3">
      <c r="AM220" s="76"/>
      <c r="AN220" s="76"/>
    </row>
    <row r="221" spans="39:40" ht="17.25" customHeight="1" x14ac:dyDescent="0.3">
      <c r="AM221" s="76"/>
      <c r="AN221" s="76"/>
    </row>
    <row r="222" spans="39:40" ht="17.25" customHeight="1" x14ac:dyDescent="0.3">
      <c r="AM222" s="76"/>
      <c r="AN222" s="76"/>
    </row>
    <row r="223" spans="39:40" ht="17.25" customHeight="1" x14ac:dyDescent="0.3">
      <c r="AM223" s="76"/>
      <c r="AN223" s="76"/>
    </row>
    <row r="224" spans="39:40" ht="17.25" customHeight="1" x14ac:dyDescent="0.3">
      <c r="AM224" s="76"/>
      <c r="AN224" s="76"/>
    </row>
    <row r="225" spans="1:40" ht="17.25" customHeight="1" x14ac:dyDescent="0.3">
      <c r="AM225" s="76"/>
      <c r="AN225" s="76"/>
    </row>
    <row r="226" spans="1:40" ht="17.25" customHeight="1" x14ac:dyDescent="0.3">
      <c r="AM226" s="76"/>
      <c r="AN226" s="76"/>
    </row>
    <row r="227" spans="1:40" ht="17.25" customHeight="1" x14ac:dyDescent="0.3">
      <c r="AM227" s="76"/>
      <c r="AN227" s="76"/>
    </row>
    <row r="228" spans="1:40" ht="17.25" customHeight="1" x14ac:dyDescent="0.3">
      <c r="AM228" s="76"/>
      <c r="AN228" s="76"/>
    </row>
    <row r="229" spans="1:40" ht="17.25" customHeight="1" x14ac:dyDescent="0.3">
      <c r="AM229" s="76"/>
      <c r="AN229" s="76"/>
    </row>
    <row r="230" spans="1:40" ht="17.25" customHeight="1" x14ac:dyDescent="0.3">
      <c r="AM230" s="76"/>
      <c r="AN230" s="76"/>
    </row>
    <row r="231" spans="1:40" ht="17.25" customHeight="1" x14ac:dyDescent="0.3">
      <c r="AM231" s="76"/>
      <c r="AN231" s="76"/>
    </row>
    <row r="232" spans="1:40" ht="17.25" customHeight="1" x14ac:dyDescent="0.3">
      <c r="AM232" s="76"/>
      <c r="AN232" s="76"/>
    </row>
    <row r="233" spans="1:40" ht="17.25" customHeight="1" x14ac:dyDescent="0.3">
      <c r="AM233" s="76"/>
      <c r="AN233" s="76"/>
    </row>
    <row r="234" spans="1:40" ht="17.25" customHeight="1" x14ac:dyDescent="0.3">
      <c r="AM234" s="76"/>
      <c r="AN234" s="76"/>
    </row>
    <row r="235" spans="1:40" ht="17.25" customHeight="1" x14ac:dyDescent="0.3">
      <c r="AM235" s="76"/>
      <c r="AN235" s="76"/>
    </row>
    <row r="236" spans="1:40" ht="17.25" customHeight="1" x14ac:dyDescent="0.3">
      <c r="AM236" s="76"/>
      <c r="AN236" s="76"/>
    </row>
    <row r="237" spans="1:40" ht="17.25" customHeight="1" x14ac:dyDescent="0.3">
      <c r="AM237" s="76"/>
      <c r="AN237" s="76"/>
    </row>
    <row r="238" spans="1:40" ht="17.25" customHeight="1" x14ac:dyDescent="0.3">
      <c r="AM238" s="76"/>
      <c r="AN238" s="76"/>
    </row>
    <row r="239" spans="1:40" ht="17.25" customHeight="1" x14ac:dyDescent="0.3">
      <c r="AM239" s="76"/>
      <c r="AN239" s="76"/>
    </row>
    <row r="240" spans="1:40" s="189" customFormat="1" ht="17.25" customHeight="1" x14ac:dyDescent="0.3">
      <c r="A240" s="571"/>
      <c r="B240" s="571"/>
      <c r="C240" s="571"/>
      <c r="D240" s="571"/>
      <c r="E240" s="530"/>
      <c r="F240" s="503"/>
      <c r="G240" s="571"/>
      <c r="H240" s="571"/>
      <c r="I240" s="401"/>
      <c r="J240" s="571"/>
      <c r="K240" s="571"/>
      <c r="L240" s="571"/>
      <c r="M240" s="571"/>
      <c r="N240" s="571"/>
      <c r="O240" s="571"/>
      <c r="P240" s="571"/>
      <c r="Q240" s="571"/>
      <c r="R240" s="571"/>
      <c r="S240" s="571"/>
      <c r="T240" s="571"/>
      <c r="U240" s="571"/>
      <c r="V240" s="374"/>
      <c r="W240" s="374"/>
      <c r="X240" s="374"/>
      <c r="Y240" s="374"/>
      <c r="Z240" s="571"/>
      <c r="AA240" s="571"/>
      <c r="AB240" s="571"/>
      <c r="AC240" s="571"/>
      <c r="AD240" s="571"/>
      <c r="AE240" s="571"/>
      <c r="AF240" s="571"/>
      <c r="AG240" s="571"/>
      <c r="AH240" s="571"/>
      <c r="AI240" s="571"/>
      <c r="AJ240" s="571"/>
      <c r="AK240" s="375"/>
      <c r="AL240" s="376"/>
      <c r="AM240" s="100"/>
      <c r="AN240" s="100"/>
    </row>
    <row r="241" spans="1:40" s="148" customFormat="1" ht="17.25" customHeight="1" x14ac:dyDescent="0.3">
      <c r="A241" s="571"/>
      <c r="B241" s="571"/>
      <c r="C241" s="571"/>
      <c r="D241" s="571"/>
      <c r="E241" s="530"/>
      <c r="F241" s="503"/>
      <c r="G241" s="571"/>
      <c r="H241" s="571"/>
      <c r="I241" s="401"/>
      <c r="J241" s="571"/>
      <c r="K241" s="571"/>
      <c r="L241" s="571"/>
      <c r="M241" s="571"/>
      <c r="N241" s="571"/>
      <c r="O241" s="571"/>
      <c r="P241" s="571"/>
      <c r="Q241" s="571"/>
      <c r="R241" s="571"/>
      <c r="S241" s="571"/>
      <c r="T241" s="571"/>
      <c r="U241" s="571"/>
      <c r="V241" s="374"/>
      <c r="W241" s="374"/>
      <c r="X241" s="374"/>
      <c r="Y241" s="374"/>
      <c r="Z241" s="571"/>
      <c r="AA241" s="571"/>
      <c r="AB241" s="571"/>
      <c r="AC241" s="571"/>
      <c r="AD241" s="571"/>
      <c r="AE241" s="571"/>
      <c r="AF241" s="571"/>
      <c r="AG241" s="571"/>
      <c r="AH241" s="571"/>
      <c r="AI241" s="571"/>
      <c r="AJ241" s="571"/>
      <c r="AK241" s="375"/>
      <c r="AL241" s="376"/>
      <c r="AM241" s="138"/>
      <c r="AN241" s="138"/>
    </row>
    <row r="242" spans="1:40" ht="17.25" customHeight="1" x14ac:dyDescent="0.3">
      <c r="AM242" s="76"/>
      <c r="AN242" s="76"/>
    </row>
    <row r="243" spans="1:40" ht="17.25" customHeight="1" x14ac:dyDescent="0.3">
      <c r="AM243" s="76"/>
      <c r="AN243" s="76"/>
    </row>
    <row r="244" spans="1:40" ht="27.75" customHeight="1" x14ac:dyDescent="0.3">
      <c r="AM244" s="76"/>
      <c r="AN244" s="76"/>
    </row>
    <row r="245" spans="1:40" ht="17.25" customHeight="1" x14ac:dyDescent="0.3">
      <c r="AM245" s="76"/>
      <c r="AN245" s="76"/>
    </row>
    <row r="246" spans="1:40" ht="17.25" customHeight="1" x14ac:dyDescent="0.3">
      <c r="AM246" s="76"/>
      <c r="AN246" s="76"/>
    </row>
    <row r="247" spans="1:40" ht="17.25" customHeight="1" x14ac:dyDescent="0.3">
      <c r="AM247" s="76"/>
      <c r="AN247" s="76"/>
    </row>
    <row r="248" spans="1:40" ht="17.25" customHeight="1" x14ac:dyDescent="0.3">
      <c r="AM248" s="76"/>
      <c r="AN248" s="76"/>
    </row>
    <row r="249" spans="1:40" s="148" customFormat="1" ht="17.25" customHeight="1" x14ac:dyDescent="0.3">
      <c r="A249" s="571"/>
      <c r="B249" s="571"/>
      <c r="C249" s="571"/>
      <c r="D249" s="571"/>
      <c r="E249" s="530"/>
      <c r="F249" s="503"/>
      <c r="G249" s="571"/>
      <c r="H249" s="571"/>
      <c r="I249" s="401"/>
      <c r="J249" s="571"/>
      <c r="K249" s="571"/>
      <c r="L249" s="571"/>
      <c r="M249" s="571"/>
      <c r="N249" s="571"/>
      <c r="O249" s="571"/>
      <c r="P249" s="571"/>
      <c r="Q249" s="571"/>
      <c r="R249" s="571"/>
      <c r="S249" s="571"/>
      <c r="T249" s="571"/>
      <c r="U249" s="571"/>
      <c r="V249" s="374"/>
      <c r="W249" s="374"/>
      <c r="X249" s="374"/>
      <c r="Y249" s="374"/>
      <c r="Z249" s="571"/>
      <c r="AA249" s="571"/>
      <c r="AB249" s="571"/>
      <c r="AC249" s="571"/>
      <c r="AD249" s="571"/>
      <c r="AE249" s="571"/>
      <c r="AF249" s="571"/>
      <c r="AG249" s="571"/>
      <c r="AH249" s="571"/>
      <c r="AI249" s="571"/>
      <c r="AJ249" s="571"/>
      <c r="AK249" s="375"/>
      <c r="AL249" s="376"/>
      <c r="AM249" s="138"/>
      <c r="AN249" s="138"/>
    </row>
    <row r="250" spans="1:40" ht="17.25" customHeight="1" x14ac:dyDescent="0.3">
      <c r="AM250" s="76"/>
      <c r="AN250" s="76"/>
    </row>
    <row r="251" spans="1:40" ht="17.25" customHeight="1" x14ac:dyDescent="0.3">
      <c r="AM251" s="76"/>
      <c r="AN251" s="76"/>
    </row>
    <row r="252" spans="1:40" ht="17.25" customHeight="1" x14ac:dyDescent="0.3">
      <c r="AM252" s="76"/>
      <c r="AN252" s="76"/>
    </row>
    <row r="253" spans="1:40" ht="17.25" customHeight="1" x14ac:dyDescent="0.3">
      <c r="AM253" s="76"/>
      <c r="AN253" s="76"/>
    </row>
    <row r="254" spans="1:40" ht="17.25" customHeight="1" x14ac:dyDescent="0.3">
      <c r="AM254" s="76"/>
      <c r="AN254" s="76"/>
    </row>
    <row r="255" spans="1:40" ht="17.25" customHeight="1" x14ac:dyDescent="0.3">
      <c r="AM255" s="76"/>
      <c r="AN255" s="76"/>
    </row>
    <row r="256" spans="1:40" ht="17.25" customHeight="1" x14ac:dyDescent="0.3">
      <c r="AM256" s="76"/>
      <c r="AN256" s="76"/>
    </row>
    <row r="257" spans="1:40" ht="27" customHeight="1" x14ac:dyDescent="0.3">
      <c r="AM257" s="76"/>
      <c r="AN257" s="76"/>
    </row>
    <row r="258" spans="1:40" ht="17.25" customHeight="1" x14ac:dyDescent="0.3">
      <c r="AM258" s="76"/>
      <c r="AN258" s="76"/>
    </row>
    <row r="259" spans="1:40" ht="17.25" customHeight="1" x14ac:dyDescent="0.3">
      <c r="AM259" s="76"/>
      <c r="AN259" s="76"/>
    </row>
    <row r="260" spans="1:40" ht="17.25" customHeight="1" x14ac:dyDescent="0.3">
      <c r="AM260" s="76"/>
      <c r="AN260" s="76"/>
    </row>
    <row r="261" spans="1:40" ht="17.25" customHeight="1" x14ac:dyDescent="0.3">
      <c r="AM261" s="76"/>
      <c r="AN261" s="76"/>
    </row>
    <row r="262" spans="1:40" ht="17.25" customHeight="1" x14ac:dyDescent="0.3">
      <c r="AM262" s="76"/>
      <c r="AN262" s="76"/>
    </row>
    <row r="263" spans="1:40" ht="17.25" customHeight="1" x14ac:dyDescent="0.3">
      <c r="AM263" s="76"/>
      <c r="AN263" s="76"/>
    </row>
    <row r="264" spans="1:40" ht="17.25" customHeight="1" x14ac:dyDescent="0.3">
      <c r="AM264" s="76"/>
      <c r="AN264" s="76"/>
    </row>
    <row r="265" spans="1:40" ht="17.25" customHeight="1" x14ac:dyDescent="0.3">
      <c r="AM265" s="76"/>
      <c r="AN265" s="76"/>
    </row>
    <row r="266" spans="1:40" ht="17.25" customHeight="1" x14ac:dyDescent="0.3">
      <c r="AM266" s="76"/>
      <c r="AN266" s="76"/>
    </row>
    <row r="267" spans="1:40" ht="17.25" customHeight="1" x14ac:dyDescent="0.3">
      <c r="AM267" s="76"/>
      <c r="AN267" s="76"/>
    </row>
    <row r="268" spans="1:40" ht="27" customHeight="1" x14ac:dyDescent="0.3">
      <c r="AM268" s="76"/>
      <c r="AN268" s="76"/>
    </row>
    <row r="269" spans="1:40" ht="17.25" customHeight="1" x14ac:dyDescent="0.3">
      <c r="AM269" s="76"/>
      <c r="AN269" s="76"/>
    </row>
    <row r="270" spans="1:40" s="148" customFormat="1" ht="17.25" customHeight="1" x14ac:dyDescent="0.3">
      <c r="A270" s="571"/>
      <c r="B270" s="571"/>
      <c r="C270" s="571"/>
      <c r="D270" s="571"/>
      <c r="E270" s="530"/>
      <c r="F270" s="503"/>
      <c r="G270" s="571"/>
      <c r="H270" s="571"/>
      <c r="I270" s="401"/>
      <c r="J270" s="571"/>
      <c r="K270" s="571"/>
      <c r="L270" s="571"/>
      <c r="M270" s="571"/>
      <c r="N270" s="571"/>
      <c r="O270" s="571"/>
      <c r="P270" s="571"/>
      <c r="Q270" s="571"/>
      <c r="R270" s="571"/>
      <c r="S270" s="571"/>
      <c r="T270" s="571"/>
      <c r="U270" s="571"/>
      <c r="V270" s="374"/>
      <c r="W270" s="374"/>
      <c r="X270" s="374"/>
      <c r="Y270" s="374"/>
      <c r="Z270" s="571"/>
      <c r="AA270" s="571"/>
      <c r="AB270" s="571"/>
      <c r="AC270" s="571"/>
      <c r="AD270" s="571"/>
      <c r="AE270" s="571"/>
      <c r="AF270" s="571"/>
      <c r="AG270" s="571"/>
      <c r="AH270" s="571"/>
      <c r="AI270" s="571"/>
      <c r="AJ270" s="571"/>
      <c r="AK270" s="375"/>
      <c r="AL270" s="376"/>
      <c r="AM270" s="138"/>
      <c r="AN270" s="138"/>
    </row>
    <row r="271" spans="1:40" ht="17.25" customHeight="1" x14ac:dyDescent="0.3">
      <c r="AM271" s="76"/>
      <c r="AN271" s="76"/>
    </row>
    <row r="272" spans="1:40" ht="17.25" customHeight="1" x14ac:dyDescent="0.3">
      <c r="AM272" s="76"/>
      <c r="AN272" s="76"/>
    </row>
    <row r="273" spans="1:40" ht="17.25" customHeight="1" x14ac:dyDescent="0.3">
      <c r="AM273" s="76"/>
      <c r="AN273" s="76"/>
    </row>
    <row r="274" spans="1:40" ht="17.25" customHeight="1" x14ac:dyDescent="0.3">
      <c r="AM274" s="76"/>
      <c r="AN274" s="76"/>
    </row>
    <row r="275" spans="1:40" ht="17.25" customHeight="1" x14ac:dyDescent="0.3">
      <c r="AM275" s="76"/>
      <c r="AN275" s="76"/>
    </row>
    <row r="276" spans="1:40" ht="17.25" customHeight="1" x14ac:dyDescent="0.3">
      <c r="AM276" s="76"/>
      <c r="AN276" s="76"/>
    </row>
    <row r="277" spans="1:40" s="148" customFormat="1" ht="17.25" customHeight="1" x14ac:dyDescent="0.3">
      <c r="A277" s="571"/>
      <c r="B277" s="571"/>
      <c r="C277" s="571"/>
      <c r="D277" s="571"/>
      <c r="E277" s="530"/>
      <c r="F277" s="503"/>
      <c r="G277" s="571"/>
      <c r="H277" s="571"/>
      <c r="I277" s="401"/>
      <c r="J277" s="571"/>
      <c r="K277" s="571"/>
      <c r="L277" s="571"/>
      <c r="M277" s="571"/>
      <c r="N277" s="571"/>
      <c r="O277" s="571"/>
      <c r="P277" s="571"/>
      <c r="Q277" s="571"/>
      <c r="R277" s="571"/>
      <c r="S277" s="571"/>
      <c r="T277" s="571"/>
      <c r="U277" s="571"/>
      <c r="V277" s="374"/>
      <c r="W277" s="374"/>
      <c r="X277" s="374"/>
      <c r="Y277" s="374"/>
      <c r="Z277" s="571"/>
      <c r="AA277" s="571"/>
      <c r="AB277" s="571"/>
      <c r="AC277" s="571"/>
      <c r="AD277" s="571"/>
      <c r="AE277" s="571"/>
      <c r="AF277" s="571"/>
      <c r="AG277" s="571"/>
      <c r="AH277" s="571"/>
      <c r="AI277" s="571"/>
      <c r="AJ277" s="571"/>
      <c r="AK277" s="375"/>
      <c r="AL277" s="376"/>
      <c r="AM277" s="138"/>
      <c r="AN277" s="138"/>
    </row>
    <row r="278" spans="1:40" ht="17.25" customHeight="1" x14ac:dyDescent="0.3">
      <c r="AM278" s="76"/>
      <c r="AN278" s="76"/>
    </row>
    <row r="279" spans="1:40" ht="17.25" customHeight="1" x14ac:dyDescent="0.3">
      <c r="AM279" s="76"/>
      <c r="AN279" s="76"/>
    </row>
    <row r="280" spans="1:40" ht="17.25" customHeight="1" x14ac:dyDescent="0.3">
      <c r="AM280" s="76"/>
      <c r="AN280" s="76"/>
    </row>
    <row r="281" spans="1:40" ht="17.25" customHeight="1" x14ac:dyDescent="0.3">
      <c r="AM281" s="76"/>
      <c r="AN281" s="76"/>
    </row>
    <row r="282" spans="1:40" ht="17.25" customHeight="1" x14ac:dyDescent="0.3">
      <c r="AM282" s="76"/>
      <c r="AN282" s="76"/>
    </row>
    <row r="283" spans="1:40" ht="17.25" customHeight="1" x14ac:dyDescent="0.3">
      <c r="AM283" s="76"/>
      <c r="AN283" s="76"/>
    </row>
    <row r="284" spans="1:40" ht="17.25" customHeight="1" x14ac:dyDescent="0.3">
      <c r="AM284" s="76"/>
      <c r="AN284" s="76"/>
    </row>
    <row r="285" spans="1:40" ht="17.25" customHeight="1" x14ac:dyDescent="0.3">
      <c r="AM285" s="76"/>
      <c r="AN285" s="76"/>
    </row>
    <row r="286" spans="1:40" ht="17.25" customHeight="1" x14ac:dyDescent="0.3">
      <c r="AM286" s="76"/>
      <c r="AN286" s="76"/>
    </row>
    <row r="287" spans="1:40" ht="17.25" customHeight="1" x14ac:dyDescent="0.3">
      <c r="AM287" s="76"/>
      <c r="AN287" s="76"/>
    </row>
    <row r="288" spans="1:40" ht="17.25" customHeight="1" x14ac:dyDescent="0.3">
      <c r="AM288" s="76"/>
      <c r="AN288" s="76"/>
    </row>
    <row r="289" spans="1:40" ht="17.25" customHeight="1" x14ac:dyDescent="0.3">
      <c r="AM289" s="76"/>
      <c r="AN289" s="76"/>
    </row>
    <row r="290" spans="1:40" ht="17.25" customHeight="1" x14ac:dyDescent="0.3">
      <c r="AM290" s="76"/>
      <c r="AN290" s="76"/>
    </row>
    <row r="291" spans="1:40" ht="17.25" customHeight="1" x14ac:dyDescent="0.3">
      <c r="AM291" s="76"/>
      <c r="AN291" s="76"/>
    </row>
    <row r="292" spans="1:40" s="148" customFormat="1" ht="17.25" customHeight="1" x14ac:dyDescent="0.3">
      <c r="A292" s="571"/>
      <c r="B292" s="571"/>
      <c r="C292" s="571"/>
      <c r="D292" s="571"/>
      <c r="E292" s="530"/>
      <c r="F292" s="503"/>
      <c r="G292" s="571"/>
      <c r="H292" s="571"/>
      <c r="I292" s="401"/>
      <c r="J292" s="571"/>
      <c r="K292" s="571"/>
      <c r="L292" s="571"/>
      <c r="M292" s="571"/>
      <c r="N292" s="571"/>
      <c r="O292" s="571"/>
      <c r="P292" s="571"/>
      <c r="Q292" s="571"/>
      <c r="R292" s="571"/>
      <c r="S292" s="571"/>
      <c r="T292" s="571"/>
      <c r="U292" s="571"/>
      <c r="V292" s="374"/>
      <c r="W292" s="374"/>
      <c r="X292" s="374"/>
      <c r="Y292" s="374"/>
      <c r="Z292" s="571"/>
      <c r="AA292" s="571"/>
      <c r="AB292" s="571"/>
      <c r="AC292" s="571"/>
      <c r="AD292" s="571"/>
      <c r="AE292" s="571"/>
      <c r="AF292" s="571"/>
      <c r="AG292" s="571"/>
      <c r="AH292" s="571"/>
      <c r="AI292" s="571"/>
      <c r="AJ292" s="571"/>
      <c r="AK292" s="375"/>
      <c r="AL292" s="376"/>
      <c r="AM292" s="138"/>
      <c r="AN292" s="138"/>
    </row>
    <row r="293" spans="1:40" ht="17.25" customHeight="1" x14ac:dyDescent="0.3">
      <c r="AM293" s="76"/>
      <c r="AN293" s="76"/>
    </row>
    <row r="294" spans="1:40" ht="17.25" customHeight="1" x14ac:dyDescent="0.3">
      <c r="AM294" s="76"/>
      <c r="AN294" s="76"/>
    </row>
    <row r="295" spans="1:40" ht="17.25" customHeight="1" x14ac:dyDescent="0.3">
      <c r="AM295" s="76"/>
      <c r="AN295" s="76"/>
    </row>
    <row r="296" spans="1:40" s="148" customFormat="1" ht="17.25" customHeight="1" x14ac:dyDescent="0.3">
      <c r="A296" s="571"/>
      <c r="B296" s="571"/>
      <c r="C296" s="571"/>
      <c r="D296" s="571"/>
      <c r="E296" s="530"/>
      <c r="F296" s="503"/>
      <c r="G296" s="571"/>
      <c r="H296" s="571"/>
      <c r="I296" s="401"/>
      <c r="J296" s="571"/>
      <c r="K296" s="571"/>
      <c r="L296" s="571"/>
      <c r="M296" s="571"/>
      <c r="N296" s="571"/>
      <c r="O296" s="571"/>
      <c r="P296" s="571"/>
      <c r="Q296" s="571"/>
      <c r="R296" s="571"/>
      <c r="S296" s="571"/>
      <c r="T296" s="571"/>
      <c r="U296" s="571"/>
      <c r="V296" s="374"/>
      <c r="W296" s="374"/>
      <c r="X296" s="374"/>
      <c r="Y296" s="374"/>
      <c r="Z296" s="571"/>
      <c r="AA296" s="571"/>
      <c r="AB296" s="571"/>
      <c r="AC296" s="571"/>
      <c r="AD296" s="571"/>
      <c r="AE296" s="571"/>
      <c r="AF296" s="571"/>
      <c r="AG296" s="571"/>
      <c r="AH296" s="571"/>
      <c r="AI296" s="571"/>
      <c r="AJ296" s="571"/>
      <c r="AK296" s="375"/>
      <c r="AL296" s="376"/>
      <c r="AM296" s="138"/>
      <c r="AN296" s="138"/>
    </row>
    <row r="297" spans="1:40" ht="29.25" customHeight="1" x14ac:dyDescent="0.3">
      <c r="AM297" s="76"/>
      <c r="AN297" s="76"/>
    </row>
    <row r="298" spans="1:40" ht="17.25" customHeight="1" x14ac:dyDescent="0.3">
      <c r="AM298" s="76"/>
      <c r="AN298" s="76"/>
    </row>
    <row r="299" spans="1:40" ht="17.25" customHeight="1" x14ac:dyDescent="0.3">
      <c r="AM299" s="76"/>
      <c r="AN299" s="76"/>
    </row>
    <row r="300" spans="1:40" s="148" customFormat="1" ht="17.25" customHeight="1" x14ac:dyDescent="0.3">
      <c r="A300" s="571"/>
      <c r="B300" s="571"/>
      <c r="C300" s="571"/>
      <c r="D300" s="571"/>
      <c r="E300" s="530"/>
      <c r="F300" s="503"/>
      <c r="G300" s="571"/>
      <c r="H300" s="571"/>
      <c r="I300" s="401"/>
      <c r="J300" s="571"/>
      <c r="K300" s="571"/>
      <c r="L300" s="571"/>
      <c r="M300" s="571"/>
      <c r="N300" s="571"/>
      <c r="O300" s="571"/>
      <c r="P300" s="571"/>
      <c r="Q300" s="571"/>
      <c r="R300" s="571"/>
      <c r="S300" s="571"/>
      <c r="T300" s="571"/>
      <c r="U300" s="571"/>
      <c r="V300" s="374"/>
      <c r="W300" s="374"/>
      <c r="X300" s="374"/>
      <c r="Y300" s="374"/>
      <c r="Z300" s="571"/>
      <c r="AA300" s="571"/>
      <c r="AB300" s="571"/>
      <c r="AC300" s="571"/>
      <c r="AD300" s="571"/>
      <c r="AE300" s="571"/>
      <c r="AF300" s="571"/>
      <c r="AG300" s="571"/>
      <c r="AH300" s="571"/>
      <c r="AI300" s="571"/>
      <c r="AJ300" s="571"/>
      <c r="AK300" s="375"/>
      <c r="AL300" s="376"/>
      <c r="AM300" s="138"/>
      <c r="AN300" s="138"/>
    </row>
    <row r="301" spans="1:40" ht="17.25" customHeight="1" x14ac:dyDescent="0.3">
      <c r="AM301" s="76"/>
      <c r="AN301" s="76"/>
    </row>
    <row r="302" spans="1:40" ht="17.25" customHeight="1" x14ac:dyDescent="0.3">
      <c r="AM302" s="76"/>
      <c r="AN302" s="76"/>
    </row>
    <row r="303" spans="1:40" ht="17.25" customHeight="1" x14ac:dyDescent="0.3">
      <c r="AM303" s="76"/>
      <c r="AN303" s="76"/>
    </row>
    <row r="304" spans="1:40" ht="17.25" customHeight="1" x14ac:dyDescent="0.3">
      <c r="AM304" s="76"/>
      <c r="AN304" s="76"/>
    </row>
    <row r="305" spans="39:40" ht="17.25" customHeight="1" x14ac:dyDescent="0.3">
      <c r="AM305" s="76"/>
      <c r="AN305" s="76"/>
    </row>
    <row r="306" spans="39:40" ht="17.25" customHeight="1" x14ac:dyDescent="0.3"/>
    <row r="307" spans="39:40" ht="17.25" customHeight="1" x14ac:dyDescent="0.3"/>
    <row r="308" spans="39:40" ht="17.25" customHeight="1" x14ac:dyDescent="0.3"/>
    <row r="309" spans="39:40" ht="15" customHeight="1" x14ac:dyDescent="0.3"/>
    <row r="310" spans="39:40" ht="15" customHeight="1" x14ac:dyDescent="0.3"/>
    <row r="311" spans="39:40" ht="15" customHeight="1" x14ac:dyDescent="0.3"/>
    <row r="312" spans="39:40" ht="15" customHeight="1" x14ac:dyDescent="0.3"/>
    <row r="313" spans="39:40" ht="15" customHeight="1" x14ac:dyDescent="0.3"/>
    <row r="314" spans="39:40" ht="15" customHeight="1" x14ac:dyDescent="0.3"/>
    <row r="315" spans="39:40" ht="15" customHeight="1" x14ac:dyDescent="0.3"/>
    <row r="316" spans="39:40" ht="15" customHeight="1" x14ac:dyDescent="0.3"/>
    <row r="317" spans="39:40" ht="15" customHeight="1" x14ac:dyDescent="0.3"/>
    <row r="318" spans="39:40" ht="15" customHeight="1" x14ac:dyDescent="0.3"/>
    <row r="319" spans="39:40" ht="15" customHeight="1" x14ac:dyDescent="0.3"/>
    <row r="320" spans="39:40" ht="15" customHeight="1" x14ac:dyDescent="0.3"/>
    <row r="321" ht="15" customHeight="1" x14ac:dyDescent="0.3"/>
    <row r="322" ht="15" customHeight="1" x14ac:dyDescent="0.3"/>
    <row r="323" ht="15" customHeight="1" x14ac:dyDescent="0.3"/>
    <row r="324" ht="15" customHeight="1" x14ac:dyDescent="0.3"/>
  </sheetData>
  <autoFilter ref="A10:T169"/>
  <mergeCells count="29">
    <mergeCell ref="S7:S8"/>
    <mergeCell ref="T7:T8"/>
    <mergeCell ref="V10:W10"/>
    <mergeCell ref="V12:W12"/>
    <mergeCell ref="B7:B8"/>
    <mergeCell ref="C7:C8"/>
    <mergeCell ref="D7:D8"/>
    <mergeCell ref="E7:E8"/>
    <mergeCell ref="O7:O8"/>
    <mergeCell ref="K7:K8"/>
    <mergeCell ref="L7:L8"/>
    <mergeCell ref="M7:M8"/>
    <mergeCell ref="N7:N8"/>
    <mergeCell ref="V7:V8"/>
    <mergeCell ref="C4:D4"/>
    <mergeCell ref="C5:D5"/>
    <mergeCell ref="P7:P8"/>
    <mergeCell ref="Q7:Q8"/>
    <mergeCell ref="R7:R8"/>
    <mergeCell ref="L4:M4"/>
    <mergeCell ref="N4:O4"/>
    <mergeCell ref="N5:O5"/>
    <mergeCell ref="L5:M5"/>
    <mergeCell ref="AB7:AB8"/>
    <mergeCell ref="W7:W8"/>
    <mergeCell ref="X7:X8"/>
    <mergeCell ref="AC6:AF6"/>
    <mergeCell ref="AG6:AJ6"/>
    <mergeCell ref="AA7:AA8"/>
  </mergeCells>
  <conditionalFormatting sqref="B149:B1048576 B1:B14 B16:B92 B100:B147">
    <cfRule type="duplicateValues" dxfId="543" priority="16"/>
  </conditionalFormatting>
  <conditionalFormatting sqref="B15">
    <cfRule type="duplicateValues" dxfId="542" priority="5"/>
    <cfRule type="duplicateValues" dxfId="541" priority="6"/>
  </conditionalFormatting>
  <conditionalFormatting sqref="B93:B99">
    <cfRule type="duplicateValues" dxfId="540" priority="22"/>
  </conditionalFormatting>
  <conditionalFormatting sqref="B148">
    <cfRule type="duplicateValues" dxfId="539" priority="7"/>
    <cfRule type="duplicateValues" dxfId="538" priority="8"/>
  </conditionalFormatting>
  <conditionalFormatting sqref="B16:C16 C15">
    <cfRule type="duplicateValues" dxfId="537" priority="14"/>
  </conditionalFormatting>
  <conditionalFormatting sqref="B93:C93 B94:B99">
    <cfRule type="duplicateValues" dxfId="536" priority="23"/>
  </conditionalFormatting>
  <conditionalFormatting sqref="B149:C149">
    <cfRule type="duplicateValues" dxfId="535" priority="1"/>
  </conditionalFormatting>
  <conditionalFormatting sqref="B150:C150">
    <cfRule type="duplicateValues" dxfId="534" priority="2"/>
  </conditionalFormatting>
  <conditionalFormatting sqref="B151:C151">
    <cfRule type="duplicateValues" dxfId="533" priority="4"/>
  </conditionalFormatting>
  <conditionalFormatting sqref="B152:C157 B18:C32 B34:C92 C94:C99 B100:C146">
    <cfRule type="duplicateValues" dxfId="532" priority="24"/>
  </conditionalFormatting>
  <conditionalFormatting sqref="C148">
    <cfRule type="duplicateValues" dxfId="531" priority="9"/>
  </conditionalFormatting>
  <conditionalFormatting sqref="J2:J3 J7:J158">
    <cfRule type="cellIs" dxfId="530" priority="21" operator="equal">
      <formula>"Disc"</formula>
    </cfRule>
  </conditionalFormatting>
  <conditionalFormatting sqref="V2:V5">
    <cfRule type="containsText" dxfId="529" priority="17" operator="containsText" text="dog">
      <formula>NOT(ISERROR(SEARCH("dog",V2)))</formula>
    </cfRule>
    <cfRule type="containsText" dxfId="528" priority="18" operator="containsText" text="star">
      <formula>NOT(ISERROR(SEARCH("star",V2)))</formula>
    </cfRule>
    <cfRule type="containsText" dxfId="527" priority="19" operator="containsText" text="PUZZLE">
      <formula>NOT(ISERROR(SEARCH("PUZZLE",V2)))</formula>
    </cfRule>
    <cfRule type="containsText" dxfId="526" priority="20" operator="containsText" text="HORSE">
      <formula>NOT(ISERROR(SEARCH("HORSE",V2)))</formula>
    </cfRule>
  </conditionalFormatting>
  <conditionalFormatting sqref="X15:X158">
    <cfRule type="containsText" dxfId="525" priority="10" operator="containsText" text="star">
      <formula>NOT(ISERROR(SEARCH("star",X15)))</formula>
    </cfRule>
    <cfRule type="containsText" dxfId="524" priority="11" operator="containsText" text="dog">
      <formula>NOT(ISERROR(SEARCH("dog",X15)))</formula>
    </cfRule>
    <cfRule type="containsText" dxfId="523" priority="12" operator="containsText" text="puzzle">
      <formula>NOT(ISERROR(SEARCH("puzzle",X15)))</formula>
    </cfRule>
    <cfRule type="containsText" dxfId="522" priority="13" operator="containsText" text="horse">
      <formula>NOT(ISERROR(SEARCH("horse",X15)))</formula>
    </cfRule>
  </conditionalFormatting>
  <conditionalFormatting sqref="AA1:AA1048576">
    <cfRule type="duplicateValues" dxfId="521" priority="3"/>
  </conditionalFormatting>
  <conditionalFormatting sqref="AA7:AA8">
    <cfRule type="duplicateValues" dxfId="520" priority="1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W327"/>
  <sheetViews>
    <sheetView zoomScale="85" zoomScaleNormal="85" workbookViewId="0">
      <pane ySplit="10" topLeftCell="A11" activePane="bottomLeft" state="frozen"/>
      <selection sqref="A1:XFD1048576"/>
      <selection pane="bottomLeft" activeCell="D18" sqref="D18"/>
    </sheetView>
  </sheetViews>
  <sheetFormatPr defaultColWidth="12.54296875" defaultRowHeight="13" outlineLevelCol="1" x14ac:dyDescent="0.3"/>
  <cols>
    <col min="1" max="1" width="5.54296875" style="571" customWidth="1"/>
    <col min="2" max="2" width="15.81640625" style="571" customWidth="1"/>
    <col min="3" max="3" width="51.54296875" style="571" customWidth="1"/>
    <col min="4" max="4" width="8.17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1" width="16.7265625" style="571" customWidth="1" outlineLevel="1"/>
    <col min="12" max="12" width="27" style="571" customWidth="1" outlineLevel="1"/>
    <col min="13" max="13" width="14"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39" width="7.54296875" style="84" customWidth="1"/>
    <col min="40" max="40" width="17.26953125" style="84" customWidth="1"/>
    <col min="41" max="16384" width="12.54296875" style="84"/>
  </cols>
  <sheetData>
    <row r="1" spans="1:49" ht="4.5" customHeight="1" x14ac:dyDescent="0.3">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76"/>
      <c r="AN1" s="76"/>
    </row>
    <row r="2" spans="1:49" ht="24.75" customHeight="1" x14ac:dyDescent="0.3">
      <c r="A2" s="377"/>
      <c r="B2" s="378" t="s">
        <v>585</v>
      </c>
      <c r="C2" s="377"/>
      <c r="D2" s="377"/>
      <c r="E2" s="369"/>
      <c r="F2" s="379"/>
      <c r="G2" s="380"/>
      <c r="H2" s="380"/>
      <c r="I2" s="377"/>
      <c r="J2" s="377"/>
      <c r="K2" s="377"/>
      <c r="L2" s="377"/>
      <c r="M2" s="377"/>
      <c r="N2" s="369"/>
      <c r="O2" s="371"/>
      <c r="P2" s="371"/>
      <c r="Q2" s="371"/>
      <c r="R2" s="372"/>
      <c r="S2" s="372"/>
      <c r="T2" s="381"/>
      <c r="U2" s="381"/>
      <c r="V2" s="382" t="s">
        <v>353</v>
      </c>
      <c r="W2" s="383" t="s">
        <v>354</v>
      </c>
      <c r="X2" s="383"/>
      <c r="Y2" s="383"/>
      <c r="AA2" s="377"/>
      <c r="AB2" s="377"/>
      <c r="AC2" s="377"/>
      <c r="AD2" s="377"/>
      <c r="AE2" s="377"/>
      <c r="AF2" s="377"/>
      <c r="AG2" s="377"/>
      <c r="AH2" s="377"/>
      <c r="AI2" s="377"/>
      <c r="AJ2" s="377"/>
      <c r="AK2" s="384"/>
      <c r="AL2" s="385"/>
      <c r="AM2" s="85"/>
      <c r="AN2" s="85"/>
    </row>
    <row r="3" spans="1:49" ht="34.5" customHeight="1" x14ac:dyDescent="0.3">
      <c r="A3" s="366"/>
      <c r="B3" s="378" t="s">
        <v>0</v>
      </c>
      <c r="C3" s="366"/>
      <c r="D3" s="366"/>
      <c r="E3" s="367"/>
      <c r="F3" s="368"/>
      <c r="G3" s="367"/>
      <c r="H3" s="367"/>
      <c r="I3" s="369"/>
      <c r="J3" s="366"/>
      <c r="K3" s="386"/>
      <c r="L3" s="387"/>
      <c r="M3" s="388"/>
      <c r="N3" s="389"/>
      <c r="O3" s="390"/>
      <c r="P3" s="371"/>
      <c r="Q3" s="371"/>
      <c r="R3" s="372"/>
      <c r="S3" s="372"/>
      <c r="T3" s="373"/>
      <c r="U3" s="373"/>
      <c r="V3" s="382" t="s">
        <v>355</v>
      </c>
      <c r="W3" s="391" t="s">
        <v>356</v>
      </c>
      <c r="X3" s="391"/>
      <c r="Y3" s="391"/>
      <c r="AA3" s="366"/>
      <c r="AB3" s="366"/>
      <c r="AC3" s="366"/>
      <c r="AD3" s="366"/>
      <c r="AE3" s="366"/>
      <c r="AF3" s="366"/>
      <c r="AG3" s="366"/>
      <c r="AH3" s="366"/>
      <c r="AI3" s="366"/>
      <c r="AJ3" s="366"/>
      <c r="AM3" s="76"/>
      <c r="AN3" s="76"/>
    </row>
    <row r="4" spans="1:49" ht="30" customHeight="1" thickBot="1" x14ac:dyDescent="0.35">
      <c r="A4" s="366"/>
      <c r="B4" s="392" t="s">
        <v>1</v>
      </c>
      <c r="C4" s="604" t="s">
        <v>586</v>
      </c>
      <c r="D4" s="605"/>
      <c r="E4" s="393"/>
      <c r="F4" s="368"/>
      <c r="G4" s="367"/>
      <c r="H4" s="367"/>
      <c r="I4" s="369"/>
      <c r="J4" s="366"/>
      <c r="K4" s="570" t="s">
        <v>18</v>
      </c>
      <c r="L4" s="610" t="s">
        <v>19</v>
      </c>
      <c r="M4" s="610"/>
      <c r="N4" s="610" t="s">
        <v>20</v>
      </c>
      <c r="O4" s="610"/>
      <c r="P4" s="394" t="s">
        <v>21</v>
      </c>
      <c r="Q4" s="371"/>
      <c r="R4" s="372"/>
      <c r="S4" s="582" t="s">
        <v>464</v>
      </c>
      <c r="T4" s="583">
        <v>670</v>
      </c>
      <c r="U4" s="373"/>
      <c r="V4" s="382" t="s">
        <v>357</v>
      </c>
      <c r="W4" s="391" t="s">
        <v>358</v>
      </c>
      <c r="Y4" s="391"/>
      <c r="AA4" s="366"/>
      <c r="AB4" s="366"/>
      <c r="AC4" s="366"/>
      <c r="AD4" s="366"/>
      <c r="AE4" s="366"/>
      <c r="AF4" s="366"/>
      <c r="AG4" s="366"/>
      <c r="AH4" s="366"/>
      <c r="AI4" s="366"/>
      <c r="AJ4" s="366"/>
      <c r="AM4" s="76"/>
      <c r="AN4" s="76"/>
    </row>
    <row r="5" spans="1:49" ht="30" customHeight="1" thickBot="1" x14ac:dyDescent="0.35">
      <c r="A5" s="366"/>
      <c r="B5" s="392" t="s">
        <v>2</v>
      </c>
      <c r="C5" s="663" t="s">
        <v>754</v>
      </c>
      <c r="D5" s="664"/>
      <c r="E5" s="393"/>
      <c r="F5" s="368"/>
      <c r="G5" s="367"/>
      <c r="H5" s="367"/>
      <c r="I5" s="369"/>
      <c r="J5" s="366"/>
      <c r="K5" s="395">
        <v>1972</v>
      </c>
      <c r="L5" s="612">
        <f>L10</f>
        <v>771413000</v>
      </c>
      <c r="M5" s="612"/>
      <c r="N5" s="611">
        <f>L5/K5</f>
        <v>391183.06288032455</v>
      </c>
      <c r="O5" s="611"/>
      <c r="P5" s="396">
        <f>K10/L10</f>
        <v>0.33874860779452715</v>
      </c>
      <c r="Q5" s="371"/>
      <c r="R5" s="372"/>
      <c r="S5" s="537" t="s">
        <v>456</v>
      </c>
      <c r="T5" s="538">
        <f>K5/T4</f>
        <v>2.9432835820895522</v>
      </c>
      <c r="U5" s="373"/>
      <c r="V5" s="382" t="s">
        <v>359</v>
      </c>
      <c r="W5" s="391" t="s">
        <v>360</v>
      </c>
      <c r="Y5" s="391"/>
      <c r="AA5" s="366"/>
      <c r="AB5" s="397" t="s">
        <v>18</v>
      </c>
      <c r="AC5" s="398"/>
      <c r="AD5" s="399">
        <f>K5</f>
        <v>1972</v>
      </c>
      <c r="AE5" s="400"/>
      <c r="AF5" s="366"/>
      <c r="AG5" s="398"/>
      <c r="AH5" s="399">
        <v>1849</v>
      </c>
      <c r="AI5" s="366"/>
      <c r="AJ5" s="366"/>
      <c r="AM5" s="76"/>
      <c r="AN5" s="76"/>
    </row>
    <row r="6" spans="1:49" ht="17.25" customHeight="1" x14ac:dyDescent="0.3">
      <c r="A6" s="366"/>
      <c r="B6" s="366">
        <v>1</v>
      </c>
      <c r="C6" s="366">
        <v>2</v>
      </c>
      <c r="D6" s="366">
        <v>3</v>
      </c>
      <c r="E6" s="367">
        <v>4</v>
      </c>
      <c r="F6" s="366">
        <v>5</v>
      </c>
      <c r="G6" s="366">
        <v>6</v>
      </c>
      <c r="H6" s="366">
        <v>7</v>
      </c>
      <c r="I6" s="401">
        <v>8</v>
      </c>
      <c r="J6" s="366">
        <v>9</v>
      </c>
      <c r="K6" s="366">
        <v>10</v>
      </c>
      <c r="L6" s="366">
        <v>11</v>
      </c>
      <c r="M6" s="366">
        <v>12</v>
      </c>
      <c r="N6" s="366">
        <v>13</v>
      </c>
      <c r="O6" s="366">
        <v>14</v>
      </c>
      <c r="P6" s="366">
        <v>15</v>
      </c>
      <c r="Q6" s="366">
        <v>16</v>
      </c>
      <c r="R6" s="366">
        <v>17</v>
      </c>
      <c r="S6" s="366">
        <v>18</v>
      </c>
      <c r="T6" s="366">
        <v>19</v>
      </c>
      <c r="U6" s="366"/>
      <c r="V6" s="366">
        <v>20</v>
      </c>
      <c r="W6" s="366">
        <v>21</v>
      </c>
      <c r="X6" s="366">
        <v>22</v>
      </c>
      <c r="AC6" s="660" t="str">
        <f>C5</f>
        <v>01.09.2026-&gt;30.09.2026</v>
      </c>
      <c r="AD6" s="660"/>
      <c r="AE6" s="660"/>
      <c r="AF6" s="660"/>
      <c r="AG6" s="660" t="s">
        <v>753</v>
      </c>
      <c r="AH6" s="660"/>
      <c r="AI6" s="660"/>
      <c r="AJ6" s="660"/>
    </row>
    <row r="7" spans="1:49" ht="25.9" customHeight="1" x14ac:dyDescent="0.3">
      <c r="A7" s="400"/>
      <c r="B7" s="619" t="s">
        <v>3</v>
      </c>
      <c r="C7" s="621" t="s">
        <v>4</v>
      </c>
      <c r="D7" s="621" t="s">
        <v>414</v>
      </c>
      <c r="E7" s="623" t="s">
        <v>5</v>
      </c>
      <c r="F7" s="402" t="s">
        <v>6</v>
      </c>
      <c r="G7" s="567" t="s">
        <v>7</v>
      </c>
      <c r="H7" s="567" t="s">
        <v>8</v>
      </c>
      <c r="I7" s="403" t="s">
        <v>9</v>
      </c>
      <c r="J7" s="567"/>
      <c r="K7" s="621" t="s">
        <v>10</v>
      </c>
      <c r="L7" s="621" t="s">
        <v>22</v>
      </c>
      <c r="M7" s="621" t="s">
        <v>23</v>
      </c>
      <c r="N7" s="625" t="s">
        <v>24</v>
      </c>
      <c r="O7" s="606" t="s">
        <v>25</v>
      </c>
      <c r="P7" s="606" t="s">
        <v>26</v>
      </c>
      <c r="Q7" s="606" t="s">
        <v>27</v>
      </c>
      <c r="R7" s="608" t="s">
        <v>11</v>
      </c>
      <c r="S7" s="613" t="s">
        <v>457</v>
      </c>
      <c r="T7" s="615" t="s">
        <v>458</v>
      </c>
      <c r="U7" s="404"/>
      <c r="V7" s="600" t="s">
        <v>361</v>
      </c>
      <c r="W7" s="600" t="s">
        <v>362</v>
      </c>
      <c r="X7" s="600" t="s">
        <v>363</v>
      </c>
      <c r="Y7" s="405"/>
      <c r="AA7" s="602" t="s">
        <v>442</v>
      </c>
      <c r="AB7" s="598" t="s">
        <v>443</v>
      </c>
      <c r="AC7" s="406" t="s">
        <v>22</v>
      </c>
      <c r="AD7" s="407" t="s">
        <v>20</v>
      </c>
      <c r="AE7" s="407" t="s">
        <v>15</v>
      </c>
      <c r="AF7" s="407" t="s">
        <v>11</v>
      </c>
      <c r="AG7" s="406" t="s">
        <v>22</v>
      </c>
      <c r="AH7" s="407" t="s">
        <v>20</v>
      </c>
      <c r="AI7" s="407" t="s">
        <v>15</v>
      </c>
      <c r="AJ7" s="407" t="s">
        <v>11</v>
      </c>
      <c r="AK7" s="408" t="s">
        <v>444</v>
      </c>
      <c r="AL7" s="409" t="s">
        <v>445</v>
      </c>
      <c r="AM7" s="100"/>
      <c r="AN7" s="100"/>
    </row>
    <row r="8" spans="1:49" ht="17.25" customHeight="1" x14ac:dyDescent="0.3">
      <c r="A8" s="410"/>
      <c r="B8" s="620"/>
      <c r="C8" s="622"/>
      <c r="D8" s="622"/>
      <c r="E8" s="624"/>
      <c r="F8" s="411" t="s">
        <v>12</v>
      </c>
      <c r="G8" s="568" t="s">
        <v>13</v>
      </c>
      <c r="H8" s="568" t="s">
        <v>14</v>
      </c>
      <c r="I8" s="412" t="s">
        <v>15</v>
      </c>
      <c r="J8" s="413"/>
      <c r="K8" s="622"/>
      <c r="L8" s="622"/>
      <c r="M8" s="622"/>
      <c r="N8" s="626"/>
      <c r="O8" s="607"/>
      <c r="P8" s="607"/>
      <c r="Q8" s="607"/>
      <c r="R8" s="609"/>
      <c r="S8" s="614"/>
      <c r="T8" s="616"/>
      <c r="U8" s="404"/>
      <c r="V8" s="601"/>
      <c r="W8" s="601"/>
      <c r="X8" s="601"/>
      <c r="Y8" s="415"/>
      <c r="AA8" s="603"/>
      <c r="AB8" s="599"/>
      <c r="AC8" s="573">
        <f t="shared" ref="AC8:AJ8" si="0">SUM(AC9:AC20)</f>
        <v>737719000</v>
      </c>
      <c r="AD8" s="573">
        <f t="shared" si="0"/>
        <v>374096.85598377284</v>
      </c>
      <c r="AE8" s="573">
        <f t="shared" si="0"/>
        <v>5828</v>
      </c>
      <c r="AF8" s="573">
        <f t="shared" si="0"/>
        <v>295.53752535496955</v>
      </c>
      <c r="AG8" s="573">
        <f t="shared" si="0"/>
        <v>697388000</v>
      </c>
      <c r="AH8" s="573">
        <f t="shared" si="0"/>
        <v>377170.36235803139</v>
      </c>
      <c r="AI8" s="573">
        <f t="shared" si="0"/>
        <v>5425</v>
      </c>
      <c r="AJ8" s="573">
        <f t="shared" si="0"/>
        <v>293.401838831801</v>
      </c>
      <c r="AK8" s="573">
        <f>SUM(AK9:AK34)</f>
        <v>-3073.5063742585548</v>
      </c>
      <c r="AL8" s="573">
        <f>SUM(AL9:AL34)</f>
        <v>2.1356865231685793</v>
      </c>
      <c r="AM8" s="115"/>
      <c r="AN8" s="100"/>
    </row>
    <row r="9" spans="1:49" ht="17.25" customHeight="1" x14ac:dyDescent="0.3">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584" t="s">
        <v>446</v>
      </c>
      <c r="AB9" s="574" t="s">
        <v>447</v>
      </c>
      <c r="AC9" s="575">
        <f t="shared" ref="AC9:AC20" si="1">VLOOKUP(AA9,$B:$M,11,0)</f>
        <v>0</v>
      </c>
      <c r="AD9" s="575">
        <f>AC9/$AD$5</f>
        <v>0</v>
      </c>
      <c r="AE9" s="575">
        <f t="shared" ref="AE9:AE20" si="2">VLOOKUP(AA9,$B:$M,8,0)</f>
        <v>1</v>
      </c>
      <c r="AF9" s="576">
        <f>AE9/$AD$5*100</f>
        <v>5.0709939148073022E-2</v>
      </c>
      <c r="AG9" s="575">
        <v>0</v>
      </c>
      <c r="AH9" s="575">
        <v>0</v>
      </c>
      <c r="AI9" s="575">
        <v>1</v>
      </c>
      <c r="AJ9" s="576">
        <v>5.408328826392645E-2</v>
      </c>
      <c r="AK9" s="577">
        <f t="shared" ref="AK9:AK18" si="3">AD9-AH9</f>
        <v>0</v>
      </c>
      <c r="AL9" s="578">
        <f>AF9-AJ9</f>
        <v>-3.3733491158534287E-3</v>
      </c>
      <c r="AM9" s="100"/>
      <c r="AN9" s="100"/>
    </row>
    <row r="10" spans="1:49" ht="17.25" customHeight="1" x14ac:dyDescent="0.3">
      <c r="A10" s="400"/>
      <c r="B10" s="429" t="s">
        <v>16</v>
      </c>
      <c r="C10" s="430"/>
      <c r="D10" s="429"/>
      <c r="E10" s="431"/>
      <c r="F10" s="432"/>
      <c r="G10" s="433"/>
      <c r="H10" s="433"/>
      <c r="I10" s="434">
        <f>SUBTOTAL(9,I12:I165)</f>
        <v>6868</v>
      </c>
      <c r="J10" s="420"/>
      <c r="K10" s="420">
        <f>SUBTOTAL(9,K12:K165)</f>
        <v>261315079.78459957</v>
      </c>
      <c r="L10" s="420">
        <f>SUBTOTAL(9,L12:L165)</f>
        <v>771413000</v>
      </c>
      <c r="M10" s="420">
        <f>SUBTOTAL(9,M12:M165)</f>
        <v>510097920.21540058</v>
      </c>
      <c r="N10" s="569">
        <f>K10/L10</f>
        <v>0.33874860779452715</v>
      </c>
      <c r="O10" s="421">
        <f>L10/L$10</f>
        <v>1</v>
      </c>
      <c r="P10" s="421">
        <f>M10/M$10</f>
        <v>1</v>
      </c>
      <c r="Q10" s="421">
        <f>I10/I$10</f>
        <v>1</v>
      </c>
      <c r="R10" s="422">
        <f>I10/$K$5*100</f>
        <v>348.27586206896552</v>
      </c>
      <c r="S10" s="541">
        <f>R10*T$5</f>
        <v>1025.0746268656717</v>
      </c>
      <c r="T10" s="542">
        <f>SUBTOTAL(9,T12:T353)</f>
        <v>115136268.65671639</v>
      </c>
      <c r="U10" s="404"/>
      <c r="V10" s="617" t="s">
        <v>364</v>
      </c>
      <c r="W10" s="618"/>
      <c r="X10" s="435">
        <v>10</v>
      </c>
      <c r="Y10" s="423"/>
      <c r="Z10" s="436"/>
      <c r="AA10" s="585" t="s">
        <v>474</v>
      </c>
      <c r="AB10" s="579" t="s">
        <v>466</v>
      </c>
      <c r="AC10" s="424">
        <f t="shared" si="1"/>
        <v>20777000</v>
      </c>
      <c r="AD10" s="424">
        <f>AC10/$AD$5</f>
        <v>10536.004056795131</v>
      </c>
      <c r="AE10" s="424">
        <f t="shared" si="2"/>
        <v>243</v>
      </c>
      <c r="AF10" s="426">
        <f>AE10/$AD$5*100</f>
        <v>12.322515212981743</v>
      </c>
      <c r="AG10" s="424">
        <v>19022000</v>
      </c>
      <c r="AH10" s="424">
        <v>10287.723093564089</v>
      </c>
      <c r="AI10" s="424">
        <v>224</v>
      </c>
      <c r="AJ10" s="426">
        <v>12.114656571119523</v>
      </c>
      <c r="AK10" s="427">
        <f>AD10-AH10</f>
        <v>248.28096323104182</v>
      </c>
      <c r="AL10" s="428">
        <f>AF10-AJ10</f>
        <v>0.20785864186222014</v>
      </c>
      <c r="AM10" s="121"/>
      <c r="AN10" s="100"/>
    </row>
    <row r="11" spans="1:49" ht="17.25" customHeight="1" x14ac:dyDescent="0.3">
      <c r="A11" s="400"/>
      <c r="B11" s="420"/>
      <c r="C11" s="438"/>
      <c r="D11" s="420"/>
      <c r="E11" s="567"/>
      <c r="F11" s="439"/>
      <c r="G11" s="440"/>
      <c r="H11" s="440"/>
      <c r="I11" s="441"/>
      <c r="J11" s="420"/>
      <c r="K11" s="420"/>
      <c r="L11" s="420"/>
      <c r="M11" s="420"/>
      <c r="N11" s="569"/>
      <c r="O11" s="421"/>
      <c r="P11" s="421"/>
      <c r="Q11" s="421"/>
      <c r="R11" s="422"/>
      <c r="S11" s="422">
        <f t="shared" ref="S11" si="4">R11*T$5</f>
        <v>0</v>
      </c>
      <c r="T11" s="422">
        <f t="shared" ref="T11" si="5">IFERROR(S11*G11,0)</f>
        <v>0</v>
      </c>
      <c r="U11" s="404"/>
      <c r="V11" s="423"/>
      <c r="W11" s="423"/>
      <c r="X11" s="442"/>
      <c r="Y11" s="423"/>
      <c r="AA11" s="585" t="s">
        <v>475</v>
      </c>
      <c r="AB11" s="579" t="s">
        <v>476</v>
      </c>
      <c r="AC11" s="424">
        <f t="shared" si="1"/>
        <v>3507000</v>
      </c>
      <c r="AD11" s="424">
        <f>AC11/$AD$5</f>
        <v>1778.3975659229209</v>
      </c>
      <c r="AE11" s="424">
        <f t="shared" si="2"/>
        <v>207</v>
      </c>
      <c r="AF11" s="426">
        <f>AE11/$AD$5*100</f>
        <v>10.496957403651114</v>
      </c>
      <c r="AG11" s="424">
        <v>3134000</v>
      </c>
      <c r="AH11" s="424">
        <v>1694.9702541914548</v>
      </c>
      <c r="AI11" s="424">
        <v>184</v>
      </c>
      <c r="AJ11" s="426">
        <v>9.951325040562466</v>
      </c>
      <c r="AK11" s="427">
        <f t="shared" si="3"/>
        <v>83.427311731466034</v>
      </c>
      <c r="AL11" s="428">
        <f t="shared" ref="AL11:AL18" si="6">AF11-AJ11</f>
        <v>0.54563236308864838</v>
      </c>
      <c r="AM11" s="121"/>
      <c r="AN11" s="100"/>
    </row>
    <row r="12" spans="1:49" ht="17.25" customHeight="1" x14ac:dyDescent="0.3">
      <c r="A12" s="400"/>
      <c r="B12" s="444" t="s">
        <v>28</v>
      </c>
      <c r="C12" s="445"/>
      <c r="D12" s="445"/>
      <c r="E12" s="446"/>
      <c r="F12" s="447"/>
      <c r="G12" s="448"/>
      <c r="H12" s="446"/>
      <c r="I12" s="434">
        <f>SUBTOTAL(9,I14:I120)</f>
        <v>3049</v>
      </c>
      <c r="J12" s="449"/>
      <c r="K12" s="434">
        <f>SUBTOTAL(9,K14:K120)</f>
        <v>233785137.98778298</v>
      </c>
      <c r="L12" s="434">
        <f>SUBTOTAL(9,L14:L120)</f>
        <v>710448000</v>
      </c>
      <c r="M12" s="434">
        <f>SUBTOTAL(9,M14:M120)</f>
        <v>476662862.01221704</v>
      </c>
      <c r="N12" s="450">
        <f>K12/L12</f>
        <v>0.32906720546441537</v>
      </c>
      <c r="O12" s="451">
        <f>L12/L$10</f>
        <v>0.92096970105507681</v>
      </c>
      <c r="P12" s="451">
        <f>M12/M$10</f>
        <v>0.93445364727410607</v>
      </c>
      <c r="Q12" s="451">
        <f>I12/I$10</f>
        <v>0.44394292370413513</v>
      </c>
      <c r="R12" s="452">
        <f>I12/$K$5*100</f>
        <v>154.61460446247463</v>
      </c>
      <c r="S12" s="452">
        <f>R12*T$5</f>
        <v>455.07462686567158</v>
      </c>
      <c r="T12" s="452">
        <f>IFERROR(S12*G12,0)</f>
        <v>0</v>
      </c>
      <c r="U12" s="404"/>
      <c r="V12" s="617" t="s">
        <v>365</v>
      </c>
      <c r="W12" s="618"/>
      <c r="X12" s="435">
        <v>10000000</v>
      </c>
      <c r="Y12" s="423"/>
      <c r="AA12" s="585" t="s">
        <v>477</v>
      </c>
      <c r="AB12" s="579" t="s">
        <v>478</v>
      </c>
      <c r="AC12" s="424">
        <f t="shared" si="1"/>
        <v>28145000</v>
      </c>
      <c r="AD12" s="424">
        <f>AC12/$AD$5</f>
        <v>14272.312373225152</v>
      </c>
      <c r="AE12" s="424">
        <f t="shared" si="2"/>
        <v>518</v>
      </c>
      <c r="AF12" s="426">
        <f>AE12/$AD$5*100</f>
        <v>26.267748478701826</v>
      </c>
      <c r="AG12" s="424">
        <v>26799000</v>
      </c>
      <c r="AH12" s="424">
        <v>14493.780421849648</v>
      </c>
      <c r="AI12" s="424">
        <v>492</v>
      </c>
      <c r="AJ12" s="426">
        <v>26.608977825851809</v>
      </c>
      <c r="AK12" s="427">
        <f t="shared" si="3"/>
        <v>-221.46804862449608</v>
      </c>
      <c r="AL12" s="428">
        <f t="shared" si="6"/>
        <v>-0.34122934714998365</v>
      </c>
      <c r="AM12" s="100"/>
      <c r="AN12" s="100"/>
    </row>
    <row r="13" spans="1:49" ht="17.25" customHeight="1" x14ac:dyDescent="0.3">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585" t="s">
        <v>479</v>
      </c>
      <c r="AB13" s="579" t="s">
        <v>480</v>
      </c>
      <c r="AC13" s="424">
        <f t="shared" si="1"/>
        <v>113365000</v>
      </c>
      <c r="AD13" s="424">
        <f t="shared" ref="AD13:AD18" si="7">AC13/$AD$5</f>
        <v>57487.322515212982</v>
      </c>
      <c r="AE13" s="424">
        <f t="shared" si="2"/>
        <v>596</v>
      </c>
      <c r="AF13" s="426">
        <f t="shared" ref="AF13:AF18" si="8">AE13/$AD$5*100</f>
        <v>30.223123732251523</v>
      </c>
      <c r="AG13" s="424">
        <v>106570000</v>
      </c>
      <c r="AH13" s="424">
        <v>57636.560302866412</v>
      </c>
      <c r="AI13" s="424">
        <v>555</v>
      </c>
      <c r="AJ13" s="426">
        <v>30.01622498647918</v>
      </c>
      <c r="AK13" s="427">
        <f t="shared" si="3"/>
        <v>-149.23778765343013</v>
      </c>
      <c r="AL13" s="428">
        <f t="shared" si="6"/>
        <v>0.20689874577234235</v>
      </c>
      <c r="AM13" s="100"/>
      <c r="AN13" s="100"/>
    </row>
    <row r="14" spans="1:49" s="466" customFormat="1" ht="20.25" customHeight="1" x14ac:dyDescent="0.35">
      <c r="A14" s="453"/>
      <c r="B14" s="454" t="s">
        <v>446</v>
      </c>
      <c r="C14" s="455" t="s">
        <v>447</v>
      </c>
      <c r="D14" s="455"/>
      <c r="E14" s="456"/>
      <c r="F14" s="457"/>
      <c r="G14" s="456"/>
      <c r="H14" s="456"/>
      <c r="I14" s="458">
        <f>SUBTOTAL(9,I15:I16)</f>
        <v>1</v>
      </c>
      <c r="J14" s="459"/>
      <c r="K14" s="455">
        <f>SUBTOTAL(9,K15:K16)</f>
        <v>18475647.229822483</v>
      </c>
      <c r="L14" s="455">
        <f>SUBTOTAL(9,L15:L16)</f>
        <v>0</v>
      </c>
      <c r="M14" s="455">
        <f>SUBTOTAL(9,M15:M16)</f>
        <v>-18475647.229822483</v>
      </c>
      <c r="N14" s="460" t="e">
        <f>K14/L14</f>
        <v>#DIV/0!</v>
      </c>
      <c r="O14" s="461">
        <f>L14/L$10</f>
        <v>0</v>
      </c>
      <c r="P14" s="461">
        <f>M14/M$10</f>
        <v>-3.6219805056293339E-2</v>
      </c>
      <c r="Q14" s="461">
        <f>I14/I$10</f>
        <v>1.4560279557367502E-4</v>
      </c>
      <c r="R14" s="462">
        <f t="shared" ref="R14" si="9">I14/$K$5*100</f>
        <v>5.0709939148073022E-2</v>
      </c>
      <c r="S14" s="543">
        <f t="shared" ref="S14:S15" si="10">R14*T$5</f>
        <v>0.14925373134328357</v>
      </c>
      <c r="T14" s="544">
        <f t="shared" ref="T14:T15" si="11">IFERROR(S14*G14,0)</f>
        <v>0</v>
      </c>
      <c r="U14" s="404"/>
      <c r="V14" s="463"/>
      <c r="W14" s="463"/>
      <c r="X14" s="463"/>
      <c r="Y14" s="464"/>
      <c r="Z14" s="465"/>
      <c r="AA14" s="585" t="s">
        <v>481</v>
      </c>
      <c r="AB14" s="579" t="s">
        <v>482</v>
      </c>
      <c r="AC14" s="424">
        <f t="shared" si="1"/>
        <v>35892000</v>
      </c>
      <c r="AD14" s="424">
        <f t="shared" si="7"/>
        <v>18200.811359026367</v>
      </c>
      <c r="AE14" s="424">
        <f t="shared" si="2"/>
        <v>358</v>
      </c>
      <c r="AF14" s="426">
        <f t="shared" si="8"/>
        <v>18.154158215010142</v>
      </c>
      <c r="AG14" s="424">
        <v>32526000</v>
      </c>
      <c r="AH14" s="424">
        <v>17591.130340724718</v>
      </c>
      <c r="AI14" s="424">
        <v>324</v>
      </c>
      <c r="AJ14" s="426">
        <v>17.522985397512169</v>
      </c>
      <c r="AK14" s="427">
        <f t="shared" si="3"/>
        <v>609.6810183016496</v>
      </c>
      <c r="AL14" s="428">
        <f t="shared" si="6"/>
        <v>0.63117281749797272</v>
      </c>
      <c r="AM14" s="400"/>
      <c r="AN14" s="400"/>
      <c r="AO14" s="465"/>
      <c r="AP14" s="465"/>
      <c r="AQ14" s="571"/>
      <c r="AR14" s="571"/>
      <c r="AS14" s="571"/>
      <c r="AT14" s="571"/>
      <c r="AU14" s="571"/>
      <c r="AV14" s="571"/>
      <c r="AW14" s="571"/>
    </row>
    <row r="15" spans="1:49" s="571" customFormat="1" ht="20.25" customHeight="1" x14ac:dyDescent="0.35">
      <c r="A15" s="366">
        <v>1</v>
      </c>
      <c r="B15" s="467" t="s">
        <v>452</v>
      </c>
      <c r="C15" s="365" t="s">
        <v>448</v>
      </c>
      <c r="D15" s="365"/>
      <c r="E15" s="468"/>
      <c r="F15" s="363">
        <v>9368.9894674556199</v>
      </c>
      <c r="G15" s="470">
        <v>0</v>
      </c>
      <c r="H15" s="470">
        <f>G15-F15</f>
        <v>-9368.9894674556199</v>
      </c>
      <c r="I15" s="471">
        <v>1</v>
      </c>
      <c r="J15" s="424"/>
      <c r="K15" s="472">
        <f>I15*F15*$K$5</f>
        <v>18475647.229822483</v>
      </c>
      <c r="L15" s="424">
        <f>I15*G15</f>
        <v>0</v>
      </c>
      <c r="M15" s="424">
        <f>L15-K15</f>
        <v>-18475647.229822483</v>
      </c>
      <c r="N15" s="473" t="e">
        <f>K15/L15</f>
        <v>#DIV/0!</v>
      </c>
      <c r="O15" s="474">
        <f>L15/L$10</f>
        <v>0</v>
      </c>
      <c r="P15" s="474">
        <f>M15/M$10</f>
        <v>-3.6219805056293339E-2</v>
      </c>
      <c r="Q15" s="474">
        <f>I15/I$10</f>
        <v>1.4560279557367502E-4</v>
      </c>
      <c r="R15" s="475">
        <f>I15/$K$5*100</f>
        <v>5.0709939148073022E-2</v>
      </c>
      <c r="S15" s="545">
        <f t="shared" si="10"/>
        <v>0.14925373134328357</v>
      </c>
      <c r="T15" s="546">
        <f t="shared" si="11"/>
        <v>0</v>
      </c>
      <c r="U15" s="404"/>
      <c r="V15" s="476" t="str">
        <f t="shared" ref="V15:V122" si="12">IF(B15&lt;&gt;"",IFERROR(IF($I15&gt;=$X$10,"High","Low"),""),"")</f>
        <v>Low</v>
      </c>
      <c r="W15" s="476" t="str">
        <f t="shared" ref="W15:W122" si="13">IF(B15&lt;&gt;"",IFERROR(IF($L15&gt;=$X$12,"High","Low"),""),"")</f>
        <v>Low</v>
      </c>
      <c r="X15" s="477" t="str">
        <f t="shared" ref="X15:X122" si="14">IF(B15&lt;&gt;"",IFERROR(IF(AND(V15="high",W15="high"),"Star",IF(AND(V15="low",W15="high"),"Puzzle",(IF(AND(V15="high",W15="low"),"Horse","Dog")))),""),"")</f>
        <v>Dog</v>
      </c>
      <c r="Y15" s="374"/>
      <c r="AA15" s="585" t="s">
        <v>483</v>
      </c>
      <c r="AB15" s="579" t="s">
        <v>465</v>
      </c>
      <c r="AC15" s="424">
        <f t="shared" si="1"/>
        <v>29331000</v>
      </c>
      <c r="AD15" s="424">
        <f t="shared" si="7"/>
        <v>14873.732251521298</v>
      </c>
      <c r="AE15" s="424">
        <f t="shared" si="2"/>
        <v>219</v>
      </c>
      <c r="AF15" s="426">
        <f t="shared" si="8"/>
        <v>11.105476673427992</v>
      </c>
      <c r="AG15" s="424">
        <v>27551000</v>
      </c>
      <c r="AH15" s="424">
        <v>14900.486749594374</v>
      </c>
      <c r="AI15" s="424">
        <v>205</v>
      </c>
      <c r="AJ15" s="426">
        <v>11.087074094104922</v>
      </c>
      <c r="AK15" s="427">
        <f t="shared" si="3"/>
        <v>-26.75449807307632</v>
      </c>
      <c r="AL15" s="428">
        <f t="shared" si="6"/>
        <v>1.8402579323069546E-2</v>
      </c>
      <c r="AM15" s="366"/>
      <c r="AN15" s="366"/>
    </row>
    <row r="16" spans="1:49" s="571" customFormat="1"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t="str">
        <f t="shared" si="12"/>
        <v/>
      </c>
      <c r="W16" s="476" t="str">
        <f t="shared" si="13"/>
        <v/>
      </c>
      <c r="X16" s="477" t="str">
        <f t="shared" si="14"/>
        <v/>
      </c>
      <c r="Y16" s="374"/>
      <c r="AA16" s="585" t="s">
        <v>484</v>
      </c>
      <c r="AB16" s="579" t="s">
        <v>485</v>
      </c>
      <c r="AC16" s="424">
        <f t="shared" si="1"/>
        <v>37592000</v>
      </c>
      <c r="AD16" s="424">
        <f t="shared" si="7"/>
        <v>19062.88032454361</v>
      </c>
      <c r="AE16" s="424">
        <f t="shared" si="2"/>
        <v>411</v>
      </c>
      <c r="AF16" s="426">
        <f t="shared" si="8"/>
        <v>20.841784989858013</v>
      </c>
      <c r="AG16" s="424">
        <v>34197000</v>
      </c>
      <c r="AH16" s="424">
        <v>18494.862087614925</v>
      </c>
      <c r="AI16" s="424">
        <v>379</v>
      </c>
      <c r="AJ16" s="426">
        <v>20.497566252028125</v>
      </c>
      <c r="AK16" s="427">
        <f t="shared" si="3"/>
        <v>568.01823692868493</v>
      </c>
      <c r="AL16" s="428">
        <f t="shared" si="6"/>
        <v>0.34421873782988754</v>
      </c>
      <c r="AM16" s="366"/>
      <c r="AN16" s="366"/>
    </row>
    <row r="17" spans="1:40" ht="17.25" customHeight="1" x14ac:dyDescent="0.3">
      <c r="A17" s="453"/>
      <c r="B17" s="479" t="s">
        <v>474</v>
      </c>
      <c r="C17" s="480" t="s">
        <v>466</v>
      </c>
      <c r="D17" s="480"/>
      <c r="E17" s="481"/>
      <c r="F17" s="482"/>
      <c r="G17" s="481"/>
      <c r="H17" s="481"/>
      <c r="I17" s="483">
        <f>SUBTOTAL(9,I18:I32)</f>
        <v>243</v>
      </c>
      <c r="J17" s="484"/>
      <c r="K17" s="480">
        <f>SUBTOTAL(9,K18:K32)</f>
        <v>5842453.7934343433</v>
      </c>
      <c r="L17" s="480">
        <f>SUBTOTAL(9,L18:L32)</f>
        <v>20777000</v>
      </c>
      <c r="M17" s="480">
        <f>SUBTOTAL(9,M18:M32)</f>
        <v>14934546.206565656</v>
      </c>
      <c r="N17" s="485">
        <f t="shared" ref="N17:N31" si="15">K17/L17</f>
        <v>0.28119814186043912</v>
      </c>
      <c r="O17" s="486">
        <f t="shared" ref="O17:P31" si="16">L17/L$10</f>
        <v>2.6933691809705049E-2</v>
      </c>
      <c r="P17" s="486">
        <f t="shared" si="16"/>
        <v>2.9277802583980737E-2</v>
      </c>
      <c r="Q17" s="486">
        <f t="shared" ref="Q17:Q31" si="17">I17/I$10</f>
        <v>3.5381479324403026E-2</v>
      </c>
      <c r="R17" s="487">
        <f t="shared" ref="R17:R31" si="18">I17/$K$5*100</f>
        <v>12.322515212981743</v>
      </c>
      <c r="S17" s="543">
        <f t="shared" ref="S17:S121" si="19">R17*T$5</f>
        <v>36.268656716417908</v>
      </c>
      <c r="T17" s="544">
        <f t="shared" ref="T17:T121" si="20">IFERROR(S17*G17,0)</f>
        <v>0</v>
      </c>
      <c r="U17" s="404"/>
      <c r="V17" s="476" t="str">
        <f t="shared" si="12"/>
        <v>High</v>
      </c>
      <c r="W17" s="476" t="str">
        <f t="shared" si="13"/>
        <v>High</v>
      </c>
      <c r="X17" s="477" t="str">
        <f t="shared" si="14"/>
        <v>Star</v>
      </c>
      <c r="Y17" s="464"/>
      <c r="Z17" s="465"/>
      <c r="AA17" s="585" t="s">
        <v>559</v>
      </c>
      <c r="AB17" s="579" t="s">
        <v>560</v>
      </c>
      <c r="AC17" s="424">
        <f t="shared" si="1"/>
        <v>441839000</v>
      </c>
      <c r="AD17" s="424">
        <f t="shared" si="7"/>
        <v>224056.28803245435</v>
      </c>
      <c r="AE17" s="424">
        <f t="shared" si="2"/>
        <v>496</v>
      </c>
      <c r="AF17" s="426">
        <f t="shared" si="8"/>
        <v>25.152129817444219</v>
      </c>
      <c r="AG17" s="424">
        <v>421785000</v>
      </c>
      <c r="AH17" s="424">
        <v>228115.19740400216</v>
      </c>
      <c r="AI17" s="424">
        <v>471</v>
      </c>
      <c r="AJ17" s="426">
        <v>25.473228772309358</v>
      </c>
      <c r="AK17" s="427">
        <f t="shared" si="3"/>
        <v>-4058.9093715478084</v>
      </c>
      <c r="AL17" s="428">
        <f t="shared" si="6"/>
        <v>-0.32109895486513906</v>
      </c>
      <c r="AM17" s="100"/>
      <c r="AN17" s="100"/>
    </row>
    <row r="18" spans="1:40" ht="18" customHeight="1" x14ac:dyDescent="0.3">
      <c r="A18" s="366">
        <v>1</v>
      </c>
      <c r="B18" s="467" t="s">
        <v>490</v>
      </c>
      <c r="C18" s="365" t="s">
        <v>520</v>
      </c>
      <c r="D18" s="365"/>
      <c r="E18" s="468" t="s">
        <v>437</v>
      </c>
      <c r="F18" s="581">
        <v>15314.074074074075</v>
      </c>
      <c r="G18" s="470">
        <v>61428.571428571428</v>
      </c>
      <c r="H18" s="470">
        <f t="shared" ref="H18:H31" si="21">G18-F18</f>
        <v>46114.497354497355</v>
      </c>
      <c r="I18" s="471">
        <v>21</v>
      </c>
      <c r="J18" s="424"/>
      <c r="K18" s="424">
        <f t="shared" ref="K18:K31" si="22">I18*F18</f>
        <v>321595.55555555556</v>
      </c>
      <c r="L18" s="424">
        <f t="shared" ref="L18:L31" si="23">I18*G18</f>
        <v>1290000</v>
      </c>
      <c r="M18" s="424">
        <f t="shared" ref="M18:M31" si="24">L18-K18</f>
        <v>968404.4444444445</v>
      </c>
      <c r="N18" s="473">
        <f t="shared" si="15"/>
        <v>0.24929888027562447</v>
      </c>
      <c r="O18" s="474">
        <f t="shared" si="16"/>
        <v>1.6722559770187954E-3</v>
      </c>
      <c r="P18" s="474">
        <f t="shared" si="16"/>
        <v>1.898467737401308E-3</v>
      </c>
      <c r="Q18" s="474">
        <f t="shared" si="17"/>
        <v>3.0576587070471751E-3</v>
      </c>
      <c r="R18" s="475">
        <f t="shared" si="18"/>
        <v>1.0649087221095335</v>
      </c>
      <c r="S18" s="545">
        <f t="shared" si="19"/>
        <v>3.1343283582089554</v>
      </c>
      <c r="T18" s="546">
        <f t="shared" si="20"/>
        <v>192537.31343283583</v>
      </c>
      <c r="U18" s="404"/>
      <c r="V18" s="476" t="str">
        <f t="shared" si="12"/>
        <v>High</v>
      </c>
      <c r="W18" s="476" t="str">
        <f t="shared" si="13"/>
        <v>Low</v>
      </c>
      <c r="X18" s="477" t="str">
        <f t="shared" si="14"/>
        <v>Horse</v>
      </c>
      <c r="AA18" s="585" t="s">
        <v>486</v>
      </c>
      <c r="AB18" s="579" t="s">
        <v>487</v>
      </c>
      <c r="AC18" s="424">
        <f t="shared" si="1"/>
        <v>20441000</v>
      </c>
      <c r="AD18" s="424">
        <f t="shared" si="7"/>
        <v>10365.618661257606</v>
      </c>
      <c r="AE18" s="424">
        <f t="shared" si="2"/>
        <v>450</v>
      </c>
      <c r="AF18" s="426">
        <f t="shared" si="8"/>
        <v>22.819472616632861</v>
      </c>
      <c r="AG18" s="424">
        <v>19589000</v>
      </c>
      <c r="AH18" s="424">
        <v>10594.375338020551</v>
      </c>
      <c r="AI18" s="424">
        <v>432</v>
      </c>
      <c r="AJ18" s="426">
        <v>23.363980530016228</v>
      </c>
      <c r="AK18" s="427">
        <f t="shared" si="3"/>
        <v>-228.75667676294506</v>
      </c>
      <c r="AL18" s="428">
        <f t="shared" si="6"/>
        <v>-0.54450791338336657</v>
      </c>
      <c r="AM18" s="100"/>
      <c r="AN18" s="100"/>
    </row>
    <row r="19" spans="1:40" ht="18.75" customHeight="1" x14ac:dyDescent="0.3">
      <c r="A19" s="366">
        <f>A18+1</f>
        <v>2</v>
      </c>
      <c r="B19" s="467" t="s">
        <v>587</v>
      </c>
      <c r="C19" s="365" t="s">
        <v>644</v>
      </c>
      <c r="D19" s="365"/>
      <c r="E19" s="468" t="s">
        <v>437</v>
      </c>
      <c r="F19" s="581">
        <v>33106.818181818184</v>
      </c>
      <c r="G19" s="470">
        <v>121935.48387096774</v>
      </c>
      <c r="H19" s="470">
        <f t="shared" si="21"/>
        <v>88828.665689149551</v>
      </c>
      <c r="I19" s="471">
        <v>31</v>
      </c>
      <c r="J19" s="424"/>
      <c r="K19" s="424">
        <f t="shared" si="22"/>
        <v>1026311.3636363636</v>
      </c>
      <c r="L19" s="424">
        <f t="shared" si="23"/>
        <v>3780000</v>
      </c>
      <c r="M19" s="424">
        <f t="shared" si="24"/>
        <v>2753688.6363636362</v>
      </c>
      <c r="N19" s="473">
        <f t="shared" si="15"/>
        <v>0.27151094276094279</v>
      </c>
      <c r="O19" s="474">
        <f t="shared" si="16"/>
        <v>4.9000989094039119E-3</v>
      </c>
      <c r="P19" s="474">
        <f t="shared" si="16"/>
        <v>5.398352997010511E-3</v>
      </c>
      <c r="Q19" s="474">
        <f t="shared" si="17"/>
        <v>4.5136866627839252E-3</v>
      </c>
      <c r="R19" s="475">
        <f t="shared" si="18"/>
        <v>1.5720081135902637</v>
      </c>
      <c r="S19" s="545">
        <f t="shared" si="19"/>
        <v>4.6268656716417906</v>
      </c>
      <c r="T19" s="546">
        <f t="shared" si="20"/>
        <v>564179.10447761184</v>
      </c>
      <c r="U19" s="404"/>
      <c r="V19" s="476" t="str">
        <f t="shared" si="12"/>
        <v>High</v>
      </c>
      <c r="W19" s="476" t="str">
        <f t="shared" si="13"/>
        <v>Low</v>
      </c>
      <c r="X19" s="477" t="str">
        <f t="shared" si="14"/>
        <v>Horse</v>
      </c>
      <c r="AA19" s="586" t="s">
        <v>449</v>
      </c>
      <c r="AB19" s="443" t="s">
        <v>450</v>
      </c>
      <c r="AC19" s="424">
        <f t="shared" si="1"/>
        <v>2480000</v>
      </c>
      <c r="AD19" s="424">
        <f>AC19/$AD$5</f>
        <v>1257.606490872211</v>
      </c>
      <c r="AE19" s="424">
        <f t="shared" si="2"/>
        <v>928</v>
      </c>
      <c r="AF19" s="426">
        <f>AE19/$AD$5*100</f>
        <v>47.058823529411761</v>
      </c>
      <c r="AG19" s="424">
        <v>2150000</v>
      </c>
      <c r="AH19" s="424">
        <v>1162.7906976744187</v>
      </c>
      <c r="AI19" s="424">
        <v>852</v>
      </c>
      <c r="AJ19" s="426">
        <v>46.078961600865334</v>
      </c>
      <c r="AK19" s="427">
        <f>AD19-AH19</f>
        <v>94.815793197792345</v>
      </c>
      <c r="AL19" s="428">
        <f>AF19-AJ19</f>
        <v>0.97986192854642695</v>
      </c>
      <c r="AM19" s="100"/>
      <c r="AN19" s="100"/>
    </row>
    <row r="20" spans="1:40" ht="18.75" customHeight="1" x14ac:dyDescent="0.3">
      <c r="A20" s="366">
        <f t="shared" ref="A20:A31" si="25">A19+1</f>
        <v>3</v>
      </c>
      <c r="B20" s="467" t="s">
        <v>588</v>
      </c>
      <c r="C20" s="365" t="s">
        <v>645</v>
      </c>
      <c r="D20" s="365"/>
      <c r="E20" s="468" t="s">
        <v>437</v>
      </c>
      <c r="F20" s="581">
        <v>29369.599999999999</v>
      </c>
      <c r="G20" s="470">
        <v>82117.647058823524</v>
      </c>
      <c r="H20" s="470">
        <f t="shared" si="21"/>
        <v>52748.047058823526</v>
      </c>
      <c r="I20" s="471">
        <v>17</v>
      </c>
      <c r="J20" s="424"/>
      <c r="K20" s="424">
        <f t="shared" si="22"/>
        <v>499283.19999999995</v>
      </c>
      <c r="L20" s="424">
        <f t="shared" si="23"/>
        <v>1396000</v>
      </c>
      <c r="M20" s="424">
        <f t="shared" si="24"/>
        <v>896716.80000000005</v>
      </c>
      <c r="N20" s="473">
        <f t="shared" si="15"/>
        <v>0.35765272206303722</v>
      </c>
      <c r="O20" s="474">
        <f t="shared" si="16"/>
        <v>1.8096661580761537E-3</v>
      </c>
      <c r="P20" s="474">
        <f t="shared" si="16"/>
        <v>1.7579307118549723E-3</v>
      </c>
      <c r="Q20" s="474">
        <f t="shared" si="17"/>
        <v>2.4752475247524753E-3</v>
      </c>
      <c r="R20" s="475">
        <f t="shared" si="18"/>
        <v>0.86206896551724133</v>
      </c>
      <c r="S20" s="545">
        <f t="shared" si="19"/>
        <v>2.5373134328358207</v>
      </c>
      <c r="T20" s="546">
        <f t="shared" si="20"/>
        <v>208358.20895522385</v>
      </c>
      <c r="U20" s="404"/>
      <c r="V20" s="476" t="str">
        <f t="shared" si="12"/>
        <v>High</v>
      </c>
      <c r="W20" s="476" t="str">
        <f t="shared" si="13"/>
        <v>Low</v>
      </c>
      <c r="X20" s="477" t="str">
        <f t="shared" si="14"/>
        <v>Horse</v>
      </c>
      <c r="AA20" s="587" t="s">
        <v>493</v>
      </c>
      <c r="AB20" s="588" t="s">
        <v>440</v>
      </c>
      <c r="AC20" s="499">
        <f t="shared" si="1"/>
        <v>4350000</v>
      </c>
      <c r="AD20" s="499">
        <f>AC20/$AD$5</f>
        <v>2205.8823529411766</v>
      </c>
      <c r="AE20" s="499">
        <f t="shared" si="2"/>
        <v>1401</v>
      </c>
      <c r="AF20" s="500">
        <f>AE20/$AD$5*100</f>
        <v>71.044624746450296</v>
      </c>
      <c r="AG20" s="499">
        <v>4065000</v>
      </c>
      <c r="AH20" s="499">
        <v>2198.4856679286099</v>
      </c>
      <c r="AI20" s="499">
        <v>1306</v>
      </c>
      <c r="AJ20" s="500">
        <v>70.632774472687942</v>
      </c>
      <c r="AK20" s="501">
        <f>AD20-AH20</f>
        <v>7.3966850125666497</v>
      </c>
      <c r="AL20" s="502">
        <f>AF20-AJ20</f>
        <v>0.41185027376235439</v>
      </c>
      <c r="AM20" s="100"/>
      <c r="AN20" s="100"/>
    </row>
    <row r="21" spans="1:40" ht="18.75" customHeight="1" x14ac:dyDescent="0.3">
      <c r="A21" s="366">
        <f t="shared" si="25"/>
        <v>4</v>
      </c>
      <c r="B21" s="467" t="s">
        <v>589</v>
      </c>
      <c r="C21" s="365" t="s">
        <v>646</v>
      </c>
      <c r="D21" s="365"/>
      <c r="E21" s="468" t="s">
        <v>437</v>
      </c>
      <c r="F21" s="581">
        <v>18214.121212121212</v>
      </c>
      <c r="G21" s="470">
        <v>81451.612903225803</v>
      </c>
      <c r="H21" s="470">
        <f t="shared" si="21"/>
        <v>63237.491691104588</v>
      </c>
      <c r="I21" s="471">
        <v>31</v>
      </c>
      <c r="J21" s="424"/>
      <c r="K21" s="424">
        <f t="shared" si="22"/>
        <v>564637.75757575757</v>
      </c>
      <c r="L21" s="424">
        <f t="shared" si="23"/>
        <v>2525000</v>
      </c>
      <c r="M21" s="424">
        <f t="shared" si="24"/>
        <v>1960362.2424242424</v>
      </c>
      <c r="N21" s="473">
        <f t="shared" si="15"/>
        <v>0.22361891389138913</v>
      </c>
      <c r="O21" s="474">
        <f t="shared" si="16"/>
        <v>3.2732142185833012E-3</v>
      </c>
      <c r="P21" s="474">
        <f t="shared" si="16"/>
        <v>3.8431096554881745E-3</v>
      </c>
      <c r="Q21" s="474">
        <f t="shared" si="17"/>
        <v>4.5136866627839252E-3</v>
      </c>
      <c r="R21" s="475">
        <f t="shared" si="18"/>
        <v>1.5720081135902637</v>
      </c>
      <c r="S21" s="545">
        <f t="shared" si="19"/>
        <v>4.6268656716417906</v>
      </c>
      <c r="T21" s="546">
        <f t="shared" si="20"/>
        <v>376865.67164179101</v>
      </c>
      <c r="U21" s="404"/>
      <c r="V21" s="476" t="str">
        <f t="shared" si="12"/>
        <v>High</v>
      </c>
      <c r="W21" s="476" t="str">
        <f t="shared" si="13"/>
        <v>Low</v>
      </c>
      <c r="X21" s="477" t="str">
        <f t="shared" si="14"/>
        <v>Horse</v>
      </c>
      <c r="AA21" s="366"/>
      <c r="AB21" s="534"/>
      <c r="AC21" s="366"/>
      <c r="AD21" s="366"/>
      <c r="AE21" s="366"/>
      <c r="AF21" s="572"/>
      <c r="AG21" s="366"/>
      <c r="AH21" s="366"/>
      <c r="AI21" s="366"/>
      <c r="AJ21" s="572"/>
      <c r="AK21" s="535"/>
      <c r="AL21" s="536"/>
      <c r="AM21" s="100"/>
      <c r="AN21" s="100"/>
    </row>
    <row r="22" spans="1:40" ht="18.75" customHeight="1" x14ac:dyDescent="0.3">
      <c r="A22" s="366">
        <f t="shared" si="25"/>
        <v>5</v>
      </c>
      <c r="B22" s="467" t="s">
        <v>590</v>
      </c>
      <c r="C22" s="365" t="s">
        <v>647</v>
      </c>
      <c r="D22" s="365"/>
      <c r="E22" s="468" t="s">
        <v>437</v>
      </c>
      <c r="F22" s="581">
        <v>7663.8</v>
      </c>
      <c r="G22" s="470">
        <v>50000</v>
      </c>
      <c r="H22" s="470">
        <f t="shared" si="21"/>
        <v>42336.2</v>
      </c>
      <c r="I22" s="471">
        <v>5</v>
      </c>
      <c r="J22" s="424"/>
      <c r="K22" s="424">
        <f t="shared" si="22"/>
        <v>38319</v>
      </c>
      <c r="L22" s="424">
        <f t="shared" si="23"/>
        <v>250000</v>
      </c>
      <c r="M22" s="424">
        <f t="shared" si="24"/>
        <v>211681</v>
      </c>
      <c r="N22" s="473">
        <f t="shared" si="15"/>
        <v>0.153276</v>
      </c>
      <c r="O22" s="474">
        <f t="shared" si="16"/>
        <v>3.2408061570131694E-4</v>
      </c>
      <c r="P22" s="474">
        <f t="shared" si="16"/>
        <v>4.1498110776576553E-4</v>
      </c>
      <c r="Q22" s="474">
        <f t="shared" si="17"/>
        <v>7.2801397786837504E-4</v>
      </c>
      <c r="R22" s="475">
        <f t="shared" si="18"/>
        <v>0.25354969574036512</v>
      </c>
      <c r="S22" s="545">
        <f t="shared" si="19"/>
        <v>0.74626865671641796</v>
      </c>
      <c r="T22" s="546">
        <f t="shared" si="20"/>
        <v>37313.432835820895</v>
      </c>
      <c r="U22" s="404"/>
      <c r="V22" s="476" t="str">
        <f t="shared" si="12"/>
        <v>Low</v>
      </c>
      <c r="W22" s="476" t="str">
        <f t="shared" si="13"/>
        <v>Low</v>
      </c>
      <c r="X22" s="477" t="str">
        <f t="shared" si="14"/>
        <v>Dog</v>
      </c>
      <c r="AA22" s="366"/>
      <c r="AB22" s="534"/>
      <c r="AC22" s="366"/>
      <c r="AD22" s="366"/>
      <c r="AE22" s="366"/>
      <c r="AF22" s="572"/>
      <c r="AG22" s="366"/>
      <c r="AH22" s="366"/>
      <c r="AI22" s="366"/>
      <c r="AJ22" s="572"/>
      <c r="AK22" s="535"/>
      <c r="AL22" s="536"/>
      <c r="AM22" s="100"/>
      <c r="AN22" s="100"/>
    </row>
    <row r="23" spans="1:40" ht="18.75" customHeight="1" x14ac:dyDescent="0.3">
      <c r="A23" s="366">
        <f t="shared" si="25"/>
        <v>6</v>
      </c>
      <c r="B23" s="467" t="s">
        <v>591</v>
      </c>
      <c r="C23" s="365" t="s">
        <v>648</v>
      </c>
      <c r="D23" s="365"/>
      <c r="E23" s="468" t="s">
        <v>437</v>
      </c>
      <c r="F23" s="581">
        <v>11788</v>
      </c>
      <c r="G23" s="470">
        <v>40000</v>
      </c>
      <c r="H23" s="470">
        <f t="shared" si="21"/>
        <v>28212</v>
      </c>
      <c r="I23" s="471">
        <v>4</v>
      </c>
      <c r="J23" s="424"/>
      <c r="K23" s="424">
        <f t="shared" si="22"/>
        <v>47152</v>
      </c>
      <c r="L23" s="424">
        <f t="shared" si="23"/>
        <v>160000</v>
      </c>
      <c r="M23" s="424">
        <f t="shared" si="24"/>
        <v>112848</v>
      </c>
      <c r="N23" s="473">
        <f t="shared" si="15"/>
        <v>0.29470000000000002</v>
      </c>
      <c r="O23" s="474">
        <f t="shared" si="16"/>
        <v>2.0741159404884284E-4</v>
      </c>
      <c r="P23" s="474">
        <f t="shared" si="16"/>
        <v>2.2122811234428743E-4</v>
      </c>
      <c r="Q23" s="474">
        <f t="shared" si="17"/>
        <v>5.8241118229470008E-4</v>
      </c>
      <c r="R23" s="475">
        <f t="shared" si="18"/>
        <v>0.20283975659229209</v>
      </c>
      <c r="S23" s="545">
        <f t="shared" si="19"/>
        <v>0.59701492537313428</v>
      </c>
      <c r="T23" s="546">
        <f t="shared" si="20"/>
        <v>23880.59701492537</v>
      </c>
      <c r="U23" s="404"/>
      <c r="V23" s="476" t="str">
        <f t="shared" si="12"/>
        <v>Low</v>
      </c>
      <c r="W23" s="476" t="str">
        <f t="shared" si="13"/>
        <v>Low</v>
      </c>
      <c r="X23" s="477" t="str">
        <f t="shared" si="14"/>
        <v>Dog</v>
      </c>
      <c r="AA23" s="366"/>
      <c r="AB23" s="534"/>
      <c r="AC23" s="366"/>
      <c r="AD23" s="366"/>
      <c r="AE23" s="366"/>
      <c r="AF23" s="572"/>
      <c r="AG23" s="366"/>
      <c r="AH23" s="366"/>
      <c r="AI23" s="366"/>
      <c r="AJ23" s="572"/>
      <c r="AK23" s="535"/>
      <c r="AL23" s="536"/>
      <c r="AM23" s="100"/>
      <c r="AN23" s="100"/>
    </row>
    <row r="24" spans="1:40" ht="18.75" customHeight="1" x14ac:dyDescent="0.3">
      <c r="A24" s="366">
        <f t="shared" si="25"/>
        <v>7</v>
      </c>
      <c r="B24" s="467" t="s">
        <v>592</v>
      </c>
      <c r="C24" s="365" t="s">
        <v>649</v>
      </c>
      <c r="D24" s="365"/>
      <c r="E24" s="468" t="s">
        <v>437</v>
      </c>
      <c r="F24" s="581">
        <v>13625</v>
      </c>
      <c r="G24" s="470">
        <v>50000</v>
      </c>
      <c r="H24" s="470">
        <f t="shared" si="21"/>
        <v>36375</v>
      </c>
      <c r="I24" s="471">
        <v>3</v>
      </c>
      <c r="J24" s="424"/>
      <c r="K24" s="424">
        <f t="shared" si="22"/>
        <v>40875</v>
      </c>
      <c r="L24" s="424">
        <f t="shared" si="23"/>
        <v>150000</v>
      </c>
      <c r="M24" s="424">
        <f t="shared" si="24"/>
        <v>109125</v>
      </c>
      <c r="N24" s="473">
        <f t="shared" si="15"/>
        <v>0.27250000000000002</v>
      </c>
      <c r="O24" s="474">
        <f t="shared" si="16"/>
        <v>1.9444836942079016E-4</v>
      </c>
      <c r="P24" s="474">
        <f t="shared" si="16"/>
        <v>2.1392951367831388E-4</v>
      </c>
      <c r="Q24" s="474">
        <f t="shared" si="17"/>
        <v>4.3680838672102506E-4</v>
      </c>
      <c r="R24" s="475">
        <f t="shared" si="18"/>
        <v>0.15212981744421905</v>
      </c>
      <c r="S24" s="545">
        <f t="shared" si="19"/>
        <v>0.44776119402985071</v>
      </c>
      <c r="T24" s="546">
        <f t="shared" si="20"/>
        <v>22388.059701492537</v>
      </c>
      <c r="U24" s="404"/>
      <c r="V24" s="476" t="str">
        <f t="shared" si="12"/>
        <v>Low</v>
      </c>
      <c r="W24" s="476" t="str">
        <f t="shared" si="13"/>
        <v>Low</v>
      </c>
      <c r="X24" s="477" t="str">
        <f t="shared" si="14"/>
        <v>Dog</v>
      </c>
      <c r="AA24" s="366"/>
      <c r="AB24" s="534"/>
      <c r="AC24" s="366"/>
      <c r="AD24" s="366"/>
      <c r="AE24" s="366"/>
      <c r="AF24" s="572"/>
      <c r="AG24" s="366"/>
      <c r="AH24" s="366"/>
      <c r="AI24" s="366"/>
      <c r="AJ24" s="572"/>
      <c r="AK24" s="535"/>
      <c r="AL24" s="536"/>
      <c r="AM24" s="100"/>
      <c r="AN24" s="100"/>
    </row>
    <row r="25" spans="1:40" ht="18.75" customHeight="1" x14ac:dyDescent="0.3">
      <c r="A25" s="366">
        <f t="shared" si="25"/>
        <v>8</v>
      </c>
      <c r="B25" s="467" t="s">
        <v>593</v>
      </c>
      <c r="C25" s="365" t="s">
        <v>650</v>
      </c>
      <c r="D25" s="365"/>
      <c r="E25" s="468" t="s">
        <v>437</v>
      </c>
      <c r="F25" s="551">
        <v>40059.545454545456</v>
      </c>
      <c r="G25" s="470">
        <v>120000</v>
      </c>
      <c r="H25" s="470">
        <f t="shared" si="21"/>
        <v>79940.454545454544</v>
      </c>
      <c r="I25" s="471">
        <v>1</v>
      </c>
      <c r="J25" s="424"/>
      <c r="K25" s="424">
        <f t="shared" si="22"/>
        <v>40059.545454545456</v>
      </c>
      <c r="L25" s="424">
        <f t="shared" si="23"/>
        <v>120000</v>
      </c>
      <c r="M25" s="424">
        <f t="shared" si="24"/>
        <v>79940.454545454544</v>
      </c>
      <c r="N25" s="473">
        <f t="shared" si="15"/>
        <v>0.33382954545454546</v>
      </c>
      <c r="O25" s="474">
        <f t="shared" si="16"/>
        <v>1.5555869553663212E-4</v>
      </c>
      <c r="P25" s="474">
        <f t="shared" si="16"/>
        <v>1.5671589978586434E-4</v>
      </c>
      <c r="Q25" s="474">
        <f t="shared" si="17"/>
        <v>1.4560279557367502E-4</v>
      </c>
      <c r="R25" s="475">
        <f t="shared" si="18"/>
        <v>5.0709939148073022E-2</v>
      </c>
      <c r="S25" s="545">
        <f t="shared" si="19"/>
        <v>0.14925373134328357</v>
      </c>
      <c r="T25" s="546">
        <f t="shared" si="20"/>
        <v>17910.447761194027</v>
      </c>
      <c r="U25" s="404"/>
      <c r="V25" s="476" t="str">
        <f t="shared" si="12"/>
        <v>Low</v>
      </c>
      <c r="W25" s="476" t="str">
        <f t="shared" si="13"/>
        <v>Low</v>
      </c>
      <c r="X25" s="477" t="str">
        <f t="shared" si="14"/>
        <v>Dog</v>
      </c>
      <c r="AA25" s="366"/>
      <c r="AB25" s="534"/>
      <c r="AC25" s="366"/>
      <c r="AD25" s="366"/>
      <c r="AE25" s="366"/>
      <c r="AF25" s="572"/>
      <c r="AG25" s="366"/>
      <c r="AH25" s="366"/>
      <c r="AI25" s="366"/>
      <c r="AJ25" s="572"/>
      <c r="AK25" s="535"/>
      <c r="AL25" s="536"/>
      <c r="AM25" s="100"/>
      <c r="AN25" s="100"/>
    </row>
    <row r="26" spans="1:40" ht="18.75" customHeight="1" x14ac:dyDescent="0.3">
      <c r="A26" s="366">
        <f t="shared" si="25"/>
        <v>9</v>
      </c>
      <c r="B26" s="467" t="s">
        <v>594</v>
      </c>
      <c r="C26" s="365" t="s">
        <v>651</v>
      </c>
      <c r="D26" s="365"/>
      <c r="E26" s="468" t="s">
        <v>437</v>
      </c>
      <c r="F26" s="581">
        <v>17184.454545454544</v>
      </c>
      <c r="G26" s="470">
        <v>70000</v>
      </c>
      <c r="H26" s="470">
        <f t="shared" si="21"/>
        <v>52815.545454545456</v>
      </c>
      <c r="I26" s="471">
        <v>12</v>
      </c>
      <c r="J26" s="424"/>
      <c r="K26" s="424">
        <f t="shared" si="22"/>
        <v>206213.45454545453</v>
      </c>
      <c r="L26" s="424">
        <f t="shared" si="23"/>
        <v>840000</v>
      </c>
      <c r="M26" s="424">
        <f t="shared" si="24"/>
        <v>633786.54545454541</v>
      </c>
      <c r="N26" s="473">
        <f t="shared" si="15"/>
        <v>0.24549220779220776</v>
      </c>
      <c r="O26" s="474">
        <f t="shared" si="16"/>
        <v>1.0889108687564249E-3</v>
      </c>
      <c r="P26" s="474">
        <f t="shared" si="16"/>
        <v>1.24248015986208E-3</v>
      </c>
      <c r="Q26" s="474">
        <f t="shared" si="17"/>
        <v>1.7472335468841002E-3</v>
      </c>
      <c r="R26" s="475">
        <f t="shared" si="18"/>
        <v>0.6085192697768762</v>
      </c>
      <c r="S26" s="545">
        <f t="shared" si="19"/>
        <v>1.7910447761194028</v>
      </c>
      <c r="T26" s="546">
        <f t="shared" si="20"/>
        <v>125373.1343283582</v>
      </c>
      <c r="U26" s="404"/>
      <c r="V26" s="476" t="str">
        <f t="shared" si="12"/>
        <v>High</v>
      </c>
      <c r="W26" s="476" t="str">
        <f t="shared" si="13"/>
        <v>Low</v>
      </c>
      <c r="X26" s="477" t="str">
        <f t="shared" si="14"/>
        <v>Horse</v>
      </c>
      <c r="AA26" s="366"/>
      <c r="AB26" s="534"/>
      <c r="AC26" s="366"/>
      <c r="AD26" s="366"/>
      <c r="AE26" s="366"/>
      <c r="AF26" s="572"/>
      <c r="AG26" s="366"/>
      <c r="AH26" s="366"/>
      <c r="AI26" s="366"/>
      <c r="AJ26" s="572"/>
      <c r="AK26" s="535"/>
      <c r="AL26" s="536"/>
      <c r="AM26" s="100"/>
      <c r="AN26" s="100"/>
    </row>
    <row r="27" spans="1:40" ht="18.75" customHeight="1" x14ac:dyDescent="0.3">
      <c r="A27" s="366">
        <f t="shared" si="25"/>
        <v>10</v>
      </c>
      <c r="B27" s="467" t="s">
        <v>595</v>
      </c>
      <c r="C27" s="365" t="s">
        <v>652</v>
      </c>
      <c r="D27" s="365"/>
      <c r="E27" s="468" t="s">
        <v>437</v>
      </c>
      <c r="F27" s="581">
        <v>41565.199999999997</v>
      </c>
      <c r="G27" s="470">
        <v>120588.23529411765</v>
      </c>
      <c r="H27" s="470">
        <f t="shared" si="21"/>
        <v>79023.035294117653</v>
      </c>
      <c r="I27" s="471">
        <v>17</v>
      </c>
      <c r="J27" s="424"/>
      <c r="K27" s="424">
        <f t="shared" si="22"/>
        <v>706608.39999999991</v>
      </c>
      <c r="L27" s="424">
        <f t="shared" si="23"/>
        <v>2050000</v>
      </c>
      <c r="M27" s="424">
        <f t="shared" si="24"/>
        <v>1343391.6</v>
      </c>
      <c r="N27" s="473">
        <f t="shared" si="15"/>
        <v>0.34468702439024385</v>
      </c>
      <c r="O27" s="474">
        <f t="shared" si="16"/>
        <v>2.6574610487507988E-3</v>
      </c>
      <c r="P27" s="474">
        <f t="shared" si="16"/>
        <v>2.6335955250174751E-3</v>
      </c>
      <c r="Q27" s="474">
        <f t="shared" si="17"/>
        <v>2.4752475247524753E-3</v>
      </c>
      <c r="R27" s="475">
        <f t="shared" si="18"/>
        <v>0.86206896551724133</v>
      </c>
      <c r="S27" s="545">
        <f t="shared" si="19"/>
        <v>2.5373134328358207</v>
      </c>
      <c r="T27" s="546">
        <f t="shared" si="20"/>
        <v>305970.1492537313</v>
      </c>
      <c r="U27" s="404"/>
      <c r="V27" s="476" t="str">
        <f t="shared" si="12"/>
        <v>High</v>
      </c>
      <c r="W27" s="476" t="str">
        <f t="shared" si="13"/>
        <v>Low</v>
      </c>
      <c r="X27" s="477" t="str">
        <f t="shared" si="14"/>
        <v>Horse</v>
      </c>
      <c r="AA27" s="366"/>
      <c r="AB27" s="534"/>
      <c r="AC27" s="366"/>
      <c r="AD27" s="366"/>
      <c r="AE27" s="366"/>
      <c r="AF27" s="572"/>
      <c r="AG27" s="366"/>
      <c r="AH27" s="366"/>
      <c r="AI27" s="366"/>
      <c r="AJ27" s="572"/>
      <c r="AK27" s="535"/>
      <c r="AL27" s="536"/>
      <c r="AM27" s="100"/>
      <c r="AN27" s="100"/>
    </row>
    <row r="28" spans="1:40" ht="18.75" customHeight="1" x14ac:dyDescent="0.3">
      <c r="A28" s="366">
        <f t="shared" si="25"/>
        <v>11</v>
      </c>
      <c r="B28" s="467" t="s">
        <v>596</v>
      </c>
      <c r="C28" s="365" t="s">
        <v>653</v>
      </c>
      <c r="D28" s="365"/>
      <c r="E28" s="468" t="s">
        <v>437</v>
      </c>
      <c r="F28" s="581">
        <v>27660.75</v>
      </c>
      <c r="G28" s="470">
        <v>106851.85185185185</v>
      </c>
      <c r="H28" s="470">
        <f t="shared" si="21"/>
        <v>79191.101851851854</v>
      </c>
      <c r="I28" s="471">
        <v>27</v>
      </c>
      <c r="J28" s="424"/>
      <c r="K28" s="424">
        <f t="shared" si="22"/>
        <v>746840.25</v>
      </c>
      <c r="L28" s="424">
        <f t="shared" si="23"/>
        <v>2885000</v>
      </c>
      <c r="M28" s="424">
        <f t="shared" si="24"/>
        <v>2138159.75</v>
      </c>
      <c r="N28" s="473">
        <f t="shared" si="15"/>
        <v>0.25887010398613519</v>
      </c>
      <c r="O28" s="474">
        <f t="shared" si="16"/>
        <v>3.7398903051931976E-3</v>
      </c>
      <c r="P28" s="474">
        <f t="shared" si="16"/>
        <v>4.1916652965319143E-3</v>
      </c>
      <c r="Q28" s="474">
        <f t="shared" si="17"/>
        <v>3.9312754804892254E-3</v>
      </c>
      <c r="R28" s="475">
        <f t="shared" si="18"/>
        <v>1.3691683569979716</v>
      </c>
      <c r="S28" s="545">
        <f t="shared" si="19"/>
        <v>4.0298507462686564</v>
      </c>
      <c r="T28" s="546">
        <f t="shared" si="20"/>
        <v>430597.01492537308</v>
      </c>
      <c r="U28" s="404"/>
      <c r="V28" s="476" t="str">
        <f t="shared" si="12"/>
        <v>High</v>
      </c>
      <c r="W28" s="476" t="str">
        <f t="shared" si="13"/>
        <v>Low</v>
      </c>
      <c r="X28" s="477" t="str">
        <f t="shared" si="14"/>
        <v>Horse</v>
      </c>
      <c r="AA28" s="366"/>
      <c r="AB28" s="534"/>
      <c r="AC28" s="366"/>
      <c r="AD28" s="366"/>
      <c r="AE28" s="366"/>
      <c r="AF28" s="572"/>
      <c r="AG28" s="366"/>
      <c r="AH28" s="366"/>
      <c r="AI28" s="366"/>
      <c r="AJ28" s="572"/>
      <c r="AK28" s="535"/>
      <c r="AL28" s="536"/>
      <c r="AM28" s="100"/>
      <c r="AN28" s="100"/>
    </row>
    <row r="29" spans="1:40" ht="18.75" customHeight="1" x14ac:dyDescent="0.3">
      <c r="A29" s="366">
        <f t="shared" si="25"/>
        <v>12</v>
      </c>
      <c r="B29" s="467" t="s">
        <v>597</v>
      </c>
      <c r="C29" s="365" t="s">
        <v>654</v>
      </c>
      <c r="D29" s="365"/>
      <c r="E29" s="468" t="s">
        <v>437</v>
      </c>
      <c r="F29" s="581">
        <v>35570.400000000001</v>
      </c>
      <c r="G29" s="470">
        <v>99000</v>
      </c>
      <c r="H29" s="470">
        <f t="shared" si="21"/>
        <v>63429.599999999999</v>
      </c>
      <c r="I29" s="471">
        <v>4</v>
      </c>
      <c r="J29" s="424"/>
      <c r="K29" s="424">
        <f t="shared" si="22"/>
        <v>142281.60000000001</v>
      </c>
      <c r="L29" s="424">
        <f t="shared" si="23"/>
        <v>396000</v>
      </c>
      <c r="M29" s="424">
        <f t="shared" si="24"/>
        <v>253718.39999999999</v>
      </c>
      <c r="N29" s="473">
        <f t="shared" si="15"/>
        <v>0.35929696969696973</v>
      </c>
      <c r="O29" s="474">
        <f t="shared" si="16"/>
        <v>5.1334369527088598E-4</v>
      </c>
      <c r="P29" s="474">
        <f t="shared" si="16"/>
        <v>4.9739155943404273E-4</v>
      </c>
      <c r="Q29" s="474">
        <f t="shared" si="17"/>
        <v>5.8241118229470008E-4</v>
      </c>
      <c r="R29" s="475">
        <f t="shared" si="18"/>
        <v>0.20283975659229209</v>
      </c>
      <c r="S29" s="545">
        <f t="shared" si="19"/>
        <v>0.59701492537313428</v>
      </c>
      <c r="T29" s="546">
        <f t="shared" si="20"/>
        <v>59104.477611940296</v>
      </c>
      <c r="U29" s="404"/>
      <c r="V29" s="476" t="str">
        <f t="shared" si="12"/>
        <v>Low</v>
      </c>
      <c r="W29" s="476" t="str">
        <f t="shared" si="13"/>
        <v>Low</v>
      </c>
      <c r="X29" s="477" t="str">
        <f t="shared" si="14"/>
        <v>Dog</v>
      </c>
      <c r="AA29" s="366"/>
      <c r="AB29" s="534"/>
      <c r="AC29" s="366"/>
      <c r="AD29" s="366"/>
      <c r="AE29" s="366"/>
      <c r="AF29" s="572"/>
      <c r="AG29" s="366"/>
      <c r="AH29" s="366"/>
      <c r="AI29" s="366"/>
      <c r="AJ29" s="572"/>
      <c r="AK29" s="535"/>
      <c r="AL29" s="536"/>
      <c r="AM29" s="100"/>
      <c r="AN29" s="100"/>
    </row>
    <row r="30" spans="1:40" ht="18.75" customHeight="1" x14ac:dyDescent="0.3">
      <c r="A30" s="366">
        <f t="shared" si="25"/>
        <v>13</v>
      </c>
      <c r="B30" s="467" t="s">
        <v>598</v>
      </c>
      <c r="C30" s="365" t="s">
        <v>655</v>
      </c>
      <c r="D30" s="365"/>
      <c r="E30" s="468" t="s">
        <v>437</v>
      </c>
      <c r="F30" s="581"/>
      <c r="G30" s="470">
        <v>0</v>
      </c>
      <c r="H30" s="470">
        <f t="shared" si="21"/>
        <v>0</v>
      </c>
      <c r="I30" s="471">
        <v>0</v>
      </c>
      <c r="J30" s="424"/>
      <c r="K30" s="424">
        <f t="shared" si="22"/>
        <v>0</v>
      </c>
      <c r="L30" s="424">
        <f t="shared" si="23"/>
        <v>0</v>
      </c>
      <c r="M30" s="424">
        <f t="shared" si="24"/>
        <v>0</v>
      </c>
      <c r="N30" s="473" t="e">
        <f t="shared" si="15"/>
        <v>#DIV/0!</v>
      </c>
      <c r="O30" s="474">
        <f t="shared" si="16"/>
        <v>0</v>
      </c>
      <c r="P30" s="474">
        <f t="shared" si="16"/>
        <v>0</v>
      </c>
      <c r="Q30" s="474">
        <f t="shared" si="17"/>
        <v>0</v>
      </c>
      <c r="R30" s="475">
        <f t="shared" si="18"/>
        <v>0</v>
      </c>
      <c r="S30" s="545">
        <f t="shared" si="19"/>
        <v>0</v>
      </c>
      <c r="T30" s="546">
        <f t="shared" si="20"/>
        <v>0</v>
      </c>
      <c r="U30" s="404"/>
      <c r="V30" s="476" t="str">
        <f t="shared" si="12"/>
        <v>Low</v>
      </c>
      <c r="W30" s="476" t="str">
        <f t="shared" si="13"/>
        <v>Low</v>
      </c>
      <c r="X30" s="477" t="str">
        <f t="shared" si="14"/>
        <v>Dog</v>
      </c>
      <c r="AA30" s="366"/>
      <c r="AB30" s="534"/>
      <c r="AC30" s="366"/>
      <c r="AD30" s="366"/>
      <c r="AE30" s="366"/>
      <c r="AF30" s="572"/>
      <c r="AG30" s="366"/>
      <c r="AH30" s="366"/>
      <c r="AI30" s="366"/>
      <c r="AJ30" s="572"/>
      <c r="AK30" s="535"/>
      <c r="AL30" s="536"/>
      <c r="AM30" s="100"/>
      <c r="AN30" s="100"/>
    </row>
    <row r="31" spans="1:40" ht="18.75" customHeight="1" x14ac:dyDescent="0.3">
      <c r="A31" s="366">
        <f t="shared" si="25"/>
        <v>14</v>
      </c>
      <c r="B31" s="467" t="s">
        <v>599</v>
      </c>
      <c r="C31" s="365" t="s">
        <v>567</v>
      </c>
      <c r="D31" s="365"/>
      <c r="E31" s="468" t="s">
        <v>437</v>
      </c>
      <c r="F31" s="581">
        <v>20889.666666666668</v>
      </c>
      <c r="G31" s="470">
        <v>70500</v>
      </c>
      <c r="H31" s="470">
        <f t="shared" si="21"/>
        <v>49610.333333333328</v>
      </c>
      <c r="I31" s="471">
        <v>70</v>
      </c>
      <c r="J31" s="424"/>
      <c r="K31" s="424">
        <f t="shared" si="22"/>
        <v>1462276.6666666667</v>
      </c>
      <c r="L31" s="424">
        <f t="shared" si="23"/>
        <v>4935000</v>
      </c>
      <c r="M31" s="424">
        <f t="shared" si="24"/>
        <v>3472723.333333333</v>
      </c>
      <c r="N31" s="473">
        <f t="shared" si="15"/>
        <v>0.29630732860520098</v>
      </c>
      <c r="O31" s="474">
        <f t="shared" si="16"/>
        <v>6.3973513539439964E-3</v>
      </c>
      <c r="P31" s="474">
        <f t="shared" si="16"/>
        <v>6.8079543078060304E-3</v>
      </c>
      <c r="Q31" s="474">
        <f t="shared" si="17"/>
        <v>1.019219569015725E-2</v>
      </c>
      <c r="R31" s="475">
        <f t="shared" si="18"/>
        <v>3.5496957403651117</v>
      </c>
      <c r="S31" s="545">
        <f t="shared" si="19"/>
        <v>10.447761194029852</v>
      </c>
      <c r="T31" s="546">
        <f t="shared" si="20"/>
        <v>736567.1641791045</v>
      </c>
      <c r="U31" s="404"/>
      <c r="V31" s="476" t="str">
        <f t="shared" si="12"/>
        <v>High</v>
      </c>
      <c r="W31" s="476" t="str">
        <f t="shared" si="13"/>
        <v>Low</v>
      </c>
      <c r="X31" s="477" t="str">
        <f t="shared" si="14"/>
        <v>Horse</v>
      </c>
      <c r="AA31" s="366"/>
      <c r="AB31" s="534"/>
      <c r="AC31" s="366"/>
      <c r="AD31" s="366"/>
      <c r="AE31" s="366"/>
      <c r="AF31" s="572"/>
      <c r="AG31" s="366"/>
      <c r="AH31" s="366"/>
      <c r="AI31" s="366"/>
      <c r="AJ31" s="572"/>
      <c r="AK31" s="535"/>
      <c r="AL31" s="536"/>
      <c r="AM31" s="100"/>
      <c r="AN31" s="100"/>
    </row>
    <row r="32" spans="1:40" ht="18" customHeight="1" x14ac:dyDescent="0.3">
      <c r="A32" s="366"/>
      <c r="B32" s="467"/>
      <c r="C32" s="365"/>
      <c r="D32" s="365"/>
      <c r="E32" s="468"/>
      <c r="F32" s="478"/>
      <c r="G32" s="470"/>
      <c r="H32" s="470"/>
      <c r="I32" s="471"/>
      <c r="J32" s="424"/>
      <c r="K32" s="424"/>
      <c r="L32" s="424"/>
      <c r="M32" s="424"/>
      <c r="N32" s="473"/>
      <c r="O32" s="474"/>
      <c r="P32" s="474"/>
      <c r="Q32" s="474"/>
      <c r="R32" s="475"/>
      <c r="S32" s="545">
        <f t="shared" si="19"/>
        <v>0</v>
      </c>
      <c r="T32" s="546">
        <f t="shared" si="20"/>
        <v>0</v>
      </c>
      <c r="U32" s="404"/>
      <c r="V32" s="476" t="str">
        <f t="shared" si="12"/>
        <v/>
      </c>
      <c r="W32" s="476" t="str">
        <f t="shared" si="13"/>
        <v/>
      </c>
      <c r="X32" s="477" t="str">
        <f t="shared" si="14"/>
        <v/>
      </c>
      <c r="AA32" s="366"/>
      <c r="AB32" s="534"/>
      <c r="AC32" s="366"/>
      <c r="AD32" s="366"/>
      <c r="AE32" s="366"/>
      <c r="AF32" s="572"/>
      <c r="AG32" s="366"/>
      <c r="AH32" s="366"/>
      <c r="AI32" s="366"/>
      <c r="AJ32" s="572"/>
      <c r="AK32" s="535"/>
      <c r="AL32" s="536"/>
      <c r="AM32" s="100"/>
      <c r="AN32" s="100"/>
    </row>
    <row r="33" spans="1:49" ht="18" customHeight="1" x14ac:dyDescent="0.3">
      <c r="A33" s="453"/>
      <c r="B33" s="479" t="s">
        <v>475</v>
      </c>
      <c r="C33" s="480" t="s">
        <v>476</v>
      </c>
      <c r="D33" s="480"/>
      <c r="E33" s="480"/>
      <c r="F33" s="480"/>
      <c r="G33" s="481"/>
      <c r="H33" s="481"/>
      <c r="I33" s="483">
        <f>SUBTOTAL(9,I34:I43)</f>
        <v>207</v>
      </c>
      <c r="J33" s="484"/>
      <c r="K33" s="480">
        <f>SUBTOTAL(9,K34:K43)</f>
        <v>871085.61538461538</v>
      </c>
      <c r="L33" s="480">
        <f>SUBTOTAL(9,L34:L43)</f>
        <v>3507000</v>
      </c>
      <c r="M33" s="480">
        <f>SUBTOTAL(9,M34:M43)</f>
        <v>2635914.3846153845</v>
      </c>
      <c r="N33" s="485">
        <f t="shared" ref="N33:N42" si="26">K33/L33</f>
        <v>0.24838483472615208</v>
      </c>
      <c r="O33" s="486">
        <f t="shared" ref="O33:P42" si="27">L33/L$10</f>
        <v>4.5462028770580738E-3</v>
      </c>
      <c r="P33" s="486">
        <f t="shared" si="27"/>
        <v>5.1674674217497473E-3</v>
      </c>
      <c r="Q33" s="486">
        <f t="shared" ref="Q33:Q42" si="28">I33/I$10</f>
        <v>3.0139778683750729E-2</v>
      </c>
      <c r="R33" s="487">
        <f t="shared" ref="R33:R42" si="29">I33/$K$5*100</f>
        <v>10.496957403651114</v>
      </c>
      <c r="S33" s="487">
        <f t="shared" si="19"/>
        <v>30.895522388059696</v>
      </c>
      <c r="T33" s="487">
        <f t="shared" si="20"/>
        <v>0</v>
      </c>
      <c r="U33" s="404"/>
      <c r="V33" s="476" t="str">
        <f t="shared" si="12"/>
        <v>High</v>
      </c>
      <c r="W33" s="476" t="str">
        <f t="shared" si="13"/>
        <v>Low</v>
      </c>
      <c r="X33" s="477" t="str">
        <f t="shared" si="14"/>
        <v>Horse</v>
      </c>
      <c r="AC33" s="366"/>
      <c r="AD33" s="366"/>
      <c r="AE33" s="366"/>
      <c r="AF33" s="366"/>
      <c r="AG33" s="366"/>
      <c r="AH33" s="366"/>
      <c r="AI33" s="366"/>
      <c r="AJ33" s="366"/>
      <c r="AM33" s="100"/>
      <c r="AN33" s="100"/>
    </row>
    <row r="34" spans="1:49" ht="17.25" customHeight="1" x14ac:dyDescent="0.3">
      <c r="A34" s="366">
        <v>1</v>
      </c>
      <c r="B34" s="467" t="s">
        <v>600</v>
      </c>
      <c r="C34" s="365" t="s">
        <v>521</v>
      </c>
      <c r="D34" s="365"/>
      <c r="E34" s="468" t="s">
        <v>437</v>
      </c>
      <c r="F34" s="581">
        <v>3030.1153846153848</v>
      </c>
      <c r="G34" s="470">
        <v>15250</v>
      </c>
      <c r="H34" s="470">
        <f t="shared" ref="H34:H42" si="30">G34-F34</f>
        <v>12219.884615384615</v>
      </c>
      <c r="I34" s="471">
        <v>40</v>
      </c>
      <c r="J34" s="424"/>
      <c r="K34" s="424">
        <f t="shared" ref="K34:K42" si="31">I34*F34</f>
        <v>121204.61538461539</v>
      </c>
      <c r="L34" s="424">
        <f t="shared" ref="L34:L42" si="32">I34*G34</f>
        <v>610000</v>
      </c>
      <c r="M34" s="424">
        <f t="shared" ref="M34:M42" si="33">L34-K34</f>
        <v>488795.38461538462</v>
      </c>
      <c r="N34" s="473">
        <f t="shared" si="26"/>
        <v>0.19869609079445147</v>
      </c>
      <c r="O34" s="474">
        <f t="shared" si="27"/>
        <v>7.907567023112133E-4</v>
      </c>
      <c r="P34" s="474">
        <f t="shared" si="27"/>
        <v>9.5823834060915116E-4</v>
      </c>
      <c r="Q34" s="474">
        <f t="shared" si="28"/>
        <v>5.8241118229470003E-3</v>
      </c>
      <c r="R34" s="475">
        <f t="shared" si="29"/>
        <v>2.028397565922921</v>
      </c>
      <c r="S34" s="545">
        <f t="shared" si="19"/>
        <v>5.9701492537313436</v>
      </c>
      <c r="T34" s="546">
        <f t="shared" si="20"/>
        <v>91044.776119402988</v>
      </c>
      <c r="U34" s="404"/>
      <c r="V34" s="476" t="str">
        <f t="shared" si="12"/>
        <v>High</v>
      </c>
      <c r="W34" s="476" t="str">
        <f t="shared" si="13"/>
        <v>Low</v>
      </c>
      <c r="X34" s="477" t="str">
        <f t="shared" si="14"/>
        <v>Horse</v>
      </c>
      <c r="AC34" s="366"/>
      <c r="AD34" s="366"/>
      <c r="AE34" s="366"/>
      <c r="AF34" s="366"/>
      <c r="AG34" s="366"/>
      <c r="AH34" s="366"/>
      <c r="AI34" s="366"/>
      <c r="AJ34" s="366"/>
      <c r="AM34" s="100"/>
      <c r="AN34" s="100"/>
    </row>
    <row r="35" spans="1:49" ht="17.25" customHeight="1" x14ac:dyDescent="0.3">
      <c r="A35" s="366">
        <f>A34+1</f>
        <v>2</v>
      </c>
      <c r="B35" s="467" t="s">
        <v>601</v>
      </c>
      <c r="C35" s="365" t="s">
        <v>522</v>
      </c>
      <c r="D35" s="365"/>
      <c r="E35" s="468" t="s">
        <v>437</v>
      </c>
      <c r="F35" s="581">
        <v>2800</v>
      </c>
      <c r="G35" s="470">
        <v>15327.868852459016</v>
      </c>
      <c r="H35" s="470">
        <f t="shared" si="30"/>
        <v>12527.868852459016</v>
      </c>
      <c r="I35" s="471">
        <v>61</v>
      </c>
      <c r="J35" s="424"/>
      <c r="K35" s="424">
        <f t="shared" si="31"/>
        <v>170800</v>
      </c>
      <c r="L35" s="424">
        <f t="shared" si="32"/>
        <v>935000</v>
      </c>
      <c r="M35" s="424">
        <f t="shared" si="33"/>
        <v>764200</v>
      </c>
      <c r="N35" s="473">
        <f t="shared" si="26"/>
        <v>0.18267379679144385</v>
      </c>
      <c r="O35" s="474">
        <f t="shared" si="27"/>
        <v>1.2120615027229253E-3</v>
      </c>
      <c r="P35" s="474">
        <f t="shared" si="27"/>
        <v>1.498143728320435E-3</v>
      </c>
      <c r="Q35" s="474">
        <f t="shared" si="28"/>
        <v>8.8817705299941759E-3</v>
      </c>
      <c r="R35" s="475">
        <f t="shared" si="29"/>
        <v>3.0933062880324544</v>
      </c>
      <c r="S35" s="545">
        <f t="shared" si="19"/>
        <v>9.1044776119402986</v>
      </c>
      <c r="T35" s="546">
        <f t="shared" si="20"/>
        <v>139552.23880597015</v>
      </c>
      <c r="U35" s="404"/>
      <c r="V35" s="476" t="str">
        <f t="shared" si="12"/>
        <v>High</v>
      </c>
      <c r="W35" s="476" t="str">
        <f t="shared" si="13"/>
        <v>Low</v>
      </c>
      <c r="X35" s="477" t="str">
        <f t="shared" si="14"/>
        <v>Horse</v>
      </c>
      <c r="AC35" s="366"/>
      <c r="AD35" s="366"/>
      <c r="AE35" s="366"/>
      <c r="AF35" s="366"/>
      <c r="AG35" s="366"/>
      <c r="AH35" s="366"/>
      <c r="AI35" s="366"/>
      <c r="AJ35" s="366"/>
      <c r="AM35" s="100"/>
      <c r="AN35" s="100"/>
    </row>
    <row r="36" spans="1:49" ht="17.25" customHeight="1" x14ac:dyDescent="0.3">
      <c r="A36" s="366">
        <f t="shared" ref="A36:A42" si="34">A35+1</f>
        <v>3</v>
      </c>
      <c r="B36" s="467" t="s">
        <v>602</v>
      </c>
      <c r="C36" s="365" t="s">
        <v>523</v>
      </c>
      <c r="D36" s="365"/>
      <c r="E36" s="468" t="s">
        <v>437</v>
      </c>
      <c r="F36" s="581">
        <v>4310</v>
      </c>
      <c r="G36" s="470">
        <v>15000</v>
      </c>
      <c r="H36" s="470">
        <f t="shared" si="30"/>
        <v>10690</v>
      </c>
      <c r="I36" s="471">
        <v>2</v>
      </c>
      <c r="J36" s="424"/>
      <c r="K36" s="424">
        <f t="shared" si="31"/>
        <v>8620</v>
      </c>
      <c r="L36" s="424">
        <f t="shared" si="32"/>
        <v>30000</v>
      </c>
      <c r="M36" s="424">
        <f t="shared" si="33"/>
        <v>21380</v>
      </c>
      <c r="N36" s="473">
        <f t="shared" si="26"/>
        <v>0.28733333333333333</v>
      </c>
      <c r="O36" s="474">
        <f t="shared" si="27"/>
        <v>3.8889673884158029E-5</v>
      </c>
      <c r="P36" s="474">
        <f t="shared" si="27"/>
        <v>4.191352121367561E-5</v>
      </c>
      <c r="Q36" s="474">
        <f t="shared" si="28"/>
        <v>2.9120559114735004E-4</v>
      </c>
      <c r="R36" s="475">
        <f t="shared" si="29"/>
        <v>0.10141987829614604</v>
      </c>
      <c r="S36" s="545">
        <f t="shared" si="19"/>
        <v>0.29850746268656714</v>
      </c>
      <c r="T36" s="546">
        <f t="shared" si="20"/>
        <v>4477.6119402985069</v>
      </c>
      <c r="U36" s="404"/>
      <c r="V36" s="476" t="str">
        <f t="shared" si="12"/>
        <v>Low</v>
      </c>
      <c r="W36" s="476" t="str">
        <f t="shared" si="13"/>
        <v>Low</v>
      </c>
      <c r="X36" s="477" t="str">
        <f t="shared" si="14"/>
        <v>Dog</v>
      </c>
      <c r="AC36" s="366"/>
      <c r="AD36" s="366"/>
      <c r="AE36" s="366"/>
      <c r="AF36" s="366"/>
      <c r="AG36" s="366"/>
      <c r="AH36" s="366"/>
      <c r="AI36" s="366"/>
      <c r="AJ36" s="366"/>
      <c r="AM36" s="100"/>
      <c r="AN36" s="100"/>
    </row>
    <row r="37" spans="1:49" ht="17.25" customHeight="1" x14ac:dyDescent="0.3">
      <c r="A37" s="366">
        <f t="shared" si="34"/>
        <v>4</v>
      </c>
      <c r="B37" s="467" t="s">
        <v>603</v>
      </c>
      <c r="C37" s="365" t="s">
        <v>524</v>
      </c>
      <c r="D37" s="365"/>
      <c r="E37" s="468" t="s">
        <v>437</v>
      </c>
      <c r="F37" s="581">
        <v>3721</v>
      </c>
      <c r="G37" s="470">
        <v>15615.384615384615</v>
      </c>
      <c r="H37" s="470">
        <f t="shared" si="30"/>
        <v>11894.384615384615</v>
      </c>
      <c r="I37" s="471">
        <v>13</v>
      </c>
      <c r="J37" s="424"/>
      <c r="K37" s="424">
        <f t="shared" si="31"/>
        <v>48373</v>
      </c>
      <c r="L37" s="424">
        <f t="shared" si="32"/>
        <v>203000</v>
      </c>
      <c r="M37" s="424">
        <f t="shared" si="33"/>
        <v>154627</v>
      </c>
      <c r="N37" s="473">
        <f t="shared" si="26"/>
        <v>0.23829064039408868</v>
      </c>
      <c r="O37" s="474">
        <f t="shared" si="27"/>
        <v>2.6315345994946937E-4</v>
      </c>
      <c r="P37" s="474">
        <f t="shared" si="27"/>
        <v>3.0313199460743769E-4</v>
      </c>
      <c r="Q37" s="474">
        <f t="shared" si="28"/>
        <v>1.8928363424577752E-3</v>
      </c>
      <c r="R37" s="475">
        <f t="shared" si="29"/>
        <v>0.65922920892494929</v>
      </c>
      <c r="S37" s="545">
        <f t="shared" si="19"/>
        <v>1.9402985074626866</v>
      </c>
      <c r="T37" s="546">
        <f t="shared" si="20"/>
        <v>30298.507462686568</v>
      </c>
      <c r="U37" s="404"/>
      <c r="V37" s="476" t="str">
        <f t="shared" si="12"/>
        <v>High</v>
      </c>
      <c r="W37" s="476" t="str">
        <f t="shared" si="13"/>
        <v>Low</v>
      </c>
      <c r="X37" s="477" t="str">
        <f t="shared" si="14"/>
        <v>Horse</v>
      </c>
      <c r="AC37" s="366"/>
      <c r="AD37" s="366"/>
      <c r="AE37" s="366"/>
      <c r="AF37" s="366"/>
      <c r="AG37" s="366"/>
      <c r="AH37" s="366"/>
      <c r="AI37" s="366"/>
      <c r="AJ37" s="366"/>
      <c r="AM37" s="100"/>
      <c r="AN37" s="100"/>
    </row>
    <row r="38" spans="1:49" ht="17.25" customHeight="1" x14ac:dyDescent="0.3">
      <c r="A38" s="366">
        <f t="shared" si="34"/>
        <v>5</v>
      </c>
      <c r="B38" s="467" t="s">
        <v>604</v>
      </c>
      <c r="C38" s="365" t="s">
        <v>525</v>
      </c>
      <c r="D38" s="365"/>
      <c r="E38" s="468" t="s">
        <v>437</v>
      </c>
      <c r="F38" s="581">
        <v>3032</v>
      </c>
      <c r="G38" s="470">
        <v>15000</v>
      </c>
      <c r="H38" s="470">
        <f t="shared" si="30"/>
        <v>11968</v>
      </c>
      <c r="I38" s="471">
        <v>3</v>
      </c>
      <c r="J38" s="424"/>
      <c r="K38" s="424">
        <f t="shared" si="31"/>
        <v>9096</v>
      </c>
      <c r="L38" s="424">
        <f t="shared" si="32"/>
        <v>45000</v>
      </c>
      <c r="M38" s="424">
        <f t="shared" si="33"/>
        <v>35904</v>
      </c>
      <c r="N38" s="473">
        <f t="shared" si="26"/>
        <v>0.20213333333333333</v>
      </c>
      <c r="O38" s="474">
        <f t="shared" si="27"/>
        <v>5.8334510826237051E-5</v>
      </c>
      <c r="P38" s="474">
        <f t="shared" si="27"/>
        <v>7.0386485765005098E-5</v>
      </c>
      <c r="Q38" s="474">
        <f t="shared" si="28"/>
        <v>4.3680838672102506E-4</v>
      </c>
      <c r="R38" s="475">
        <f t="shared" si="29"/>
        <v>0.15212981744421905</v>
      </c>
      <c r="S38" s="545">
        <f t="shared" si="19"/>
        <v>0.44776119402985071</v>
      </c>
      <c r="T38" s="546">
        <f t="shared" si="20"/>
        <v>6716.4179104477607</v>
      </c>
      <c r="U38" s="404"/>
      <c r="V38" s="476" t="str">
        <f t="shared" si="12"/>
        <v>Low</v>
      </c>
      <c r="W38" s="476" t="str">
        <f t="shared" si="13"/>
        <v>Low</v>
      </c>
      <c r="X38" s="477" t="str">
        <f t="shared" si="14"/>
        <v>Dog</v>
      </c>
      <c r="AC38" s="366"/>
      <c r="AD38" s="366"/>
      <c r="AE38" s="366"/>
      <c r="AF38" s="366"/>
      <c r="AG38" s="366"/>
      <c r="AH38" s="366"/>
      <c r="AI38" s="366"/>
      <c r="AJ38" s="366"/>
      <c r="AM38" s="100"/>
      <c r="AN38" s="100"/>
    </row>
    <row r="39" spans="1:49" s="148" customFormat="1" ht="17.25" customHeight="1" x14ac:dyDescent="0.3">
      <c r="A39" s="366">
        <f t="shared" si="34"/>
        <v>6</v>
      </c>
      <c r="B39" s="467" t="s">
        <v>605</v>
      </c>
      <c r="C39" s="365" t="s">
        <v>526</v>
      </c>
      <c r="D39" s="365"/>
      <c r="E39" s="468" t="s">
        <v>437</v>
      </c>
      <c r="F39" s="581">
        <v>3046.75</v>
      </c>
      <c r="G39" s="470">
        <v>15300</v>
      </c>
      <c r="H39" s="470">
        <f t="shared" si="30"/>
        <v>12253.25</v>
      </c>
      <c r="I39" s="471">
        <v>20</v>
      </c>
      <c r="J39" s="424"/>
      <c r="K39" s="424">
        <f t="shared" si="31"/>
        <v>60935</v>
      </c>
      <c r="L39" s="424">
        <f t="shared" si="32"/>
        <v>306000</v>
      </c>
      <c r="M39" s="424">
        <f t="shared" si="33"/>
        <v>245065</v>
      </c>
      <c r="N39" s="473">
        <f t="shared" si="26"/>
        <v>0.19913398692810458</v>
      </c>
      <c r="O39" s="474">
        <f t="shared" si="27"/>
        <v>3.9667467361841194E-4</v>
      </c>
      <c r="P39" s="474">
        <f t="shared" si="27"/>
        <v>4.8042736558603428E-4</v>
      </c>
      <c r="Q39" s="474">
        <f t="shared" si="28"/>
        <v>2.9120559114735002E-3</v>
      </c>
      <c r="R39" s="475">
        <f t="shared" si="29"/>
        <v>1.0141987829614605</v>
      </c>
      <c r="S39" s="545">
        <f t="shared" si="19"/>
        <v>2.9850746268656718</v>
      </c>
      <c r="T39" s="546">
        <f t="shared" si="20"/>
        <v>45671.641791044778</v>
      </c>
      <c r="U39" s="404"/>
      <c r="V39" s="476" t="str">
        <f t="shared" si="12"/>
        <v>High</v>
      </c>
      <c r="W39" s="476" t="str">
        <f t="shared" si="13"/>
        <v>Low</v>
      </c>
      <c r="X39" s="477" t="str">
        <f t="shared" si="14"/>
        <v>Horse</v>
      </c>
      <c r="Y39" s="374"/>
      <c r="Z39" s="571"/>
      <c r="AA39" s="571"/>
      <c r="AB39" s="571"/>
      <c r="AC39" s="366"/>
      <c r="AD39" s="366"/>
      <c r="AE39" s="366"/>
      <c r="AF39" s="366"/>
      <c r="AG39" s="366"/>
      <c r="AH39" s="366"/>
      <c r="AI39" s="366"/>
      <c r="AJ39" s="366"/>
      <c r="AK39" s="375"/>
      <c r="AL39" s="376"/>
      <c r="AM39" s="100"/>
      <c r="AN39" s="100"/>
      <c r="AO39" s="84"/>
      <c r="AP39" s="84"/>
      <c r="AQ39" s="84"/>
      <c r="AR39" s="84"/>
      <c r="AS39" s="84"/>
      <c r="AT39" s="84"/>
      <c r="AU39" s="84"/>
      <c r="AV39" s="84"/>
      <c r="AW39" s="84"/>
    </row>
    <row r="40" spans="1:49" s="148" customFormat="1" ht="17.25" customHeight="1" x14ac:dyDescent="0.3">
      <c r="A40" s="366">
        <f t="shared" si="34"/>
        <v>7</v>
      </c>
      <c r="B40" s="467" t="s">
        <v>606</v>
      </c>
      <c r="C40" s="365" t="s">
        <v>527</v>
      </c>
      <c r="D40" s="365"/>
      <c r="E40" s="468" t="s">
        <v>437</v>
      </c>
      <c r="F40" s="581">
        <v>3406.6578947368421</v>
      </c>
      <c r="G40" s="470">
        <v>15315.78947368421</v>
      </c>
      <c r="H40" s="470">
        <f t="shared" si="30"/>
        <v>11909.131578947368</v>
      </c>
      <c r="I40" s="471">
        <v>38</v>
      </c>
      <c r="J40" s="424"/>
      <c r="K40" s="424">
        <f t="shared" si="31"/>
        <v>129453</v>
      </c>
      <c r="L40" s="424">
        <f t="shared" si="32"/>
        <v>582000</v>
      </c>
      <c r="M40" s="424">
        <f t="shared" si="33"/>
        <v>452547</v>
      </c>
      <c r="N40" s="473">
        <f t="shared" si="26"/>
        <v>0.2224278350515464</v>
      </c>
      <c r="O40" s="474">
        <f t="shared" si="27"/>
        <v>7.544596733526658E-4</v>
      </c>
      <c r="P40" s="474">
        <f t="shared" si="27"/>
        <v>8.8717672051848715E-4</v>
      </c>
      <c r="Q40" s="474">
        <f t="shared" si="28"/>
        <v>5.5329062317996504E-3</v>
      </c>
      <c r="R40" s="475">
        <f t="shared" si="29"/>
        <v>1.9269776876267748</v>
      </c>
      <c r="S40" s="545">
        <f t="shared" si="19"/>
        <v>5.6716417910447756</v>
      </c>
      <c r="T40" s="546">
        <f t="shared" si="20"/>
        <v>86865.671641791036</v>
      </c>
      <c r="U40" s="404"/>
      <c r="V40" s="476" t="str">
        <f t="shared" si="12"/>
        <v>High</v>
      </c>
      <c r="W40" s="476" t="str">
        <f t="shared" si="13"/>
        <v>Low</v>
      </c>
      <c r="X40" s="477" t="str">
        <f t="shared" si="14"/>
        <v>Horse</v>
      </c>
      <c r="Y40" s="374"/>
      <c r="Z40" s="571"/>
      <c r="AA40" s="571"/>
      <c r="AB40" s="571"/>
      <c r="AC40" s="366"/>
      <c r="AD40" s="366"/>
      <c r="AE40" s="366"/>
      <c r="AF40" s="366"/>
      <c r="AG40" s="366"/>
      <c r="AH40" s="366"/>
      <c r="AI40" s="366"/>
      <c r="AJ40" s="366"/>
      <c r="AK40" s="375"/>
      <c r="AL40" s="376"/>
      <c r="AM40" s="100"/>
      <c r="AN40" s="100"/>
      <c r="AO40" s="84"/>
      <c r="AP40" s="84"/>
      <c r="AQ40" s="84"/>
      <c r="AR40" s="84"/>
      <c r="AS40" s="84"/>
      <c r="AT40" s="84"/>
      <c r="AU40" s="84"/>
      <c r="AV40" s="84"/>
      <c r="AW40" s="84"/>
    </row>
    <row r="41" spans="1:49" ht="17.25" customHeight="1" x14ac:dyDescent="0.3">
      <c r="A41" s="366">
        <f t="shared" si="34"/>
        <v>8</v>
      </c>
      <c r="B41" s="467" t="s">
        <v>607</v>
      </c>
      <c r="C41" s="365" t="s">
        <v>528</v>
      </c>
      <c r="D41" s="365"/>
      <c r="E41" s="468" t="s">
        <v>437</v>
      </c>
      <c r="F41" s="581">
        <v>13000</v>
      </c>
      <c r="G41" s="470">
        <v>30043.478260869564</v>
      </c>
      <c r="H41" s="470">
        <f t="shared" si="30"/>
        <v>17043.478260869564</v>
      </c>
      <c r="I41" s="471">
        <v>23</v>
      </c>
      <c r="J41" s="424"/>
      <c r="K41" s="424">
        <f t="shared" si="31"/>
        <v>299000</v>
      </c>
      <c r="L41" s="424">
        <f t="shared" si="32"/>
        <v>691000</v>
      </c>
      <c r="M41" s="424">
        <f t="shared" si="33"/>
        <v>392000</v>
      </c>
      <c r="N41" s="473">
        <f t="shared" si="26"/>
        <v>0.43270622286541244</v>
      </c>
      <c r="O41" s="474">
        <f t="shared" si="27"/>
        <v>8.9575882179844003E-4</v>
      </c>
      <c r="P41" s="474">
        <f t="shared" si="27"/>
        <v>7.6847990251453877E-4</v>
      </c>
      <c r="Q41" s="474">
        <f t="shared" si="28"/>
        <v>3.3488642981945255E-3</v>
      </c>
      <c r="R41" s="475">
        <f t="shared" si="29"/>
        <v>1.1663286004056794</v>
      </c>
      <c r="S41" s="545">
        <f t="shared" si="19"/>
        <v>3.4328358208955221</v>
      </c>
      <c r="T41" s="546">
        <f t="shared" si="20"/>
        <v>103134.32835820894</v>
      </c>
      <c r="U41" s="404"/>
      <c r="V41" s="476" t="str">
        <f t="shared" si="12"/>
        <v>High</v>
      </c>
      <c r="W41" s="476" t="str">
        <f t="shared" si="13"/>
        <v>Low</v>
      </c>
      <c r="X41" s="477" t="str">
        <f t="shared" si="14"/>
        <v>Horse</v>
      </c>
      <c r="AC41" s="366"/>
      <c r="AD41" s="366"/>
      <c r="AE41" s="366"/>
      <c r="AF41" s="366"/>
      <c r="AG41" s="366"/>
      <c r="AH41" s="366"/>
      <c r="AI41" s="366"/>
      <c r="AJ41" s="366"/>
      <c r="AM41" s="100"/>
      <c r="AN41" s="100"/>
    </row>
    <row r="42" spans="1:49" ht="17.25" customHeight="1" x14ac:dyDescent="0.3">
      <c r="A42" s="366">
        <f t="shared" si="34"/>
        <v>9</v>
      </c>
      <c r="B42" s="467" t="s">
        <v>608</v>
      </c>
      <c r="C42" s="365" t="s">
        <v>656</v>
      </c>
      <c r="D42" s="365"/>
      <c r="E42" s="468" t="s">
        <v>437</v>
      </c>
      <c r="F42" s="581">
        <v>3372</v>
      </c>
      <c r="G42" s="470">
        <v>15000</v>
      </c>
      <c r="H42" s="470">
        <f t="shared" si="30"/>
        <v>11628</v>
      </c>
      <c r="I42" s="471">
        <v>7</v>
      </c>
      <c r="J42" s="424"/>
      <c r="K42" s="424">
        <f t="shared" si="31"/>
        <v>23604</v>
      </c>
      <c r="L42" s="424">
        <f t="shared" si="32"/>
        <v>105000</v>
      </c>
      <c r="M42" s="424">
        <f t="shared" si="33"/>
        <v>81396</v>
      </c>
      <c r="N42" s="473">
        <f t="shared" si="26"/>
        <v>0.2248</v>
      </c>
      <c r="O42" s="474">
        <f t="shared" si="27"/>
        <v>1.3611385859455311E-4</v>
      </c>
      <c r="P42" s="474">
        <f t="shared" si="27"/>
        <v>1.5956936261498316E-4</v>
      </c>
      <c r="Q42" s="474">
        <f t="shared" si="28"/>
        <v>1.0192195690157252E-3</v>
      </c>
      <c r="R42" s="475">
        <f t="shared" si="29"/>
        <v>0.35496957403651114</v>
      </c>
      <c r="S42" s="545">
        <f t="shared" si="19"/>
        <v>1.044776119402985</v>
      </c>
      <c r="T42" s="546">
        <f t="shared" si="20"/>
        <v>15671.641791044774</v>
      </c>
      <c r="U42" s="404"/>
      <c r="V42" s="476" t="str">
        <f t="shared" si="12"/>
        <v>Low</v>
      </c>
      <c r="W42" s="476" t="str">
        <f t="shared" si="13"/>
        <v>Low</v>
      </c>
      <c r="X42" s="477" t="str">
        <f t="shared" si="14"/>
        <v>Dog</v>
      </c>
      <c r="AC42" s="366"/>
      <c r="AD42" s="366"/>
      <c r="AE42" s="366"/>
      <c r="AF42" s="366"/>
      <c r="AG42" s="366"/>
      <c r="AH42" s="366"/>
      <c r="AI42" s="366"/>
      <c r="AJ42" s="366"/>
      <c r="AM42" s="100"/>
      <c r="AN42" s="100"/>
    </row>
    <row r="43" spans="1:49" ht="17.25" customHeight="1" x14ac:dyDescent="0.3">
      <c r="A43" s="366"/>
      <c r="B43" s="467"/>
      <c r="C43" s="365"/>
      <c r="D43" s="365"/>
      <c r="E43" s="468"/>
      <c r="F43" s="478"/>
      <c r="G43" s="470"/>
      <c r="H43" s="470"/>
      <c r="I43" s="471"/>
      <c r="J43" s="424"/>
      <c r="K43" s="424"/>
      <c r="L43" s="424"/>
      <c r="M43" s="424"/>
      <c r="N43" s="473"/>
      <c r="O43" s="474"/>
      <c r="P43" s="474"/>
      <c r="Q43" s="474"/>
      <c r="R43" s="475"/>
      <c r="S43" s="545">
        <f t="shared" si="19"/>
        <v>0</v>
      </c>
      <c r="T43" s="546">
        <f t="shared" si="20"/>
        <v>0</v>
      </c>
      <c r="U43" s="404"/>
      <c r="V43" s="476" t="str">
        <f t="shared" si="12"/>
        <v/>
      </c>
      <c r="W43" s="476" t="str">
        <f t="shared" si="13"/>
        <v/>
      </c>
      <c r="X43" s="477" t="str">
        <f t="shared" si="14"/>
        <v/>
      </c>
      <c r="Y43" s="488"/>
      <c r="AC43" s="366"/>
      <c r="AD43" s="366"/>
      <c r="AE43" s="366"/>
      <c r="AF43" s="366"/>
      <c r="AG43" s="366"/>
      <c r="AH43" s="366"/>
      <c r="AI43" s="366"/>
      <c r="AJ43" s="366"/>
      <c r="AM43" s="76"/>
      <c r="AN43" s="76"/>
    </row>
    <row r="44" spans="1:49" ht="17.25" customHeight="1" x14ac:dyDescent="0.3">
      <c r="A44" s="453"/>
      <c r="B44" s="479" t="s">
        <v>477</v>
      </c>
      <c r="C44" s="484" t="s">
        <v>478</v>
      </c>
      <c r="D44" s="484"/>
      <c r="E44" s="484"/>
      <c r="F44" s="484"/>
      <c r="G44" s="489"/>
      <c r="H44" s="489"/>
      <c r="I44" s="489">
        <f>SUBTOTAL(9,I45:I70)</f>
        <v>518</v>
      </c>
      <c r="J44" s="484"/>
      <c r="K44" s="480">
        <f>SUBTOTAL(9,K45:K70)</f>
        <v>8354764.3513565753</v>
      </c>
      <c r="L44" s="480">
        <f>SUBTOTAL(9,L45:L70)</f>
        <v>28145000</v>
      </c>
      <c r="M44" s="480">
        <f>SUBTOTAL(9,M45:M70)</f>
        <v>19790235.648643427</v>
      </c>
      <c r="N44" s="491">
        <f t="shared" ref="N44:N69" si="35">K44/L44</f>
        <v>0.2968471967083523</v>
      </c>
      <c r="O44" s="492">
        <f t="shared" ref="O44:P69" si="36">L44/L$10</f>
        <v>3.6484995715654257E-2</v>
      </c>
      <c r="P44" s="492">
        <f t="shared" si="36"/>
        <v>3.8796934596962374E-2</v>
      </c>
      <c r="Q44" s="492">
        <f t="shared" ref="Q44:Q69" si="37">I44/I$10</f>
        <v>7.5422248107163664E-2</v>
      </c>
      <c r="R44" s="493">
        <f t="shared" ref="R44:R69" si="38">I44/$K$5*100</f>
        <v>26.267748478701826</v>
      </c>
      <c r="S44" s="493">
        <f t="shared" si="19"/>
        <v>77.31343283582089</v>
      </c>
      <c r="T44" s="493">
        <f t="shared" si="20"/>
        <v>0</v>
      </c>
      <c r="U44" s="404"/>
      <c r="V44" s="476" t="str">
        <f t="shared" si="12"/>
        <v>High</v>
      </c>
      <c r="W44" s="476" t="str">
        <f t="shared" si="13"/>
        <v>High</v>
      </c>
      <c r="X44" s="477" t="str">
        <f t="shared" si="14"/>
        <v>Star</v>
      </c>
      <c r="AC44" s="366"/>
      <c r="AD44" s="366"/>
      <c r="AE44" s="366"/>
      <c r="AF44" s="366"/>
      <c r="AG44" s="366"/>
      <c r="AH44" s="366"/>
      <c r="AI44" s="366"/>
      <c r="AJ44" s="366"/>
      <c r="AM44" s="76"/>
      <c r="AN44" s="76"/>
    </row>
    <row r="45" spans="1:49" ht="17.25" customHeight="1" x14ac:dyDescent="0.3">
      <c r="A45" s="366">
        <f t="shared" ref="A45:A69" si="39">A44+1</f>
        <v>1</v>
      </c>
      <c r="B45" s="467" t="s">
        <v>609</v>
      </c>
      <c r="C45" s="365" t="s">
        <v>657</v>
      </c>
      <c r="D45" s="365"/>
      <c r="E45" s="468" t="s">
        <v>437</v>
      </c>
      <c r="F45" s="581">
        <v>51172.5</v>
      </c>
      <c r="G45" s="470">
        <v>167142.85714285713</v>
      </c>
      <c r="H45" s="494">
        <f t="shared" ref="H45:H69" si="40">G45-F45</f>
        <v>115970.35714285713</v>
      </c>
      <c r="I45" s="471">
        <v>21</v>
      </c>
      <c r="J45" s="424"/>
      <c r="K45" s="495">
        <f t="shared" ref="K45:K69" si="41">I45*F45</f>
        <v>1074622.5</v>
      </c>
      <c r="L45" s="495">
        <f t="shared" ref="L45:L69" si="42">I45*G45</f>
        <v>3509999.9999999995</v>
      </c>
      <c r="M45" s="495">
        <f t="shared" ref="M45:M69" si="43">L45-K45</f>
        <v>2435377.4999999995</v>
      </c>
      <c r="N45" s="496">
        <f t="shared" si="35"/>
        <v>0.30616025641025646</v>
      </c>
      <c r="O45" s="497">
        <f t="shared" si="36"/>
        <v>4.5500918444464893E-3</v>
      </c>
      <c r="P45" s="497">
        <f t="shared" si="36"/>
        <v>4.7743333259849512E-3</v>
      </c>
      <c r="Q45" s="497">
        <f t="shared" si="37"/>
        <v>3.0576587070471751E-3</v>
      </c>
      <c r="R45" s="498">
        <f t="shared" si="38"/>
        <v>1.0649087221095335</v>
      </c>
      <c r="S45" s="545">
        <f t="shared" si="19"/>
        <v>3.1343283582089554</v>
      </c>
      <c r="T45" s="546">
        <f t="shared" si="20"/>
        <v>523880.59701492538</v>
      </c>
      <c r="U45" s="404"/>
      <c r="V45" s="476" t="str">
        <f t="shared" si="12"/>
        <v>High</v>
      </c>
      <c r="W45" s="476" t="str">
        <f t="shared" si="13"/>
        <v>Low</v>
      </c>
      <c r="X45" s="477" t="str">
        <f t="shared" si="14"/>
        <v>Horse</v>
      </c>
      <c r="AC45" s="366"/>
      <c r="AD45" s="366"/>
      <c r="AE45" s="366"/>
      <c r="AF45" s="366"/>
      <c r="AG45" s="366"/>
      <c r="AH45" s="366"/>
      <c r="AI45" s="366"/>
      <c r="AJ45" s="366"/>
      <c r="AM45" s="76"/>
      <c r="AN45" s="76"/>
    </row>
    <row r="46" spans="1:49" ht="17.25" customHeight="1" x14ac:dyDescent="0.3">
      <c r="A46" s="366">
        <f t="shared" si="39"/>
        <v>2</v>
      </c>
      <c r="B46" s="467" t="s">
        <v>610</v>
      </c>
      <c r="C46" s="365" t="s">
        <v>658</v>
      </c>
      <c r="D46" s="365"/>
      <c r="E46" s="468" t="s">
        <v>437</v>
      </c>
      <c r="F46" s="581">
        <v>45454.793103448275</v>
      </c>
      <c r="G46" s="470">
        <v>152448.97959183675</v>
      </c>
      <c r="H46" s="494">
        <f t="shared" si="40"/>
        <v>106994.18648838847</v>
      </c>
      <c r="I46" s="471">
        <v>49</v>
      </c>
      <c r="J46" s="424"/>
      <c r="K46" s="495">
        <f t="shared" si="41"/>
        <v>2227284.8620689656</v>
      </c>
      <c r="L46" s="495">
        <f t="shared" si="42"/>
        <v>7470000.0000000009</v>
      </c>
      <c r="M46" s="495">
        <f t="shared" si="43"/>
        <v>5242715.1379310358</v>
      </c>
      <c r="N46" s="496">
        <f t="shared" si="35"/>
        <v>0.29816397082583201</v>
      </c>
      <c r="O46" s="497">
        <f t="shared" si="36"/>
        <v>9.6835287971553507E-3</v>
      </c>
      <c r="P46" s="497">
        <f t="shared" si="36"/>
        <v>1.0277860250277396E-2</v>
      </c>
      <c r="Q46" s="497">
        <f t="shared" si="37"/>
        <v>7.1345369831100755E-3</v>
      </c>
      <c r="R46" s="498">
        <f t="shared" si="38"/>
        <v>2.4847870182555782</v>
      </c>
      <c r="S46" s="545">
        <f t="shared" si="19"/>
        <v>7.3134328358208958</v>
      </c>
      <c r="T46" s="546">
        <f t="shared" si="20"/>
        <v>1114925.3731343285</v>
      </c>
      <c r="U46" s="404"/>
      <c r="V46" s="476" t="str">
        <f t="shared" si="12"/>
        <v>High</v>
      </c>
      <c r="W46" s="476" t="str">
        <f t="shared" si="13"/>
        <v>Low</v>
      </c>
      <c r="X46" s="477" t="str">
        <f t="shared" si="14"/>
        <v>Horse</v>
      </c>
      <c r="AM46" s="76"/>
      <c r="AN46" s="76"/>
    </row>
    <row r="47" spans="1:49" ht="17.25" customHeight="1" x14ac:dyDescent="0.3">
      <c r="A47" s="366">
        <f t="shared" si="39"/>
        <v>3</v>
      </c>
      <c r="B47" s="467" t="s">
        <v>611</v>
      </c>
      <c r="C47" s="365" t="s">
        <v>659</v>
      </c>
      <c r="D47" s="365"/>
      <c r="E47" s="468" t="s">
        <v>437</v>
      </c>
      <c r="F47" s="581">
        <v>10137.323529411764</v>
      </c>
      <c r="G47" s="470">
        <v>24333.333333333332</v>
      </c>
      <c r="H47" s="494">
        <f t="shared" si="40"/>
        <v>14196.009803921568</v>
      </c>
      <c r="I47" s="471">
        <v>45</v>
      </c>
      <c r="J47" s="424"/>
      <c r="K47" s="495">
        <f t="shared" si="41"/>
        <v>456179.5588235294</v>
      </c>
      <c r="L47" s="495">
        <f t="shared" si="42"/>
        <v>1095000</v>
      </c>
      <c r="M47" s="495">
        <f t="shared" si="43"/>
        <v>638820.4411764706</v>
      </c>
      <c r="N47" s="496">
        <f t="shared" si="35"/>
        <v>0.41660233682514103</v>
      </c>
      <c r="O47" s="497">
        <f t="shared" si="36"/>
        <v>1.4194730967717682E-3</v>
      </c>
      <c r="P47" s="497">
        <f t="shared" si="36"/>
        <v>1.2523486488765019E-3</v>
      </c>
      <c r="Q47" s="497">
        <f t="shared" si="37"/>
        <v>6.5521258008153756E-3</v>
      </c>
      <c r="R47" s="498">
        <f t="shared" si="38"/>
        <v>2.2819472616632859</v>
      </c>
      <c r="S47" s="545">
        <f t="shared" si="19"/>
        <v>6.7164179104477606</v>
      </c>
      <c r="T47" s="546">
        <f t="shared" si="20"/>
        <v>163432.8358208955</v>
      </c>
      <c r="U47" s="404"/>
      <c r="V47" s="476" t="str">
        <f t="shared" si="12"/>
        <v>High</v>
      </c>
      <c r="W47" s="476" t="str">
        <f t="shared" si="13"/>
        <v>Low</v>
      </c>
      <c r="X47" s="477" t="str">
        <f t="shared" si="14"/>
        <v>Horse</v>
      </c>
      <c r="AM47" s="76"/>
      <c r="AN47" s="76"/>
    </row>
    <row r="48" spans="1:49" ht="17.25" customHeight="1" x14ac:dyDescent="0.3">
      <c r="A48" s="366">
        <f t="shared" si="39"/>
        <v>4</v>
      </c>
      <c r="B48" s="467" t="s">
        <v>612</v>
      </c>
      <c r="C48" s="365" t="s">
        <v>660</v>
      </c>
      <c r="D48" s="365"/>
      <c r="E48" s="468" t="s">
        <v>437</v>
      </c>
      <c r="F48" s="581">
        <v>9932.3666666666668</v>
      </c>
      <c r="G48" s="470">
        <v>25111.111111111109</v>
      </c>
      <c r="H48" s="494">
        <f t="shared" si="40"/>
        <v>15178.744444444443</v>
      </c>
      <c r="I48" s="471">
        <v>36</v>
      </c>
      <c r="J48" s="424"/>
      <c r="K48" s="495">
        <f t="shared" si="41"/>
        <v>357565.2</v>
      </c>
      <c r="L48" s="495">
        <f t="shared" si="42"/>
        <v>904000</v>
      </c>
      <c r="M48" s="495">
        <f t="shared" si="43"/>
        <v>546434.80000000005</v>
      </c>
      <c r="N48" s="496">
        <f t="shared" si="35"/>
        <v>0.39553672566371684</v>
      </c>
      <c r="O48" s="497">
        <f t="shared" si="36"/>
        <v>1.171875506375962E-3</v>
      </c>
      <c r="P48" s="497">
        <f t="shared" si="36"/>
        <v>1.0712351067207948E-3</v>
      </c>
      <c r="Q48" s="497">
        <f t="shared" si="37"/>
        <v>5.2417006406523005E-3</v>
      </c>
      <c r="R48" s="498">
        <f t="shared" si="38"/>
        <v>1.8255578093306288</v>
      </c>
      <c r="S48" s="545">
        <f t="shared" si="19"/>
        <v>5.3731343283582094</v>
      </c>
      <c r="T48" s="546">
        <f t="shared" si="20"/>
        <v>134925.37313432837</v>
      </c>
      <c r="U48" s="404"/>
      <c r="V48" s="476" t="str">
        <f t="shared" si="12"/>
        <v>High</v>
      </c>
      <c r="W48" s="476" t="str">
        <f t="shared" si="13"/>
        <v>Low</v>
      </c>
      <c r="X48" s="477" t="str">
        <f t="shared" si="14"/>
        <v>Horse</v>
      </c>
      <c r="AM48" s="76"/>
      <c r="AN48" s="76"/>
    </row>
    <row r="49" spans="1:40" ht="17.25" customHeight="1" x14ac:dyDescent="0.3">
      <c r="A49" s="366">
        <f t="shared" si="39"/>
        <v>5</v>
      </c>
      <c r="B49" s="467" t="s">
        <v>613</v>
      </c>
      <c r="C49" s="365" t="s">
        <v>661</v>
      </c>
      <c r="D49" s="365"/>
      <c r="E49" s="468" t="s">
        <v>437</v>
      </c>
      <c r="F49" s="581">
        <v>12668</v>
      </c>
      <c r="G49" s="470">
        <v>35533.333333333336</v>
      </c>
      <c r="H49" s="494">
        <f t="shared" si="40"/>
        <v>22865.333333333336</v>
      </c>
      <c r="I49" s="471">
        <v>30</v>
      </c>
      <c r="J49" s="424"/>
      <c r="K49" s="495">
        <f t="shared" si="41"/>
        <v>380040</v>
      </c>
      <c r="L49" s="495">
        <f t="shared" si="42"/>
        <v>1066000</v>
      </c>
      <c r="M49" s="495">
        <f t="shared" si="43"/>
        <v>685960</v>
      </c>
      <c r="N49" s="496">
        <f t="shared" si="35"/>
        <v>0.35651031894934332</v>
      </c>
      <c r="O49" s="497">
        <f t="shared" si="36"/>
        <v>1.3818797453504154E-3</v>
      </c>
      <c r="P49" s="497">
        <f t="shared" si="36"/>
        <v>1.3447614130838597E-3</v>
      </c>
      <c r="Q49" s="497">
        <f t="shared" si="37"/>
        <v>4.3680838672102507E-3</v>
      </c>
      <c r="R49" s="498">
        <f t="shared" si="38"/>
        <v>1.5212981744421907</v>
      </c>
      <c r="S49" s="545">
        <f t="shared" si="19"/>
        <v>4.477611940298508</v>
      </c>
      <c r="T49" s="546">
        <f t="shared" si="20"/>
        <v>159104.47761194033</v>
      </c>
      <c r="U49" s="404"/>
      <c r="V49" s="476" t="str">
        <f t="shared" si="12"/>
        <v>High</v>
      </c>
      <c r="W49" s="476" t="str">
        <f t="shared" si="13"/>
        <v>Low</v>
      </c>
      <c r="X49" s="477" t="str">
        <f t="shared" si="14"/>
        <v>Horse</v>
      </c>
      <c r="AM49" s="76"/>
      <c r="AN49" s="76"/>
    </row>
    <row r="50" spans="1:40" ht="17.25" customHeight="1" x14ac:dyDescent="0.3">
      <c r="A50" s="366">
        <f t="shared" si="39"/>
        <v>6</v>
      </c>
      <c r="B50" s="467" t="s">
        <v>614</v>
      </c>
      <c r="C50" s="365" t="s">
        <v>662</v>
      </c>
      <c r="D50" s="365"/>
      <c r="E50" s="468" t="s">
        <v>437</v>
      </c>
      <c r="F50" s="581">
        <v>12463</v>
      </c>
      <c r="G50" s="470">
        <v>35600</v>
      </c>
      <c r="H50" s="494">
        <f t="shared" si="40"/>
        <v>23137</v>
      </c>
      <c r="I50" s="471">
        <v>20</v>
      </c>
      <c r="J50" s="424"/>
      <c r="K50" s="495">
        <f t="shared" si="41"/>
        <v>249260</v>
      </c>
      <c r="L50" s="495">
        <f t="shared" si="42"/>
        <v>712000</v>
      </c>
      <c r="M50" s="495">
        <f t="shared" si="43"/>
        <v>462740</v>
      </c>
      <c r="N50" s="496">
        <f t="shared" si="35"/>
        <v>0.35008426966292133</v>
      </c>
      <c r="O50" s="497">
        <f t="shared" si="36"/>
        <v>9.2298159351735063E-4</v>
      </c>
      <c r="P50" s="497">
        <f t="shared" si="36"/>
        <v>9.0715915839177977E-4</v>
      </c>
      <c r="Q50" s="497">
        <f t="shared" si="37"/>
        <v>2.9120559114735002E-3</v>
      </c>
      <c r="R50" s="498">
        <f t="shared" si="38"/>
        <v>1.0141987829614605</v>
      </c>
      <c r="S50" s="545">
        <f t="shared" si="19"/>
        <v>2.9850746268656718</v>
      </c>
      <c r="T50" s="546">
        <f t="shared" si="20"/>
        <v>106268.65671641791</v>
      </c>
      <c r="U50" s="404"/>
      <c r="V50" s="476" t="str">
        <f t="shared" si="12"/>
        <v>High</v>
      </c>
      <c r="W50" s="476" t="str">
        <f t="shared" si="13"/>
        <v>Low</v>
      </c>
      <c r="X50" s="477" t="str">
        <f t="shared" si="14"/>
        <v>Horse</v>
      </c>
      <c r="AM50" s="76"/>
      <c r="AN50" s="76"/>
    </row>
    <row r="51" spans="1:40" ht="17.25" customHeight="1" x14ac:dyDescent="0.3">
      <c r="A51" s="366">
        <f t="shared" si="39"/>
        <v>7</v>
      </c>
      <c r="B51" s="467" t="s">
        <v>749</v>
      </c>
      <c r="C51" s="365" t="s">
        <v>751</v>
      </c>
      <c r="D51" s="365"/>
      <c r="E51" s="468" t="s">
        <v>437</v>
      </c>
      <c r="F51" s="581"/>
      <c r="G51" s="470">
        <v>0</v>
      </c>
      <c r="H51" s="494">
        <f t="shared" si="40"/>
        <v>0</v>
      </c>
      <c r="I51" s="471">
        <v>0</v>
      </c>
      <c r="J51" s="424"/>
      <c r="K51" s="495">
        <f t="shared" si="41"/>
        <v>0</v>
      </c>
      <c r="L51" s="495">
        <f t="shared" si="42"/>
        <v>0</v>
      </c>
      <c r="M51" s="495">
        <f t="shared" si="43"/>
        <v>0</v>
      </c>
      <c r="N51" s="496" t="e">
        <f t="shared" si="35"/>
        <v>#DIV/0!</v>
      </c>
      <c r="O51" s="497">
        <f t="shared" si="36"/>
        <v>0</v>
      </c>
      <c r="P51" s="497">
        <f t="shared" si="36"/>
        <v>0</v>
      </c>
      <c r="Q51" s="497">
        <f t="shared" si="37"/>
        <v>0</v>
      </c>
      <c r="R51" s="498">
        <f t="shared" si="38"/>
        <v>0</v>
      </c>
      <c r="S51" s="545">
        <f t="shared" si="19"/>
        <v>0</v>
      </c>
      <c r="T51" s="546">
        <f t="shared" si="20"/>
        <v>0</v>
      </c>
      <c r="U51" s="404"/>
      <c r="V51" s="476" t="str">
        <f t="shared" si="12"/>
        <v>Low</v>
      </c>
      <c r="W51" s="476" t="str">
        <f t="shared" si="13"/>
        <v>Low</v>
      </c>
      <c r="X51" s="477" t="str">
        <f t="shared" si="14"/>
        <v>Dog</v>
      </c>
      <c r="AM51" s="76"/>
      <c r="AN51" s="76"/>
    </row>
    <row r="52" spans="1:40" ht="17.25" customHeight="1" x14ac:dyDescent="0.3">
      <c r="A52" s="366">
        <f t="shared" si="39"/>
        <v>8</v>
      </c>
      <c r="B52" s="467" t="s">
        <v>750</v>
      </c>
      <c r="C52" s="365" t="s">
        <v>752</v>
      </c>
      <c r="D52" s="365"/>
      <c r="E52" s="468" t="s">
        <v>437</v>
      </c>
      <c r="F52" s="581"/>
      <c r="G52" s="470">
        <v>0</v>
      </c>
      <c r="H52" s="494">
        <f t="shared" si="40"/>
        <v>0</v>
      </c>
      <c r="I52" s="471">
        <v>0</v>
      </c>
      <c r="J52" s="424"/>
      <c r="K52" s="495">
        <f t="shared" si="41"/>
        <v>0</v>
      </c>
      <c r="L52" s="495">
        <f t="shared" si="42"/>
        <v>0</v>
      </c>
      <c r="M52" s="495">
        <f t="shared" si="43"/>
        <v>0</v>
      </c>
      <c r="N52" s="496" t="e">
        <f t="shared" si="35"/>
        <v>#DIV/0!</v>
      </c>
      <c r="O52" s="497">
        <f t="shared" si="36"/>
        <v>0</v>
      </c>
      <c r="P52" s="497">
        <f t="shared" si="36"/>
        <v>0</v>
      </c>
      <c r="Q52" s="497">
        <f t="shared" si="37"/>
        <v>0</v>
      </c>
      <c r="R52" s="498">
        <f t="shared" si="38"/>
        <v>0</v>
      </c>
      <c r="S52" s="545">
        <f t="shared" si="19"/>
        <v>0</v>
      </c>
      <c r="T52" s="546">
        <f t="shared" si="20"/>
        <v>0</v>
      </c>
      <c r="U52" s="404"/>
      <c r="V52" s="476" t="str">
        <f t="shared" si="12"/>
        <v>Low</v>
      </c>
      <c r="W52" s="476" t="str">
        <f t="shared" si="13"/>
        <v>Low</v>
      </c>
      <c r="X52" s="477" t="str">
        <f t="shared" si="14"/>
        <v>Dog</v>
      </c>
      <c r="AM52" s="76"/>
      <c r="AN52" s="76"/>
    </row>
    <row r="53" spans="1:40" ht="17.25" customHeight="1" x14ac:dyDescent="0.3">
      <c r="A53" s="366">
        <f t="shared" si="39"/>
        <v>9</v>
      </c>
      <c r="B53" s="467" t="s">
        <v>615</v>
      </c>
      <c r="C53" s="365" t="s">
        <v>663</v>
      </c>
      <c r="D53" s="365"/>
      <c r="E53" s="468" t="s">
        <v>437</v>
      </c>
      <c r="F53" s="581">
        <v>11468</v>
      </c>
      <c r="G53" s="470">
        <v>29000</v>
      </c>
      <c r="H53" s="494">
        <f t="shared" si="40"/>
        <v>17532</v>
      </c>
      <c r="I53" s="471">
        <v>36</v>
      </c>
      <c r="J53" s="424"/>
      <c r="K53" s="495">
        <f t="shared" si="41"/>
        <v>412848</v>
      </c>
      <c r="L53" s="495">
        <f t="shared" si="42"/>
        <v>1044000</v>
      </c>
      <c r="M53" s="495">
        <f t="shared" si="43"/>
        <v>631152</v>
      </c>
      <c r="N53" s="496">
        <f t="shared" si="35"/>
        <v>0.39544827586206899</v>
      </c>
      <c r="O53" s="497">
        <f t="shared" si="36"/>
        <v>1.3533606511686995E-3</v>
      </c>
      <c r="P53" s="497">
        <f t="shared" si="36"/>
        <v>1.2373153761016738E-3</v>
      </c>
      <c r="Q53" s="497">
        <f t="shared" si="37"/>
        <v>5.2417006406523005E-3</v>
      </c>
      <c r="R53" s="498">
        <f t="shared" si="38"/>
        <v>1.8255578093306288</v>
      </c>
      <c r="S53" s="545">
        <f t="shared" si="19"/>
        <v>5.3731343283582094</v>
      </c>
      <c r="T53" s="546">
        <f t="shared" si="20"/>
        <v>155820.89552238808</v>
      </c>
      <c r="U53" s="404"/>
      <c r="V53" s="476" t="str">
        <f t="shared" si="12"/>
        <v>High</v>
      </c>
      <c r="W53" s="476" t="str">
        <f t="shared" si="13"/>
        <v>Low</v>
      </c>
      <c r="X53" s="477" t="str">
        <f t="shared" si="14"/>
        <v>Horse</v>
      </c>
      <c r="AM53" s="76"/>
      <c r="AN53" s="76"/>
    </row>
    <row r="54" spans="1:40" ht="17.25" customHeight="1" x14ac:dyDescent="0.3">
      <c r="A54" s="366">
        <f t="shared" si="39"/>
        <v>10</v>
      </c>
      <c r="B54" s="467" t="s">
        <v>616</v>
      </c>
      <c r="C54" s="365" t="s">
        <v>664</v>
      </c>
      <c r="D54" s="365"/>
      <c r="E54" s="468" t="s">
        <v>437</v>
      </c>
      <c r="F54" s="581">
        <v>11263.235294117647</v>
      </c>
      <c r="G54" s="470">
        <v>29428.571428571428</v>
      </c>
      <c r="H54" s="494">
        <f t="shared" si="40"/>
        <v>18165.336134453781</v>
      </c>
      <c r="I54" s="471">
        <v>28</v>
      </c>
      <c r="J54" s="424"/>
      <c r="K54" s="495">
        <f t="shared" si="41"/>
        <v>315370.5882352941</v>
      </c>
      <c r="L54" s="495">
        <f t="shared" si="42"/>
        <v>824000</v>
      </c>
      <c r="M54" s="495">
        <f t="shared" si="43"/>
        <v>508629.4117647059</v>
      </c>
      <c r="N54" s="496">
        <f t="shared" si="35"/>
        <v>0.38273129640205594</v>
      </c>
      <c r="O54" s="497">
        <f t="shared" si="36"/>
        <v>1.0681697093515407E-3</v>
      </c>
      <c r="P54" s="497">
        <f t="shared" si="36"/>
        <v>9.9712112441063361E-4</v>
      </c>
      <c r="Q54" s="497">
        <f t="shared" si="37"/>
        <v>4.0768782760629008E-3</v>
      </c>
      <c r="R54" s="498">
        <f t="shared" si="38"/>
        <v>1.4198782961460445</v>
      </c>
      <c r="S54" s="545">
        <f t="shared" si="19"/>
        <v>4.1791044776119399</v>
      </c>
      <c r="T54" s="546">
        <f t="shared" si="20"/>
        <v>122985.07462686565</v>
      </c>
      <c r="U54" s="404"/>
      <c r="V54" s="476" t="str">
        <f t="shared" si="12"/>
        <v>High</v>
      </c>
      <c r="W54" s="476" t="str">
        <f t="shared" si="13"/>
        <v>Low</v>
      </c>
      <c r="X54" s="477" t="str">
        <f t="shared" si="14"/>
        <v>Horse</v>
      </c>
      <c r="AM54" s="76"/>
      <c r="AN54" s="76"/>
    </row>
    <row r="55" spans="1:40" ht="17.25" customHeight="1" x14ac:dyDescent="0.3">
      <c r="A55" s="366">
        <f t="shared" si="39"/>
        <v>11</v>
      </c>
      <c r="B55" s="467" t="s">
        <v>617</v>
      </c>
      <c r="C55" s="365" t="s">
        <v>665</v>
      </c>
      <c r="D55" s="365"/>
      <c r="E55" s="468" t="s">
        <v>437</v>
      </c>
      <c r="F55" s="581">
        <v>9644.7692307692305</v>
      </c>
      <c r="G55" s="470">
        <v>29387.096774193549</v>
      </c>
      <c r="H55" s="494">
        <f t="shared" si="40"/>
        <v>19742.327543424319</v>
      </c>
      <c r="I55" s="471">
        <v>31</v>
      </c>
      <c r="J55" s="424"/>
      <c r="K55" s="495">
        <f t="shared" si="41"/>
        <v>298987.84615384613</v>
      </c>
      <c r="L55" s="495">
        <f t="shared" si="42"/>
        <v>911000</v>
      </c>
      <c r="M55" s="495">
        <f t="shared" si="43"/>
        <v>612012.15384615387</v>
      </c>
      <c r="N55" s="496">
        <f t="shared" si="35"/>
        <v>0.3281974161952208</v>
      </c>
      <c r="O55" s="497">
        <f t="shared" si="36"/>
        <v>1.1809497636155989E-3</v>
      </c>
      <c r="P55" s="497">
        <f t="shared" si="36"/>
        <v>1.1997934702178705E-3</v>
      </c>
      <c r="Q55" s="497">
        <f t="shared" si="37"/>
        <v>4.5136866627839252E-3</v>
      </c>
      <c r="R55" s="498">
        <f t="shared" si="38"/>
        <v>1.5720081135902637</v>
      </c>
      <c r="S55" s="545">
        <f t="shared" si="19"/>
        <v>4.6268656716417906</v>
      </c>
      <c r="T55" s="546">
        <f t="shared" si="20"/>
        <v>135970.14925373133</v>
      </c>
      <c r="U55" s="404"/>
      <c r="V55" s="476" t="str">
        <f t="shared" si="12"/>
        <v>High</v>
      </c>
      <c r="W55" s="476" t="str">
        <f t="shared" si="13"/>
        <v>Low</v>
      </c>
      <c r="X55" s="477" t="str">
        <f t="shared" si="14"/>
        <v>Horse</v>
      </c>
      <c r="AM55" s="76"/>
      <c r="AN55" s="76"/>
    </row>
    <row r="56" spans="1:40" ht="17.25" customHeight="1" x14ac:dyDescent="0.3">
      <c r="A56" s="366">
        <f t="shared" si="39"/>
        <v>12</v>
      </c>
      <c r="B56" s="467" t="s">
        <v>618</v>
      </c>
      <c r="C56" s="365" t="s">
        <v>666</v>
      </c>
      <c r="D56" s="365"/>
      <c r="E56" s="468" t="s">
        <v>437</v>
      </c>
      <c r="F56" s="581">
        <v>9440</v>
      </c>
      <c r="G56" s="470">
        <v>29000</v>
      </c>
      <c r="H56" s="494">
        <f t="shared" si="40"/>
        <v>19560</v>
      </c>
      <c r="I56" s="471">
        <v>24</v>
      </c>
      <c r="J56" s="424"/>
      <c r="K56" s="495">
        <f t="shared" si="41"/>
        <v>226560</v>
      </c>
      <c r="L56" s="495">
        <f t="shared" si="42"/>
        <v>696000</v>
      </c>
      <c r="M56" s="495">
        <f t="shared" si="43"/>
        <v>469440</v>
      </c>
      <c r="N56" s="496">
        <f t="shared" si="35"/>
        <v>0.32551724137931032</v>
      </c>
      <c r="O56" s="497">
        <f t="shared" si="36"/>
        <v>9.0224043411246636E-4</v>
      </c>
      <c r="P56" s="497">
        <f t="shared" si="36"/>
        <v>9.2029389141945169E-4</v>
      </c>
      <c r="Q56" s="497">
        <f t="shared" si="37"/>
        <v>3.4944670937682005E-3</v>
      </c>
      <c r="R56" s="498">
        <f t="shared" si="38"/>
        <v>1.2170385395537524</v>
      </c>
      <c r="S56" s="545">
        <f t="shared" si="19"/>
        <v>3.5820895522388057</v>
      </c>
      <c r="T56" s="546">
        <f t="shared" si="20"/>
        <v>103880.59701492537</v>
      </c>
      <c r="U56" s="404"/>
      <c r="V56" s="476" t="str">
        <f t="shared" si="12"/>
        <v>High</v>
      </c>
      <c r="W56" s="476" t="str">
        <f t="shared" si="13"/>
        <v>Low</v>
      </c>
      <c r="X56" s="477" t="str">
        <f t="shared" si="14"/>
        <v>Horse</v>
      </c>
      <c r="AM56" s="76"/>
      <c r="AN56" s="76"/>
    </row>
    <row r="57" spans="1:40" ht="17.25" customHeight="1" x14ac:dyDescent="0.3">
      <c r="A57" s="366">
        <f t="shared" si="39"/>
        <v>13</v>
      </c>
      <c r="B57" s="467" t="s">
        <v>619</v>
      </c>
      <c r="C57" s="365" t="s">
        <v>667</v>
      </c>
      <c r="D57" s="365"/>
      <c r="E57" s="468" t="s">
        <v>437</v>
      </c>
      <c r="F57" s="581">
        <v>10111</v>
      </c>
      <c r="G57" s="470">
        <v>40764.705882352944</v>
      </c>
      <c r="H57" s="494">
        <f t="shared" si="40"/>
        <v>30653.705882352944</v>
      </c>
      <c r="I57" s="471">
        <v>17</v>
      </c>
      <c r="J57" s="424"/>
      <c r="K57" s="495">
        <f t="shared" si="41"/>
        <v>171887</v>
      </c>
      <c r="L57" s="495">
        <f t="shared" si="42"/>
        <v>693000</v>
      </c>
      <c r="M57" s="495">
        <f t="shared" si="43"/>
        <v>521113</v>
      </c>
      <c r="N57" s="496">
        <f t="shared" si="35"/>
        <v>0.24803318903318902</v>
      </c>
      <c r="O57" s="497">
        <f t="shared" si="36"/>
        <v>8.983514667240505E-4</v>
      </c>
      <c r="P57" s="497">
        <f t="shared" si="36"/>
        <v>1.0215940495894359E-3</v>
      </c>
      <c r="Q57" s="497">
        <f t="shared" si="37"/>
        <v>2.4752475247524753E-3</v>
      </c>
      <c r="R57" s="498">
        <f t="shared" si="38"/>
        <v>0.86206896551724133</v>
      </c>
      <c r="S57" s="545">
        <f t="shared" si="19"/>
        <v>2.5373134328358207</v>
      </c>
      <c r="T57" s="546">
        <f t="shared" si="20"/>
        <v>103432.83582089552</v>
      </c>
      <c r="U57" s="404"/>
      <c r="V57" s="476" t="str">
        <f t="shared" si="12"/>
        <v>High</v>
      </c>
      <c r="W57" s="476" t="str">
        <f t="shared" si="13"/>
        <v>Low</v>
      </c>
      <c r="X57" s="477" t="str">
        <f t="shared" si="14"/>
        <v>Horse</v>
      </c>
      <c r="AM57" s="76"/>
      <c r="AN57" s="76"/>
    </row>
    <row r="58" spans="1:40" ht="17.25" customHeight="1" x14ac:dyDescent="0.3">
      <c r="A58" s="366">
        <f t="shared" si="39"/>
        <v>14</v>
      </c>
      <c r="B58" s="467" t="s">
        <v>620</v>
      </c>
      <c r="C58" s="365" t="s">
        <v>668</v>
      </c>
      <c r="D58" s="365"/>
      <c r="E58" s="468" t="s">
        <v>437</v>
      </c>
      <c r="F58" s="581">
        <v>9043.8571428571431</v>
      </c>
      <c r="G58" s="470">
        <v>39000</v>
      </c>
      <c r="H58" s="494">
        <f t="shared" si="40"/>
        <v>29956.142857142855</v>
      </c>
      <c r="I58" s="471">
        <v>6</v>
      </c>
      <c r="J58" s="424"/>
      <c r="K58" s="495">
        <f t="shared" si="41"/>
        <v>54263.142857142855</v>
      </c>
      <c r="L58" s="495">
        <f t="shared" si="42"/>
        <v>234000</v>
      </c>
      <c r="M58" s="495">
        <f t="shared" si="43"/>
        <v>179736.85714285716</v>
      </c>
      <c r="N58" s="496">
        <f t="shared" si="35"/>
        <v>0.23189377289377289</v>
      </c>
      <c r="O58" s="497">
        <f t="shared" si="36"/>
        <v>3.0333945629643268E-4</v>
      </c>
      <c r="P58" s="497">
        <f t="shared" si="36"/>
        <v>3.5235755728421544E-4</v>
      </c>
      <c r="Q58" s="497">
        <f t="shared" si="37"/>
        <v>8.7361677344205012E-4</v>
      </c>
      <c r="R58" s="498">
        <f t="shared" si="38"/>
        <v>0.3042596348884381</v>
      </c>
      <c r="S58" s="545">
        <f t="shared" si="19"/>
        <v>0.89552238805970141</v>
      </c>
      <c r="T58" s="546">
        <f t="shared" si="20"/>
        <v>34925.373134328358</v>
      </c>
      <c r="U58" s="404"/>
      <c r="V58" s="476" t="str">
        <f t="shared" si="12"/>
        <v>Low</v>
      </c>
      <c r="W58" s="476" t="str">
        <f t="shared" si="13"/>
        <v>Low</v>
      </c>
      <c r="X58" s="477" t="str">
        <f t="shared" si="14"/>
        <v>Dog</v>
      </c>
      <c r="AM58" s="76"/>
      <c r="AN58" s="76"/>
    </row>
    <row r="59" spans="1:40" ht="17.25" customHeight="1" x14ac:dyDescent="0.3">
      <c r="A59" s="366">
        <f t="shared" si="39"/>
        <v>15</v>
      </c>
      <c r="B59" s="467" t="s">
        <v>621</v>
      </c>
      <c r="C59" s="365" t="s">
        <v>669</v>
      </c>
      <c r="D59" s="365"/>
      <c r="E59" s="468" t="s">
        <v>437</v>
      </c>
      <c r="F59" s="581">
        <v>15885.130434782608</v>
      </c>
      <c r="G59" s="470">
        <v>40255.813953488374</v>
      </c>
      <c r="H59" s="494">
        <f t="shared" si="40"/>
        <v>24370.683518705766</v>
      </c>
      <c r="I59" s="471">
        <v>43</v>
      </c>
      <c r="J59" s="424"/>
      <c r="K59" s="495">
        <f t="shared" si="41"/>
        <v>683060.6086956521</v>
      </c>
      <c r="L59" s="495">
        <f t="shared" si="42"/>
        <v>1731000</v>
      </c>
      <c r="M59" s="495">
        <f t="shared" si="43"/>
        <v>1047939.3913043479</v>
      </c>
      <c r="N59" s="496">
        <f t="shared" si="35"/>
        <v>0.39460462662949286</v>
      </c>
      <c r="O59" s="497">
        <f t="shared" si="36"/>
        <v>2.2439341831159186E-3</v>
      </c>
      <c r="P59" s="497">
        <f t="shared" si="36"/>
        <v>2.0543886767109957E-3</v>
      </c>
      <c r="Q59" s="497">
        <f t="shared" si="37"/>
        <v>6.2609202096680257E-3</v>
      </c>
      <c r="R59" s="498">
        <f t="shared" si="38"/>
        <v>2.1805273833671399</v>
      </c>
      <c r="S59" s="545">
        <f t="shared" si="19"/>
        <v>6.4179104477611935</v>
      </c>
      <c r="T59" s="546">
        <f t="shared" si="20"/>
        <v>258358.20895522388</v>
      </c>
      <c r="U59" s="404"/>
      <c r="V59" s="476" t="str">
        <f t="shared" si="12"/>
        <v>High</v>
      </c>
      <c r="W59" s="476" t="str">
        <f t="shared" si="13"/>
        <v>Low</v>
      </c>
      <c r="X59" s="477" t="str">
        <f t="shared" si="14"/>
        <v>Horse</v>
      </c>
      <c r="AC59" s="366"/>
      <c r="AD59" s="366"/>
      <c r="AE59" s="366"/>
      <c r="AF59" s="366"/>
      <c r="AG59" s="366"/>
      <c r="AH59" s="366"/>
      <c r="AI59" s="366"/>
      <c r="AJ59" s="366"/>
      <c r="AM59" s="76"/>
      <c r="AN59" s="76"/>
    </row>
    <row r="60" spans="1:40" ht="17.25" customHeight="1" x14ac:dyDescent="0.3">
      <c r="A60" s="366">
        <f t="shared" si="39"/>
        <v>16</v>
      </c>
      <c r="B60" s="467" t="s">
        <v>622</v>
      </c>
      <c r="C60" s="365" t="s">
        <v>670</v>
      </c>
      <c r="D60" s="365"/>
      <c r="E60" s="468" t="s">
        <v>437</v>
      </c>
      <c r="F60" s="581">
        <v>15680.692307692309</v>
      </c>
      <c r="G60" s="470">
        <v>39750</v>
      </c>
      <c r="H60" s="494">
        <f t="shared" si="40"/>
        <v>24069.307692307691</v>
      </c>
      <c r="I60" s="471">
        <v>8</v>
      </c>
      <c r="J60" s="424"/>
      <c r="K60" s="495">
        <f t="shared" si="41"/>
        <v>125445.53846153847</v>
      </c>
      <c r="L60" s="495">
        <f t="shared" si="42"/>
        <v>318000</v>
      </c>
      <c r="M60" s="495">
        <f t="shared" si="43"/>
        <v>192554.46153846153</v>
      </c>
      <c r="N60" s="496">
        <f t="shared" si="35"/>
        <v>0.39448282535074991</v>
      </c>
      <c r="O60" s="497">
        <f t="shared" si="36"/>
        <v>4.1223054317207516E-4</v>
      </c>
      <c r="P60" s="497">
        <f t="shared" si="36"/>
        <v>3.774852903872868E-4</v>
      </c>
      <c r="Q60" s="497">
        <f t="shared" si="37"/>
        <v>1.1648223645894002E-3</v>
      </c>
      <c r="R60" s="498">
        <f t="shared" si="38"/>
        <v>0.40567951318458417</v>
      </c>
      <c r="S60" s="545">
        <f t="shared" si="19"/>
        <v>1.1940298507462686</v>
      </c>
      <c r="T60" s="546">
        <f t="shared" si="20"/>
        <v>47462.686567164172</v>
      </c>
      <c r="U60" s="404"/>
      <c r="V60" s="476" t="str">
        <f t="shared" si="12"/>
        <v>Low</v>
      </c>
      <c r="W60" s="476" t="str">
        <f t="shared" si="13"/>
        <v>Low</v>
      </c>
      <c r="X60" s="477" t="str">
        <f t="shared" si="14"/>
        <v>Dog</v>
      </c>
      <c r="AC60" s="366"/>
      <c r="AD60" s="366"/>
      <c r="AE60" s="366"/>
      <c r="AF60" s="366"/>
      <c r="AG60" s="366"/>
      <c r="AH60" s="366"/>
      <c r="AI60" s="366"/>
      <c r="AJ60" s="366"/>
      <c r="AM60" s="76"/>
      <c r="AN60" s="76"/>
    </row>
    <row r="61" spans="1:40" ht="17.25" customHeight="1" x14ac:dyDescent="0.3">
      <c r="A61" s="366">
        <f t="shared" si="39"/>
        <v>17</v>
      </c>
      <c r="B61" s="467" t="s">
        <v>623</v>
      </c>
      <c r="C61" s="365" t="s">
        <v>671</v>
      </c>
      <c r="D61" s="365"/>
      <c r="E61" s="468" t="s">
        <v>437</v>
      </c>
      <c r="F61" s="581">
        <v>5802</v>
      </c>
      <c r="G61" s="470">
        <v>25250</v>
      </c>
      <c r="H61" s="494">
        <f t="shared" si="40"/>
        <v>19448</v>
      </c>
      <c r="I61" s="471">
        <v>8</v>
      </c>
      <c r="J61" s="424"/>
      <c r="K61" s="495">
        <f t="shared" si="41"/>
        <v>46416</v>
      </c>
      <c r="L61" s="495">
        <f t="shared" si="42"/>
        <v>202000</v>
      </c>
      <c r="M61" s="495">
        <f t="shared" si="43"/>
        <v>155584</v>
      </c>
      <c r="N61" s="496">
        <f t="shared" si="35"/>
        <v>0.22978217821782179</v>
      </c>
      <c r="O61" s="497">
        <f t="shared" si="36"/>
        <v>2.6185713748666409E-4</v>
      </c>
      <c r="P61" s="497">
        <f t="shared" si="36"/>
        <v>3.0500810498168877E-4</v>
      </c>
      <c r="Q61" s="497">
        <f t="shared" si="37"/>
        <v>1.1648223645894002E-3</v>
      </c>
      <c r="R61" s="498">
        <f t="shared" si="38"/>
        <v>0.40567951318458417</v>
      </c>
      <c r="S61" s="545">
        <f t="shared" si="19"/>
        <v>1.1940298507462686</v>
      </c>
      <c r="T61" s="546">
        <f t="shared" si="20"/>
        <v>30149.25373134328</v>
      </c>
      <c r="U61" s="404"/>
      <c r="V61" s="476" t="str">
        <f t="shared" si="12"/>
        <v>Low</v>
      </c>
      <c r="W61" s="476" t="str">
        <f t="shared" si="13"/>
        <v>Low</v>
      </c>
      <c r="X61" s="477" t="str">
        <f t="shared" si="14"/>
        <v>Dog</v>
      </c>
      <c r="AC61" s="366"/>
      <c r="AD61" s="366"/>
      <c r="AE61" s="366"/>
      <c r="AF61" s="366"/>
      <c r="AG61" s="366"/>
      <c r="AH61" s="366"/>
      <c r="AI61" s="366"/>
      <c r="AJ61" s="366"/>
      <c r="AM61" s="76"/>
      <c r="AN61" s="76"/>
    </row>
    <row r="62" spans="1:40" ht="17.25" customHeight="1" x14ac:dyDescent="0.3">
      <c r="A62" s="366">
        <f t="shared" si="39"/>
        <v>18</v>
      </c>
      <c r="B62" s="467" t="s">
        <v>624</v>
      </c>
      <c r="C62" s="365" t="s">
        <v>672</v>
      </c>
      <c r="D62" s="365"/>
      <c r="E62" s="468" t="s">
        <v>437</v>
      </c>
      <c r="F62" s="581">
        <v>5597</v>
      </c>
      <c r="G62" s="470">
        <v>24000</v>
      </c>
      <c r="H62" s="494">
        <f t="shared" si="40"/>
        <v>18403</v>
      </c>
      <c r="I62" s="471">
        <v>6</v>
      </c>
      <c r="J62" s="424"/>
      <c r="K62" s="495">
        <f t="shared" si="41"/>
        <v>33582</v>
      </c>
      <c r="L62" s="495">
        <f t="shared" si="42"/>
        <v>144000</v>
      </c>
      <c r="M62" s="495">
        <f t="shared" si="43"/>
        <v>110418</v>
      </c>
      <c r="N62" s="496">
        <f t="shared" si="35"/>
        <v>0.23320833333333332</v>
      </c>
      <c r="O62" s="497">
        <f t="shared" si="36"/>
        <v>1.8667043464395855E-4</v>
      </c>
      <c r="P62" s="497">
        <f t="shared" si="36"/>
        <v>2.164643211118631E-4</v>
      </c>
      <c r="Q62" s="497">
        <f t="shared" si="37"/>
        <v>8.7361677344205012E-4</v>
      </c>
      <c r="R62" s="498">
        <f t="shared" si="38"/>
        <v>0.3042596348884381</v>
      </c>
      <c r="S62" s="545">
        <f t="shared" si="19"/>
        <v>0.89552238805970141</v>
      </c>
      <c r="T62" s="546">
        <f t="shared" si="20"/>
        <v>21492.537313432833</v>
      </c>
      <c r="U62" s="404"/>
      <c r="V62" s="476" t="str">
        <f t="shared" si="12"/>
        <v>Low</v>
      </c>
      <c r="W62" s="476" t="str">
        <f t="shared" si="13"/>
        <v>Low</v>
      </c>
      <c r="X62" s="477" t="str">
        <f t="shared" si="14"/>
        <v>Dog</v>
      </c>
      <c r="AC62" s="366"/>
      <c r="AD62" s="366"/>
      <c r="AE62" s="366"/>
      <c r="AF62" s="366"/>
      <c r="AG62" s="366"/>
      <c r="AH62" s="366"/>
      <c r="AI62" s="366"/>
      <c r="AJ62" s="366"/>
      <c r="AM62" s="76"/>
      <c r="AN62" s="76"/>
    </row>
    <row r="63" spans="1:40" ht="17.25" customHeight="1" x14ac:dyDescent="0.3">
      <c r="A63" s="366">
        <f t="shared" si="39"/>
        <v>19</v>
      </c>
      <c r="B63" s="467" t="s">
        <v>625</v>
      </c>
      <c r="C63" s="365" t="s">
        <v>673</v>
      </c>
      <c r="D63" s="365"/>
      <c r="E63" s="468" t="s">
        <v>437</v>
      </c>
      <c r="F63" s="581">
        <v>6703</v>
      </c>
      <c r="G63" s="470">
        <v>24714.285714285714</v>
      </c>
      <c r="H63" s="494">
        <f t="shared" si="40"/>
        <v>18011.285714285714</v>
      </c>
      <c r="I63" s="471">
        <v>14</v>
      </c>
      <c r="J63" s="424"/>
      <c r="K63" s="495">
        <f t="shared" si="41"/>
        <v>93842</v>
      </c>
      <c r="L63" s="495">
        <f t="shared" si="42"/>
        <v>346000</v>
      </c>
      <c r="M63" s="495">
        <f t="shared" si="43"/>
        <v>252158</v>
      </c>
      <c r="N63" s="496">
        <f t="shared" si="35"/>
        <v>0.27121965317919078</v>
      </c>
      <c r="O63" s="497">
        <f t="shared" si="36"/>
        <v>4.4852757213062266E-4</v>
      </c>
      <c r="P63" s="497">
        <f t="shared" si="36"/>
        <v>4.9433253892413535E-4</v>
      </c>
      <c r="Q63" s="497">
        <f t="shared" si="37"/>
        <v>2.0384391380314504E-3</v>
      </c>
      <c r="R63" s="498">
        <f t="shared" si="38"/>
        <v>0.70993914807302227</v>
      </c>
      <c r="S63" s="545">
        <f t="shared" si="19"/>
        <v>2.08955223880597</v>
      </c>
      <c r="T63" s="546">
        <f t="shared" si="20"/>
        <v>51641.791044776117</v>
      </c>
      <c r="U63" s="404"/>
      <c r="V63" s="476" t="str">
        <f t="shared" si="12"/>
        <v>High</v>
      </c>
      <c r="W63" s="476" t="str">
        <f t="shared" si="13"/>
        <v>Low</v>
      </c>
      <c r="X63" s="477" t="str">
        <f t="shared" si="14"/>
        <v>Horse</v>
      </c>
      <c r="AC63" s="366"/>
      <c r="AD63" s="366"/>
      <c r="AE63" s="366"/>
      <c r="AF63" s="366"/>
      <c r="AG63" s="366"/>
      <c r="AH63" s="366"/>
      <c r="AI63" s="366"/>
      <c r="AJ63" s="366"/>
      <c r="AM63" s="76"/>
      <c r="AN63" s="76"/>
    </row>
    <row r="64" spans="1:40" ht="17.25" customHeight="1" x14ac:dyDescent="0.3">
      <c r="A64" s="366">
        <f t="shared" si="39"/>
        <v>20</v>
      </c>
      <c r="B64" s="467" t="s">
        <v>626</v>
      </c>
      <c r="C64" s="365" t="s">
        <v>674</v>
      </c>
      <c r="D64" s="365"/>
      <c r="E64" s="468" t="s">
        <v>437</v>
      </c>
      <c r="F64" s="581">
        <v>6498</v>
      </c>
      <c r="G64" s="470">
        <v>24000</v>
      </c>
      <c r="H64" s="494">
        <f t="shared" si="40"/>
        <v>17502</v>
      </c>
      <c r="I64" s="471">
        <v>12</v>
      </c>
      <c r="J64" s="424"/>
      <c r="K64" s="495">
        <f t="shared" si="41"/>
        <v>77976</v>
      </c>
      <c r="L64" s="495">
        <f t="shared" si="42"/>
        <v>288000</v>
      </c>
      <c r="M64" s="495">
        <f t="shared" si="43"/>
        <v>210024</v>
      </c>
      <c r="N64" s="496">
        <f t="shared" si="35"/>
        <v>0.27074999999999999</v>
      </c>
      <c r="O64" s="497">
        <f t="shared" si="36"/>
        <v>3.7334086928791709E-4</v>
      </c>
      <c r="P64" s="497">
        <f t="shared" si="36"/>
        <v>4.1173271185130993E-4</v>
      </c>
      <c r="Q64" s="497">
        <f t="shared" si="37"/>
        <v>1.7472335468841002E-3</v>
      </c>
      <c r="R64" s="498">
        <f t="shared" si="38"/>
        <v>0.6085192697768762</v>
      </c>
      <c r="S64" s="545">
        <f t="shared" si="19"/>
        <v>1.7910447761194028</v>
      </c>
      <c r="T64" s="546">
        <f t="shared" si="20"/>
        <v>42985.074626865666</v>
      </c>
      <c r="U64" s="404"/>
      <c r="V64" s="476" t="str">
        <f t="shared" si="12"/>
        <v>High</v>
      </c>
      <c r="W64" s="476" t="str">
        <f t="shared" si="13"/>
        <v>Low</v>
      </c>
      <c r="X64" s="477" t="str">
        <f t="shared" si="14"/>
        <v>Horse</v>
      </c>
      <c r="AC64" s="366"/>
      <c r="AD64" s="366"/>
      <c r="AE64" s="366"/>
      <c r="AF64" s="366"/>
      <c r="AG64" s="366"/>
      <c r="AH64" s="366"/>
      <c r="AI64" s="366"/>
      <c r="AJ64" s="366"/>
      <c r="AM64" s="76"/>
      <c r="AN64" s="76"/>
    </row>
    <row r="65" spans="1:40" ht="17.25" customHeight="1" x14ac:dyDescent="0.3">
      <c r="A65" s="366">
        <f t="shared" si="39"/>
        <v>21</v>
      </c>
      <c r="B65" s="467" t="s">
        <v>627</v>
      </c>
      <c r="C65" s="365" t="s">
        <v>675</v>
      </c>
      <c r="D65" s="365"/>
      <c r="E65" s="468" t="s">
        <v>437</v>
      </c>
      <c r="F65" s="581">
        <v>6146.5</v>
      </c>
      <c r="G65" s="470">
        <v>25000</v>
      </c>
      <c r="H65" s="494">
        <f t="shared" si="40"/>
        <v>18853.5</v>
      </c>
      <c r="I65" s="471">
        <v>5</v>
      </c>
      <c r="J65" s="424"/>
      <c r="K65" s="495">
        <f t="shared" si="41"/>
        <v>30732.5</v>
      </c>
      <c r="L65" s="495">
        <f t="shared" si="42"/>
        <v>125000</v>
      </c>
      <c r="M65" s="495">
        <f t="shared" si="43"/>
        <v>94267.5</v>
      </c>
      <c r="N65" s="496">
        <f t="shared" si="35"/>
        <v>0.24586</v>
      </c>
      <c r="O65" s="497">
        <f t="shared" si="36"/>
        <v>1.6204030785065847E-4</v>
      </c>
      <c r="P65" s="497">
        <f t="shared" si="36"/>
        <v>1.8480275308747267E-4</v>
      </c>
      <c r="Q65" s="497">
        <f t="shared" si="37"/>
        <v>7.2801397786837504E-4</v>
      </c>
      <c r="R65" s="498">
        <f t="shared" si="38"/>
        <v>0.25354969574036512</v>
      </c>
      <c r="S65" s="545">
        <f t="shared" si="19"/>
        <v>0.74626865671641796</v>
      </c>
      <c r="T65" s="546">
        <f t="shared" si="20"/>
        <v>18656.716417910447</v>
      </c>
      <c r="U65" s="404"/>
      <c r="V65" s="476" t="str">
        <f t="shared" si="12"/>
        <v>Low</v>
      </c>
      <c r="W65" s="476" t="str">
        <f t="shared" si="13"/>
        <v>Low</v>
      </c>
      <c r="X65" s="477" t="str">
        <f t="shared" si="14"/>
        <v>Dog</v>
      </c>
      <c r="AC65" s="366"/>
      <c r="AD65" s="366"/>
      <c r="AE65" s="366"/>
      <c r="AF65" s="366"/>
      <c r="AG65" s="366"/>
      <c r="AH65" s="366"/>
      <c r="AI65" s="366"/>
      <c r="AJ65" s="366"/>
      <c r="AM65" s="76"/>
      <c r="AN65" s="76"/>
    </row>
    <row r="66" spans="1:40" ht="17.25" customHeight="1" x14ac:dyDescent="0.3">
      <c r="A66" s="366">
        <f t="shared" si="39"/>
        <v>22</v>
      </c>
      <c r="B66" s="467" t="s">
        <v>628</v>
      </c>
      <c r="C66" s="365" t="s">
        <v>676</v>
      </c>
      <c r="D66" s="365"/>
      <c r="E66" s="468" t="s">
        <v>437</v>
      </c>
      <c r="F66" s="581">
        <v>5942</v>
      </c>
      <c r="G66" s="470">
        <v>24000</v>
      </c>
      <c r="H66" s="494">
        <f t="shared" si="40"/>
        <v>18058</v>
      </c>
      <c r="I66" s="471">
        <v>11</v>
      </c>
      <c r="J66" s="424"/>
      <c r="K66" s="495">
        <f t="shared" si="41"/>
        <v>65362</v>
      </c>
      <c r="L66" s="495">
        <f t="shared" si="42"/>
        <v>264000</v>
      </c>
      <c r="M66" s="495">
        <f t="shared" si="43"/>
        <v>198638</v>
      </c>
      <c r="N66" s="496">
        <f t="shared" si="35"/>
        <v>0.24758333333333332</v>
      </c>
      <c r="O66" s="497">
        <f t="shared" si="36"/>
        <v>3.4222913018059069E-4</v>
      </c>
      <c r="P66" s="497">
        <f t="shared" si="36"/>
        <v>3.8941150733592586E-4</v>
      </c>
      <c r="Q66" s="497">
        <f t="shared" si="37"/>
        <v>1.6016307513104251E-3</v>
      </c>
      <c r="R66" s="498">
        <f t="shared" si="38"/>
        <v>0.55780933062880322</v>
      </c>
      <c r="S66" s="545">
        <f t="shared" si="19"/>
        <v>1.6417910447761193</v>
      </c>
      <c r="T66" s="546">
        <f t="shared" si="20"/>
        <v>39402.985074626864</v>
      </c>
      <c r="U66" s="404"/>
      <c r="V66" s="476" t="str">
        <f t="shared" si="12"/>
        <v>High</v>
      </c>
      <c r="W66" s="476" t="str">
        <f t="shared" si="13"/>
        <v>Low</v>
      </c>
      <c r="X66" s="477" t="str">
        <f t="shared" si="14"/>
        <v>Horse</v>
      </c>
      <c r="AC66" s="366"/>
      <c r="AD66" s="366"/>
      <c r="AE66" s="366"/>
      <c r="AF66" s="366"/>
      <c r="AG66" s="366"/>
      <c r="AH66" s="366"/>
      <c r="AI66" s="366"/>
      <c r="AJ66" s="366"/>
      <c r="AM66" s="76"/>
      <c r="AN66" s="76"/>
    </row>
    <row r="67" spans="1:40" ht="17.25" customHeight="1" x14ac:dyDescent="0.3">
      <c r="A67" s="366">
        <f t="shared" si="39"/>
        <v>23</v>
      </c>
      <c r="B67" s="467" t="s">
        <v>629</v>
      </c>
      <c r="C67" s="365" t="s">
        <v>677</v>
      </c>
      <c r="D67" s="365"/>
      <c r="E67" s="468" t="s">
        <v>437</v>
      </c>
      <c r="F67" s="581"/>
      <c r="G67" s="470">
        <v>0</v>
      </c>
      <c r="H67" s="494">
        <f t="shared" si="40"/>
        <v>0</v>
      </c>
      <c r="I67" s="471">
        <v>0</v>
      </c>
      <c r="J67" s="424"/>
      <c r="K67" s="495">
        <f t="shared" si="41"/>
        <v>0</v>
      </c>
      <c r="L67" s="495">
        <f t="shared" si="42"/>
        <v>0</v>
      </c>
      <c r="M67" s="495">
        <f t="shared" si="43"/>
        <v>0</v>
      </c>
      <c r="N67" s="496" t="e">
        <f t="shared" si="35"/>
        <v>#DIV/0!</v>
      </c>
      <c r="O67" s="497">
        <f t="shared" si="36"/>
        <v>0</v>
      </c>
      <c r="P67" s="497">
        <f t="shared" si="36"/>
        <v>0</v>
      </c>
      <c r="Q67" s="497">
        <f t="shared" si="37"/>
        <v>0</v>
      </c>
      <c r="R67" s="498">
        <f t="shared" si="38"/>
        <v>0</v>
      </c>
      <c r="S67" s="545">
        <f t="shared" si="19"/>
        <v>0</v>
      </c>
      <c r="T67" s="546">
        <f t="shared" si="20"/>
        <v>0</v>
      </c>
      <c r="U67" s="404"/>
      <c r="V67" s="476" t="str">
        <f t="shared" si="12"/>
        <v>Low</v>
      </c>
      <c r="W67" s="476" t="str">
        <f t="shared" si="13"/>
        <v>Low</v>
      </c>
      <c r="X67" s="477" t="str">
        <f t="shared" si="14"/>
        <v>Dog</v>
      </c>
      <c r="AC67" s="366"/>
      <c r="AD67" s="366"/>
      <c r="AE67" s="366"/>
      <c r="AF67" s="366"/>
      <c r="AG67" s="366"/>
      <c r="AH67" s="366"/>
      <c r="AI67" s="366"/>
      <c r="AJ67" s="366"/>
      <c r="AM67" s="76"/>
      <c r="AN67" s="76"/>
    </row>
    <row r="68" spans="1:40" ht="17.25" customHeight="1" x14ac:dyDescent="0.3">
      <c r="A68" s="366">
        <f t="shared" si="39"/>
        <v>24</v>
      </c>
      <c r="B68" s="467" t="s">
        <v>631</v>
      </c>
      <c r="C68" s="365" t="s">
        <v>679</v>
      </c>
      <c r="D68" s="365"/>
      <c r="E68" s="468" t="s">
        <v>437</v>
      </c>
      <c r="F68" s="581">
        <v>13856.4</v>
      </c>
      <c r="G68" s="470">
        <v>86250</v>
      </c>
      <c r="H68" s="494">
        <f t="shared" si="40"/>
        <v>72393.600000000006</v>
      </c>
      <c r="I68" s="471">
        <v>16</v>
      </c>
      <c r="J68" s="424"/>
      <c r="K68" s="495">
        <f t="shared" si="41"/>
        <v>221702.39999999999</v>
      </c>
      <c r="L68" s="495">
        <f t="shared" si="42"/>
        <v>1380000</v>
      </c>
      <c r="M68" s="495">
        <f t="shared" si="43"/>
        <v>1158297.6000000001</v>
      </c>
      <c r="N68" s="496">
        <f t="shared" si="35"/>
        <v>0.16065391304347826</v>
      </c>
      <c r="O68" s="497">
        <f t="shared" si="36"/>
        <v>1.7889249986712695E-3</v>
      </c>
      <c r="P68" s="497">
        <f t="shared" si="36"/>
        <v>2.2707357824765925E-3</v>
      </c>
      <c r="Q68" s="497">
        <f t="shared" si="37"/>
        <v>2.3296447291788003E-3</v>
      </c>
      <c r="R68" s="498">
        <f t="shared" si="38"/>
        <v>0.81135902636916835</v>
      </c>
      <c r="S68" s="545">
        <f t="shared" si="19"/>
        <v>2.3880597014925371</v>
      </c>
      <c r="T68" s="546">
        <f t="shared" si="20"/>
        <v>205970.14925373133</v>
      </c>
      <c r="U68" s="404"/>
      <c r="V68" s="476" t="str">
        <f t="shared" si="12"/>
        <v>High</v>
      </c>
      <c r="W68" s="476" t="str">
        <f t="shared" si="13"/>
        <v>Low</v>
      </c>
      <c r="X68" s="477" t="str">
        <f t="shared" si="14"/>
        <v>Horse</v>
      </c>
      <c r="AC68" s="366"/>
      <c r="AD68" s="366"/>
      <c r="AE68" s="366"/>
      <c r="AF68" s="366"/>
      <c r="AG68" s="366"/>
      <c r="AH68" s="366"/>
      <c r="AI68" s="366"/>
      <c r="AJ68" s="366"/>
      <c r="AM68" s="76"/>
      <c r="AN68" s="76"/>
    </row>
    <row r="69" spans="1:40" ht="17.25" customHeight="1" x14ac:dyDescent="0.3">
      <c r="A69" s="366">
        <f t="shared" si="39"/>
        <v>25</v>
      </c>
      <c r="B69" s="467" t="s">
        <v>632</v>
      </c>
      <c r="C69" s="365" t="s">
        <v>680</v>
      </c>
      <c r="D69" s="365"/>
      <c r="E69" s="468" t="s">
        <v>437</v>
      </c>
      <c r="F69" s="581">
        <v>14457.242424242424</v>
      </c>
      <c r="G69" s="470">
        <v>80538.461538461532</v>
      </c>
      <c r="H69" s="494">
        <f t="shared" si="40"/>
        <v>66081.2191142191</v>
      </c>
      <c r="I69" s="471">
        <v>52</v>
      </c>
      <c r="J69" s="424"/>
      <c r="K69" s="495">
        <f t="shared" si="41"/>
        <v>751776.60606060608</v>
      </c>
      <c r="L69" s="495">
        <f t="shared" si="42"/>
        <v>4187999.9999999995</v>
      </c>
      <c r="M69" s="495">
        <f t="shared" si="43"/>
        <v>3436223.3939393936</v>
      </c>
      <c r="N69" s="496">
        <f t="shared" si="35"/>
        <v>0.17950730803739401</v>
      </c>
      <c r="O69" s="497">
        <f t="shared" si="36"/>
        <v>5.4289984742284603E-3</v>
      </c>
      <c r="P69" s="497">
        <f t="shared" si="36"/>
        <v>6.7363995377365373E-3</v>
      </c>
      <c r="Q69" s="497">
        <f t="shared" si="37"/>
        <v>7.5713453698311008E-3</v>
      </c>
      <c r="R69" s="498">
        <f t="shared" si="38"/>
        <v>2.6369168356997972</v>
      </c>
      <c r="S69" s="545">
        <f t="shared" si="19"/>
        <v>7.7611940298507465</v>
      </c>
      <c r="T69" s="546">
        <f t="shared" si="20"/>
        <v>625074.6268656716</v>
      </c>
      <c r="U69" s="404"/>
      <c r="V69" s="476" t="str">
        <f t="shared" si="12"/>
        <v>High</v>
      </c>
      <c r="W69" s="476" t="str">
        <f t="shared" si="13"/>
        <v>Low</v>
      </c>
      <c r="X69" s="477" t="str">
        <f t="shared" si="14"/>
        <v>Horse</v>
      </c>
      <c r="AC69" s="366"/>
      <c r="AD69" s="366"/>
      <c r="AE69" s="366"/>
      <c r="AF69" s="366"/>
      <c r="AG69" s="366"/>
      <c r="AH69" s="366"/>
      <c r="AI69" s="366"/>
      <c r="AJ69" s="366"/>
      <c r="AM69" s="76"/>
      <c r="AN69" s="76"/>
    </row>
    <row r="70" spans="1:40" ht="17.25" customHeight="1" x14ac:dyDescent="0.3">
      <c r="A70" s="366"/>
      <c r="B70" s="467"/>
      <c r="C70" s="365"/>
      <c r="D70" s="495"/>
      <c r="E70" s="468"/>
      <c r="F70" s="478"/>
      <c r="G70" s="470"/>
      <c r="H70" s="494"/>
      <c r="I70" s="471"/>
      <c r="J70" s="424"/>
      <c r="K70" s="495"/>
      <c r="L70" s="495"/>
      <c r="M70" s="495"/>
      <c r="N70" s="496"/>
      <c r="O70" s="497"/>
      <c r="P70" s="497"/>
      <c r="Q70" s="497"/>
      <c r="R70" s="498"/>
      <c r="S70" s="545">
        <f t="shared" si="19"/>
        <v>0</v>
      </c>
      <c r="T70" s="546">
        <f t="shared" si="20"/>
        <v>0</v>
      </c>
      <c r="U70" s="404"/>
      <c r="V70" s="476" t="str">
        <f t="shared" si="12"/>
        <v/>
      </c>
      <c r="W70" s="476" t="str">
        <f t="shared" si="13"/>
        <v/>
      </c>
      <c r="X70" s="477" t="str">
        <f t="shared" si="14"/>
        <v/>
      </c>
      <c r="AA70" s="366"/>
      <c r="AB70" s="503"/>
      <c r="AC70" s="366"/>
      <c r="AD70" s="366"/>
      <c r="AE70" s="366"/>
      <c r="AF70" s="366"/>
      <c r="AG70" s="366"/>
      <c r="AH70" s="366"/>
      <c r="AI70" s="366"/>
      <c r="AJ70" s="366"/>
      <c r="AM70" s="76"/>
      <c r="AN70" s="76"/>
    </row>
    <row r="71" spans="1:40" ht="17.25" customHeight="1" x14ac:dyDescent="0.3">
      <c r="A71" s="453"/>
      <c r="B71" s="479" t="s">
        <v>479</v>
      </c>
      <c r="C71" s="480" t="s">
        <v>480</v>
      </c>
      <c r="D71" s="480"/>
      <c r="E71" s="480"/>
      <c r="F71" s="480"/>
      <c r="G71" s="481"/>
      <c r="H71" s="481"/>
      <c r="I71" s="481">
        <f>SUBTOTAL(9,I72:I87)</f>
        <v>596</v>
      </c>
      <c r="J71" s="484"/>
      <c r="K71" s="480">
        <f>SUBTOTAL(9,K72:K87)</f>
        <v>37466779.370222196</v>
      </c>
      <c r="L71" s="480">
        <f>SUBTOTAL(9,L72:L87)</f>
        <v>113365000</v>
      </c>
      <c r="M71" s="480">
        <f>SUBTOTAL(9,M72:M87)</f>
        <v>75898220.629777789</v>
      </c>
      <c r="N71" s="485">
        <f>K71/L71</f>
        <v>0.33049688501938163</v>
      </c>
      <c r="O71" s="486">
        <f t="shared" ref="O71:P86" si="44">L71/L$10</f>
        <v>0.14695759599591918</v>
      </c>
      <c r="P71" s="486">
        <f t="shared" si="44"/>
        <v>0.14879147242499641</v>
      </c>
      <c r="Q71" s="486">
        <f t="shared" ref="Q71:Q86" si="45">I71/I$10</f>
        <v>8.6779266161910312E-2</v>
      </c>
      <c r="R71" s="487">
        <f t="shared" ref="R71:R86" si="46">I71/$K$5*100</f>
        <v>30.223123732251523</v>
      </c>
      <c r="S71" s="487">
        <f t="shared" si="19"/>
        <v>88.955223880597018</v>
      </c>
      <c r="T71" s="487">
        <f t="shared" si="20"/>
        <v>0</v>
      </c>
      <c r="U71" s="404"/>
      <c r="V71" s="476" t="str">
        <f t="shared" si="12"/>
        <v>High</v>
      </c>
      <c r="W71" s="476" t="str">
        <f t="shared" si="13"/>
        <v>High</v>
      </c>
      <c r="X71" s="477" t="str">
        <f t="shared" si="14"/>
        <v>Star</v>
      </c>
      <c r="AA71" s="366"/>
      <c r="AB71" s="503"/>
      <c r="AC71" s="366"/>
      <c r="AD71" s="366"/>
      <c r="AE71" s="366"/>
      <c r="AF71" s="366"/>
      <c r="AG71" s="366"/>
      <c r="AH71" s="366"/>
      <c r="AI71" s="366"/>
      <c r="AJ71" s="366"/>
      <c r="AM71" s="76"/>
      <c r="AN71" s="76"/>
    </row>
    <row r="72" spans="1:40" ht="17.25" customHeight="1" x14ac:dyDescent="0.3">
      <c r="A72" s="366">
        <f t="shared" ref="A72:A93" si="47">A71+1</f>
        <v>1</v>
      </c>
      <c r="B72" s="467" t="s">
        <v>494</v>
      </c>
      <c r="C72" s="365" t="s">
        <v>529</v>
      </c>
      <c r="D72" s="365"/>
      <c r="E72" s="468" t="s">
        <v>437</v>
      </c>
      <c r="F72" s="581">
        <v>172125.9</v>
      </c>
      <c r="G72" s="470">
        <v>509166.66666666669</v>
      </c>
      <c r="H72" s="494">
        <f t="shared" ref="H72:H86" si="48">G72-F72</f>
        <v>337040.76666666672</v>
      </c>
      <c r="I72" s="471">
        <v>24</v>
      </c>
      <c r="J72" s="424"/>
      <c r="K72" s="495">
        <f t="shared" ref="K72:K86" si="49">I72*F72</f>
        <v>4131021.5999999996</v>
      </c>
      <c r="L72" s="495">
        <f t="shared" ref="L72:L86" si="50">I72*G72</f>
        <v>12220000</v>
      </c>
      <c r="M72" s="495">
        <f t="shared" ref="M72:M86" si="51">L72-K72</f>
        <v>8088978.4000000004</v>
      </c>
      <c r="N72" s="496">
        <f t="shared" ref="N72:N86" si="52">K72/L72</f>
        <v>0.33805414075286411</v>
      </c>
      <c r="O72" s="497">
        <f t="shared" si="44"/>
        <v>1.5841060495480373E-2</v>
      </c>
      <c r="P72" s="497">
        <f t="shared" si="44"/>
        <v>1.5857697276209719E-2</v>
      </c>
      <c r="Q72" s="497">
        <f t="shared" si="45"/>
        <v>3.4944670937682005E-3</v>
      </c>
      <c r="R72" s="498">
        <f t="shared" si="46"/>
        <v>1.2170385395537524</v>
      </c>
      <c r="S72" s="545">
        <f t="shared" si="19"/>
        <v>3.5820895522388057</v>
      </c>
      <c r="T72" s="546">
        <f t="shared" si="20"/>
        <v>1823880.5970149252</v>
      </c>
      <c r="U72" s="404"/>
      <c r="V72" s="476" t="str">
        <f t="shared" si="12"/>
        <v>High</v>
      </c>
      <c r="W72" s="476" t="str">
        <f t="shared" si="13"/>
        <v>High</v>
      </c>
      <c r="X72" s="477" t="str">
        <f t="shared" si="14"/>
        <v>Star</v>
      </c>
      <c r="Y72" s="488"/>
      <c r="AA72" s="366"/>
      <c r="AB72" s="503"/>
      <c r="AC72" s="366"/>
      <c r="AD72" s="366"/>
      <c r="AE72" s="366"/>
      <c r="AF72" s="366"/>
      <c r="AG72" s="366"/>
      <c r="AH72" s="366"/>
      <c r="AI72" s="366"/>
      <c r="AJ72" s="366"/>
      <c r="AM72" s="76"/>
      <c r="AN72" s="76"/>
    </row>
    <row r="73" spans="1:40" ht="17.25" customHeight="1" x14ac:dyDescent="0.3">
      <c r="A73" s="366">
        <f t="shared" si="47"/>
        <v>2</v>
      </c>
      <c r="B73" s="467" t="s">
        <v>495</v>
      </c>
      <c r="C73" s="365" t="s">
        <v>530</v>
      </c>
      <c r="D73" s="365"/>
      <c r="E73" s="468" t="s">
        <v>437</v>
      </c>
      <c r="F73" s="581">
        <v>72550.388888888891</v>
      </c>
      <c r="G73" s="470">
        <v>208750</v>
      </c>
      <c r="H73" s="494">
        <f t="shared" si="48"/>
        <v>136199.61111111112</v>
      </c>
      <c r="I73" s="471">
        <v>64</v>
      </c>
      <c r="J73" s="424"/>
      <c r="K73" s="495">
        <f t="shared" si="49"/>
        <v>4643224.888888889</v>
      </c>
      <c r="L73" s="495">
        <f t="shared" si="50"/>
        <v>13360000</v>
      </c>
      <c r="M73" s="495">
        <f t="shared" si="51"/>
        <v>8716775.1111111119</v>
      </c>
      <c r="N73" s="496">
        <f t="shared" si="52"/>
        <v>0.34754677312042581</v>
      </c>
      <c r="O73" s="497">
        <f t="shared" si="44"/>
        <v>1.7318868103078377E-2</v>
      </c>
      <c r="P73" s="497">
        <f t="shared" si="44"/>
        <v>1.7088434917417922E-2</v>
      </c>
      <c r="Q73" s="497">
        <f t="shared" si="45"/>
        <v>9.3185789167152012E-3</v>
      </c>
      <c r="R73" s="498">
        <f t="shared" si="46"/>
        <v>3.2454361054766734</v>
      </c>
      <c r="S73" s="545">
        <f t="shared" si="19"/>
        <v>9.5522388059701484</v>
      </c>
      <c r="T73" s="546">
        <f t="shared" si="20"/>
        <v>1994029.8507462684</v>
      </c>
      <c r="U73" s="404"/>
      <c r="V73" s="476" t="str">
        <f t="shared" si="12"/>
        <v>High</v>
      </c>
      <c r="W73" s="476" t="str">
        <f t="shared" si="13"/>
        <v>High</v>
      </c>
      <c r="X73" s="477" t="str">
        <f t="shared" si="14"/>
        <v>Star</v>
      </c>
      <c r="AA73" s="366"/>
      <c r="AB73" s="503"/>
      <c r="AC73" s="366"/>
      <c r="AD73" s="366"/>
      <c r="AE73" s="366"/>
      <c r="AF73" s="366"/>
      <c r="AG73" s="366"/>
      <c r="AH73" s="366"/>
      <c r="AI73" s="366"/>
      <c r="AJ73" s="366"/>
      <c r="AM73" s="76"/>
      <c r="AN73" s="76"/>
    </row>
    <row r="74" spans="1:40" ht="17.25" customHeight="1" x14ac:dyDescent="0.3">
      <c r="A74" s="366">
        <f t="shared" si="47"/>
        <v>3</v>
      </c>
      <c r="B74" s="467" t="s">
        <v>496</v>
      </c>
      <c r="C74" s="365" t="s">
        <v>531</v>
      </c>
      <c r="D74" s="365"/>
      <c r="E74" s="468" t="s">
        <v>437</v>
      </c>
      <c r="F74" s="581">
        <v>60634.057692307695</v>
      </c>
      <c r="G74" s="470">
        <v>188714.28571428571</v>
      </c>
      <c r="H74" s="494">
        <f t="shared" si="48"/>
        <v>128080.22802197802</v>
      </c>
      <c r="I74" s="471">
        <v>70</v>
      </c>
      <c r="J74" s="424"/>
      <c r="K74" s="495">
        <f t="shared" si="49"/>
        <v>4244384.038461539</v>
      </c>
      <c r="L74" s="495">
        <f t="shared" si="50"/>
        <v>13210000</v>
      </c>
      <c r="M74" s="495">
        <f t="shared" si="51"/>
        <v>8965615.9615384601</v>
      </c>
      <c r="N74" s="496">
        <f t="shared" si="52"/>
        <v>0.32130083561404532</v>
      </c>
      <c r="O74" s="497">
        <f t="shared" si="44"/>
        <v>1.7124419733657588E-2</v>
      </c>
      <c r="P74" s="497">
        <f t="shared" si="44"/>
        <v>1.7576264490065992E-2</v>
      </c>
      <c r="Q74" s="497">
        <f t="shared" si="45"/>
        <v>1.019219569015725E-2</v>
      </c>
      <c r="R74" s="498">
        <f t="shared" si="46"/>
        <v>3.5496957403651117</v>
      </c>
      <c r="S74" s="545">
        <f t="shared" si="19"/>
        <v>10.447761194029852</v>
      </c>
      <c r="T74" s="546">
        <f t="shared" si="20"/>
        <v>1971641.7910447763</v>
      </c>
      <c r="U74" s="404"/>
      <c r="V74" s="476" t="str">
        <f t="shared" si="12"/>
        <v>High</v>
      </c>
      <c r="W74" s="476" t="str">
        <f t="shared" si="13"/>
        <v>High</v>
      </c>
      <c r="X74" s="477" t="str">
        <f t="shared" si="14"/>
        <v>Star</v>
      </c>
      <c r="AA74" s="366"/>
      <c r="AB74" s="503"/>
      <c r="AC74" s="366"/>
      <c r="AD74" s="366"/>
      <c r="AE74" s="366"/>
      <c r="AF74" s="366"/>
      <c r="AG74" s="366"/>
      <c r="AH74" s="366"/>
      <c r="AI74" s="366"/>
      <c r="AJ74" s="366"/>
      <c r="AM74" s="76"/>
      <c r="AN74" s="76"/>
    </row>
    <row r="75" spans="1:40" ht="17.25" customHeight="1" x14ac:dyDescent="0.3">
      <c r="A75" s="366">
        <f t="shared" si="47"/>
        <v>4</v>
      </c>
      <c r="B75" s="467" t="s">
        <v>497</v>
      </c>
      <c r="C75" s="365" t="s">
        <v>532</v>
      </c>
      <c r="D75" s="365"/>
      <c r="E75" s="468" t="s">
        <v>437</v>
      </c>
      <c r="F75" s="581">
        <v>54302.477611940296</v>
      </c>
      <c r="G75" s="470">
        <v>166904.76190476189</v>
      </c>
      <c r="H75" s="494">
        <f t="shared" si="48"/>
        <v>112602.2842928216</v>
      </c>
      <c r="I75" s="471">
        <v>63</v>
      </c>
      <c r="J75" s="424"/>
      <c r="K75" s="495">
        <f t="shared" si="49"/>
        <v>3421056.0895522386</v>
      </c>
      <c r="L75" s="495">
        <f t="shared" si="50"/>
        <v>10515000</v>
      </c>
      <c r="M75" s="495">
        <f t="shared" si="51"/>
        <v>7093943.9104477614</v>
      </c>
      <c r="N75" s="496">
        <f t="shared" si="52"/>
        <v>0.32535007984329423</v>
      </c>
      <c r="O75" s="497">
        <f t="shared" si="44"/>
        <v>1.3630830696397389E-2</v>
      </c>
      <c r="P75" s="497">
        <f t="shared" si="44"/>
        <v>1.3907023787613524E-2</v>
      </c>
      <c r="Q75" s="497">
        <f t="shared" si="45"/>
        <v>9.1729761211415267E-3</v>
      </c>
      <c r="R75" s="498">
        <f t="shared" si="46"/>
        <v>3.1947261663286008</v>
      </c>
      <c r="S75" s="545">
        <f t="shared" si="19"/>
        <v>9.4029850746268675</v>
      </c>
      <c r="T75" s="546">
        <f t="shared" si="20"/>
        <v>1569402.985074627</v>
      </c>
      <c r="U75" s="404"/>
      <c r="V75" s="476" t="str">
        <f t="shared" si="12"/>
        <v>High</v>
      </c>
      <c r="W75" s="476" t="str">
        <f t="shared" si="13"/>
        <v>High</v>
      </c>
      <c r="X75" s="477" t="str">
        <f t="shared" si="14"/>
        <v>Star</v>
      </c>
      <c r="AA75" s="366"/>
      <c r="AB75" s="503"/>
      <c r="AC75" s="366"/>
      <c r="AD75" s="366"/>
      <c r="AE75" s="366"/>
      <c r="AF75" s="366"/>
      <c r="AG75" s="366"/>
      <c r="AH75" s="366"/>
      <c r="AI75" s="366"/>
      <c r="AJ75" s="366"/>
      <c r="AM75" s="76"/>
      <c r="AN75" s="76"/>
    </row>
    <row r="76" spans="1:40" ht="17.25" customHeight="1" x14ac:dyDescent="0.3">
      <c r="A76" s="366">
        <f t="shared" si="47"/>
        <v>5</v>
      </c>
      <c r="B76" s="467" t="s">
        <v>498</v>
      </c>
      <c r="C76" s="365" t="s">
        <v>533</v>
      </c>
      <c r="D76" s="365"/>
      <c r="E76" s="468" t="s">
        <v>437</v>
      </c>
      <c r="F76" s="581">
        <v>45898.845070422532</v>
      </c>
      <c r="G76" s="470">
        <v>167168.67469879519</v>
      </c>
      <c r="H76" s="494">
        <f t="shared" si="48"/>
        <v>121269.82962837265</v>
      </c>
      <c r="I76" s="471">
        <v>83</v>
      </c>
      <c r="J76" s="424"/>
      <c r="K76" s="495">
        <f t="shared" si="49"/>
        <v>3809604.1408450701</v>
      </c>
      <c r="L76" s="495">
        <f t="shared" si="50"/>
        <v>13875000</v>
      </c>
      <c r="M76" s="495">
        <f t="shared" si="51"/>
        <v>10065395.85915493</v>
      </c>
      <c r="N76" s="496">
        <f t="shared" si="52"/>
        <v>0.27456606420505009</v>
      </c>
      <c r="O76" s="497">
        <f t="shared" si="44"/>
        <v>1.798647417142309E-2</v>
      </c>
      <c r="P76" s="497">
        <f t="shared" si="44"/>
        <v>1.9732281705646997E-2</v>
      </c>
      <c r="Q76" s="497">
        <f t="shared" si="45"/>
        <v>1.2085032032615026E-2</v>
      </c>
      <c r="R76" s="498">
        <f t="shared" si="46"/>
        <v>4.2089249492900613</v>
      </c>
      <c r="S76" s="545">
        <f t="shared" si="19"/>
        <v>12.388059701492539</v>
      </c>
      <c r="T76" s="546">
        <f t="shared" si="20"/>
        <v>2070895.5223880601</v>
      </c>
      <c r="U76" s="404"/>
      <c r="V76" s="476" t="str">
        <f t="shared" si="12"/>
        <v>High</v>
      </c>
      <c r="W76" s="476" t="str">
        <f t="shared" si="13"/>
        <v>High</v>
      </c>
      <c r="X76" s="477" t="str">
        <f t="shared" si="14"/>
        <v>Star</v>
      </c>
      <c r="AA76" s="366"/>
      <c r="AB76" s="503"/>
      <c r="AC76" s="366"/>
      <c r="AD76" s="366"/>
      <c r="AE76" s="366"/>
      <c r="AF76" s="366"/>
      <c r="AG76" s="366"/>
      <c r="AH76" s="366"/>
      <c r="AI76" s="366"/>
      <c r="AJ76" s="366"/>
      <c r="AM76" s="76"/>
      <c r="AN76" s="76"/>
    </row>
    <row r="77" spans="1:40" ht="17.25" customHeight="1" x14ac:dyDescent="0.3">
      <c r="A77" s="366">
        <f t="shared" si="47"/>
        <v>6</v>
      </c>
      <c r="B77" s="467" t="s">
        <v>738</v>
      </c>
      <c r="C77" s="365" t="s">
        <v>744</v>
      </c>
      <c r="D77" s="365"/>
      <c r="E77" s="468" t="s">
        <v>437</v>
      </c>
      <c r="F77" s="581"/>
      <c r="G77" s="470">
        <v>155000</v>
      </c>
      <c r="H77" s="494">
        <f t="shared" si="48"/>
        <v>155000</v>
      </c>
      <c r="I77" s="471">
        <v>0</v>
      </c>
      <c r="J77" s="424"/>
      <c r="K77" s="495">
        <f t="shared" si="49"/>
        <v>0</v>
      </c>
      <c r="L77" s="495">
        <f t="shared" si="50"/>
        <v>0</v>
      </c>
      <c r="M77" s="495">
        <f t="shared" si="51"/>
        <v>0</v>
      </c>
      <c r="N77" s="496" t="e">
        <f t="shared" si="52"/>
        <v>#DIV/0!</v>
      </c>
      <c r="O77" s="497">
        <f t="shared" si="44"/>
        <v>0</v>
      </c>
      <c r="P77" s="497">
        <f t="shared" si="44"/>
        <v>0</v>
      </c>
      <c r="Q77" s="497">
        <f t="shared" si="45"/>
        <v>0</v>
      </c>
      <c r="R77" s="498">
        <f t="shared" si="46"/>
        <v>0</v>
      </c>
      <c r="S77" s="545">
        <f t="shared" si="19"/>
        <v>0</v>
      </c>
      <c r="T77" s="546">
        <f t="shared" si="20"/>
        <v>0</v>
      </c>
      <c r="U77" s="404"/>
      <c r="V77" s="476" t="str">
        <f t="shared" si="12"/>
        <v>Low</v>
      </c>
      <c r="W77" s="476" t="str">
        <f t="shared" si="13"/>
        <v>Low</v>
      </c>
      <c r="X77" s="477" t="str">
        <f t="shared" si="14"/>
        <v>Dog</v>
      </c>
      <c r="AA77" s="366"/>
      <c r="AB77" s="503"/>
      <c r="AC77" s="366"/>
      <c r="AD77" s="366"/>
      <c r="AE77" s="366"/>
      <c r="AF77" s="366"/>
      <c r="AG77" s="366"/>
      <c r="AH77" s="366"/>
      <c r="AI77" s="366"/>
      <c r="AJ77" s="366"/>
      <c r="AM77" s="76"/>
      <c r="AN77" s="76"/>
    </row>
    <row r="78" spans="1:40" ht="17.25" customHeight="1" x14ac:dyDescent="0.3">
      <c r="A78" s="366">
        <f t="shared" si="47"/>
        <v>7</v>
      </c>
      <c r="B78" s="467" t="s">
        <v>499</v>
      </c>
      <c r="C78" s="365" t="s">
        <v>534</v>
      </c>
      <c r="D78" s="365"/>
      <c r="E78" s="468" t="s">
        <v>437</v>
      </c>
      <c r="F78" s="581">
        <v>51927.372881355936</v>
      </c>
      <c r="G78" s="470">
        <v>146428.57142857142</v>
      </c>
      <c r="H78" s="494">
        <f t="shared" si="48"/>
        <v>94501.198547215492</v>
      </c>
      <c r="I78" s="471">
        <v>63</v>
      </c>
      <c r="J78" s="424"/>
      <c r="K78" s="495">
        <f t="shared" si="49"/>
        <v>3271424.4915254237</v>
      </c>
      <c r="L78" s="495">
        <f t="shared" si="50"/>
        <v>9225000</v>
      </c>
      <c r="M78" s="495">
        <f t="shared" si="51"/>
        <v>5953575.5084745763</v>
      </c>
      <c r="N78" s="496">
        <f t="shared" si="52"/>
        <v>0.35462596114096734</v>
      </c>
      <c r="O78" s="497">
        <f t="shared" si="44"/>
        <v>1.1958574719378594E-2</v>
      </c>
      <c r="P78" s="497">
        <f t="shared" si="44"/>
        <v>1.1671436546850735E-2</v>
      </c>
      <c r="Q78" s="497">
        <f t="shared" si="45"/>
        <v>9.1729761211415267E-3</v>
      </c>
      <c r="R78" s="498">
        <f t="shared" si="46"/>
        <v>3.1947261663286008</v>
      </c>
      <c r="S78" s="545">
        <f t="shared" si="19"/>
        <v>9.4029850746268675</v>
      </c>
      <c r="T78" s="546">
        <f t="shared" si="20"/>
        <v>1376865.6716417912</v>
      </c>
      <c r="U78" s="404"/>
      <c r="V78" s="476" t="str">
        <f t="shared" si="12"/>
        <v>High</v>
      </c>
      <c r="W78" s="476" t="str">
        <f t="shared" si="13"/>
        <v>Low</v>
      </c>
      <c r="X78" s="477" t="str">
        <f t="shared" si="14"/>
        <v>Horse</v>
      </c>
      <c r="AA78" s="366"/>
      <c r="AB78" s="503"/>
      <c r="AC78" s="366"/>
      <c r="AD78" s="366"/>
      <c r="AE78" s="366"/>
      <c r="AF78" s="366"/>
      <c r="AG78" s="366"/>
      <c r="AH78" s="366"/>
      <c r="AI78" s="366"/>
      <c r="AJ78" s="366"/>
      <c r="AM78" s="76"/>
      <c r="AN78" s="76"/>
    </row>
    <row r="79" spans="1:40" ht="17.25" customHeight="1" x14ac:dyDescent="0.3">
      <c r="A79" s="366">
        <f t="shared" si="47"/>
        <v>8</v>
      </c>
      <c r="B79" s="467" t="s">
        <v>500</v>
      </c>
      <c r="C79" s="365" t="s">
        <v>535</v>
      </c>
      <c r="D79" s="365"/>
      <c r="E79" s="468" t="s">
        <v>437</v>
      </c>
      <c r="F79" s="581">
        <v>52424.245901639348</v>
      </c>
      <c r="G79" s="470">
        <v>147671.23287671234</v>
      </c>
      <c r="H79" s="494">
        <f t="shared" si="48"/>
        <v>95246.986975072999</v>
      </c>
      <c r="I79" s="471">
        <v>73</v>
      </c>
      <c r="J79" s="424"/>
      <c r="K79" s="495">
        <f t="shared" si="49"/>
        <v>3826969.9508196726</v>
      </c>
      <c r="L79" s="495">
        <f t="shared" si="50"/>
        <v>10780000</v>
      </c>
      <c r="M79" s="495">
        <f t="shared" si="51"/>
        <v>6953030.049180327</v>
      </c>
      <c r="N79" s="496">
        <f t="shared" si="52"/>
        <v>0.35500648894431097</v>
      </c>
      <c r="O79" s="497">
        <f t="shared" si="44"/>
        <v>1.3974356149040787E-2</v>
      </c>
      <c r="P79" s="497">
        <f t="shared" si="44"/>
        <v>1.3630775138711113E-2</v>
      </c>
      <c r="Q79" s="497">
        <f t="shared" si="45"/>
        <v>1.0629004076878276E-2</v>
      </c>
      <c r="R79" s="498">
        <f t="shared" si="46"/>
        <v>3.7018255578093311</v>
      </c>
      <c r="S79" s="545">
        <f t="shared" si="19"/>
        <v>10.895522388059703</v>
      </c>
      <c r="T79" s="546">
        <f t="shared" si="20"/>
        <v>1608955.2238805974</v>
      </c>
      <c r="U79" s="404"/>
      <c r="V79" s="476" t="str">
        <f t="shared" si="12"/>
        <v>High</v>
      </c>
      <c r="W79" s="476" t="str">
        <f t="shared" si="13"/>
        <v>High</v>
      </c>
      <c r="X79" s="477" t="str">
        <f t="shared" si="14"/>
        <v>Star</v>
      </c>
      <c r="AA79" s="366"/>
      <c r="AB79" s="503"/>
      <c r="AC79" s="366"/>
      <c r="AD79" s="366"/>
      <c r="AE79" s="366"/>
      <c r="AF79" s="366"/>
      <c r="AG79" s="366"/>
      <c r="AH79" s="366"/>
      <c r="AI79" s="366"/>
      <c r="AJ79" s="366"/>
      <c r="AM79" s="76"/>
      <c r="AN79" s="76"/>
    </row>
    <row r="80" spans="1:40" ht="17.25" customHeight="1" x14ac:dyDescent="0.3">
      <c r="A80" s="366">
        <f t="shared" si="47"/>
        <v>9</v>
      </c>
      <c r="B80" s="467" t="s">
        <v>501</v>
      </c>
      <c r="C80" s="365" t="s">
        <v>536</v>
      </c>
      <c r="D80" s="365"/>
      <c r="E80" s="468" t="s">
        <v>437</v>
      </c>
      <c r="F80" s="581">
        <v>37663.677419354841</v>
      </c>
      <c r="G80" s="470">
        <v>111290.32258064517</v>
      </c>
      <c r="H80" s="494">
        <f t="shared" si="48"/>
        <v>73626.645161290333</v>
      </c>
      <c r="I80" s="471">
        <v>31</v>
      </c>
      <c r="J80" s="424"/>
      <c r="K80" s="495">
        <f t="shared" si="49"/>
        <v>1167574</v>
      </c>
      <c r="L80" s="495">
        <f t="shared" si="50"/>
        <v>3450000</v>
      </c>
      <c r="M80" s="495">
        <f t="shared" si="51"/>
        <v>2282426</v>
      </c>
      <c r="N80" s="496">
        <f t="shared" si="52"/>
        <v>0.3384272463768116</v>
      </c>
      <c r="O80" s="497">
        <f t="shared" si="44"/>
        <v>4.4723124966781734E-3</v>
      </c>
      <c r="P80" s="497">
        <f t="shared" si="44"/>
        <v>4.474485994838389E-3</v>
      </c>
      <c r="Q80" s="497">
        <f t="shared" si="45"/>
        <v>4.5136866627839252E-3</v>
      </c>
      <c r="R80" s="498">
        <f t="shared" si="46"/>
        <v>1.5720081135902637</v>
      </c>
      <c r="S80" s="545">
        <f t="shared" si="19"/>
        <v>4.6268656716417906</v>
      </c>
      <c r="T80" s="546">
        <f t="shared" si="20"/>
        <v>514925.37313432834</v>
      </c>
      <c r="U80" s="404"/>
      <c r="V80" s="476" t="str">
        <f t="shared" si="12"/>
        <v>High</v>
      </c>
      <c r="W80" s="476" t="str">
        <f t="shared" si="13"/>
        <v>Low</v>
      </c>
      <c r="X80" s="477" t="str">
        <f t="shared" si="14"/>
        <v>Horse</v>
      </c>
      <c r="AA80" s="366"/>
      <c r="AB80" s="503"/>
      <c r="AC80" s="366"/>
      <c r="AD80" s="366"/>
      <c r="AE80" s="366"/>
      <c r="AF80" s="366"/>
      <c r="AG80" s="366"/>
      <c r="AH80" s="366"/>
      <c r="AI80" s="366"/>
      <c r="AJ80" s="366"/>
      <c r="AM80" s="76"/>
      <c r="AN80" s="76"/>
    </row>
    <row r="81" spans="1:40" ht="17.25" customHeight="1" x14ac:dyDescent="0.3">
      <c r="A81" s="366">
        <f t="shared" si="47"/>
        <v>10</v>
      </c>
      <c r="B81" s="467" t="s">
        <v>503</v>
      </c>
      <c r="C81" s="365" t="s">
        <v>538</v>
      </c>
      <c r="D81" s="365"/>
      <c r="E81" s="468" t="s">
        <v>437</v>
      </c>
      <c r="F81" s="581"/>
      <c r="G81" s="470">
        <v>185000</v>
      </c>
      <c r="H81" s="494">
        <f t="shared" si="48"/>
        <v>185000</v>
      </c>
      <c r="I81" s="471">
        <v>0</v>
      </c>
      <c r="J81" s="424"/>
      <c r="K81" s="495">
        <f t="shared" si="49"/>
        <v>0</v>
      </c>
      <c r="L81" s="495">
        <f t="shared" si="50"/>
        <v>0</v>
      </c>
      <c r="M81" s="495">
        <f t="shared" si="51"/>
        <v>0</v>
      </c>
      <c r="N81" s="496" t="e">
        <f t="shared" si="52"/>
        <v>#DIV/0!</v>
      </c>
      <c r="O81" s="497">
        <f t="shared" si="44"/>
        <v>0</v>
      </c>
      <c r="P81" s="497">
        <f t="shared" si="44"/>
        <v>0</v>
      </c>
      <c r="Q81" s="497">
        <f t="shared" si="45"/>
        <v>0</v>
      </c>
      <c r="R81" s="498">
        <f t="shared" si="46"/>
        <v>0</v>
      </c>
      <c r="S81" s="545">
        <f t="shared" si="19"/>
        <v>0</v>
      </c>
      <c r="T81" s="546">
        <f t="shared" si="20"/>
        <v>0</v>
      </c>
      <c r="U81" s="404"/>
      <c r="V81" s="476" t="str">
        <f t="shared" si="12"/>
        <v>Low</v>
      </c>
      <c r="W81" s="476" t="str">
        <f t="shared" si="13"/>
        <v>Low</v>
      </c>
      <c r="X81" s="477" t="str">
        <f t="shared" si="14"/>
        <v>Dog</v>
      </c>
      <c r="AA81" s="366"/>
      <c r="AB81" s="503"/>
      <c r="AC81" s="366"/>
      <c r="AD81" s="366"/>
      <c r="AE81" s="366"/>
      <c r="AF81" s="366"/>
      <c r="AG81" s="366"/>
      <c r="AH81" s="366"/>
      <c r="AI81" s="366"/>
      <c r="AJ81" s="366"/>
      <c r="AM81" s="76"/>
      <c r="AN81" s="76"/>
    </row>
    <row r="82" spans="1:40" ht="17.25" customHeight="1" x14ac:dyDescent="0.3">
      <c r="A82" s="366">
        <f t="shared" si="47"/>
        <v>11</v>
      </c>
      <c r="B82" s="467" t="s">
        <v>555</v>
      </c>
      <c r="C82" s="365" t="s">
        <v>557</v>
      </c>
      <c r="D82" s="365"/>
      <c r="E82" s="468" t="s">
        <v>437</v>
      </c>
      <c r="F82" s="581">
        <v>172125.81818181818</v>
      </c>
      <c r="G82" s="470">
        <v>612812.5</v>
      </c>
      <c r="H82" s="494">
        <f t="shared" si="48"/>
        <v>440686.68181818182</v>
      </c>
      <c r="I82" s="471">
        <v>16</v>
      </c>
      <c r="J82" s="424"/>
      <c r="K82" s="495">
        <f t="shared" si="49"/>
        <v>2754013.0909090908</v>
      </c>
      <c r="L82" s="495">
        <f t="shared" si="50"/>
        <v>9805000</v>
      </c>
      <c r="M82" s="495">
        <f t="shared" si="51"/>
        <v>7050986.9090909092</v>
      </c>
      <c r="N82" s="496">
        <f t="shared" si="52"/>
        <v>0.28087843864447637</v>
      </c>
      <c r="O82" s="497">
        <f t="shared" si="44"/>
        <v>1.271044174780565E-2</v>
      </c>
      <c r="P82" s="497">
        <f t="shared" si="44"/>
        <v>1.3822810542167017E-2</v>
      </c>
      <c r="Q82" s="497">
        <f t="shared" si="45"/>
        <v>2.3296447291788003E-3</v>
      </c>
      <c r="R82" s="498">
        <f t="shared" si="46"/>
        <v>0.81135902636916835</v>
      </c>
      <c r="S82" s="545">
        <f t="shared" si="19"/>
        <v>2.3880597014925371</v>
      </c>
      <c r="T82" s="546">
        <f t="shared" si="20"/>
        <v>1463432.8358208954</v>
      </c>
      <c r="U82" s="404"/>
      <c r="V82" s="476" t="str">
        <f t="shared" si="12"/>
        <v>High</v>
      </c>
      <c r="W82" s="476" t="str">
        <f t="shared" si="13"/>
        <v>Low</v>
      </c>
      <c r="X82" s="477" t="str">
        <f t="shared" si="14"/>
        <v>Horse</v>
      </c>
      <c r="AA82" s="366"/>
      <c r="AB82" s="503"/>
      <c r="AC82" s="366"/>
      <c r="AD82" s="366"/>
      <c r="AE82" s="366"/>
      <c r="AF82" s="366"/>
      <c r="AG82" s="366"/>
      <c r="AH82" s="366"/>
      <c r="AI82" s="366"/>
      <c r="AJ82" s="366"/>
      <c r="AM82" s="76"/>
      <c r="AN82" s="76"/>
    </row>
    <row r="83" spans="1:40" ht="17.25" customHeight="1" x14ac:dyDescent="0.3">
      <c r="A83" s="366">
        <f t="shared" si="47"/>
        <v>12</v>
      </c>
      <c r="B83" s="467" t="s">
        <v>570</v>
      </c>
      <c r="C83" s="365" t="s">
        <v>577</v>
      </c>
      <c r="D83" s="365"/>
      <c r="E83" s="468" t="s">
        <v>437</v>
      </c>
      <c r="F83" s="581"/>
      <c r="G83" s="470">
        <v>295000</v>
      </c>
      <c r="H83" s="494">
        <f t="shared" si="48"/>
        <v>295000</v>
      </c>
      <c r="I83" s="471">
        <v>0</v>
      </c>
      <c r="J83" s="424"/>
      <c r="K83" s="495">
        <f t="shared" si="49"/>
        <v>0</v>
      </c>
      <c r="L83" s="495">
        <f t="shared" si="50"/>
        <v>0</v>
      </c>
      <c r="M83" s="495">
        <f t="shared" si="51"/>
        <v>0</v>
      </c>
      <c r="N83" s="496" t="e">
        <f t="shared" si="52"/>
        <v>#DIV/0!</v>
      </c>
      <c r="O83" s="497">
        <f t="shared" si="44"/>
        <v>0</v>
      </c>
      <c r="P83" s="497">
        <f t="shared" si="44"/>
        <v>0</v>
      </c>
      <c r="Q83" s="497">
        <f t="shared" si="45"/>
        <v>0</v>
      </c>
      <c r="R83" s="498">
        <f t="shared" si="46"/>
        <v>0</v>
      </c>
      <c r="S83" s="545">
        <f t="shared" si="19"/>
        <v>0</v>
      </c>
      <c r="T83" s="546">
        <f t="shared" si="20"/>
        <v>0</v>
      </c>
      <c r="U83" s="404"/>
      <c r="V83" s="476" t="str">
        <f t="shared" si="12"/>
        <v>Low</v>
      </c>
      <c r="W83" s="476" t="str">
        <f t="shared" si="13"/>
        <v>Low</v>
      </c>
      <c r="X83" s="477" t="str">
        <f t="shared" si="14"/>
        <v>Dog</v>
      </c>
      <c r="AA83" s="366"/>
      <c r="AB83" s="503"/>
      <c r="AC83" s="366"/>
      <c r="AD83" s="366"/>
      <c r="AE83" s="366"/>
      <c r="AF83" s="366"/>
      <c r="AG83" s="366"/>
      <c r="AH83" s="366"/>
      <c r="AI83" s="366"/>
      <c r="AJ83" s="366"/>
      <c r="AM83" s="76"/>
      <c r="AN83" s="76"/>
    </row>
    <row r="84" spans="1:40" ht="17.25" customHeight="1" x14ac:dyDescent="0.3">
      <c r="A84" s="366">
        <f t="shared" si="47"/>
        <v>13</v>
      </c>
      <c r="B84" s="467" t="s">
        <v>502</v>
      </c>
      <c r="C84" s="365" t="s">
        <v>537</v>
      </c>
      <c r="D84" s="365"/>
      <c r="E84" s="468" t="s">
        <v>437</v>
      </c>
      <c r="F84" s="581">
        <v>42276.481481481482</v>
      </c>
      <c r="G84" s="470">
        <v>122285.71428571429</v>
      </c>
      <c r="H84" s="494">
        <f t="shared" si="48"/>
        <v>80009.232804232801</v>
      </c>
      <c r="I84" s="471">
        <v>35</v>
      </c>
      <c r="J84" s="424"/>
      <c r="K84" s="495">
        <f t="shared" si="49"/>
        <v>1479676.8518518519</v>
      </c>
      <c r="L84" s="495">
        <f t="shared" si="50"/>
        <v>4280000</v>
      </c>
      <c r="M84" s="495">
        <f t="shared" si="51"/>
        <v>2800323.1481481483</v>
      </c>
      <c r="N84" s="496">
        <f t="shared" si="52"/>
        <v>0.34571889061959155</v>
      </c>
      <c r="O84" s="497">
        <f t="shared" si="44"/>
        <v>5.5482601408065463E-3</v>
      </c>
      <c r="P84" s="497">
        <f t="shared" si="44"/>
        <v>5.4897756630053448E-3</v>
      </c>
      <c r="Q84" s="497">
        <f t="shared" si="45"/>
        <v>5.0960978450786251E-3</v>
      </c>
      <c r="R84" s="498">
        <f t="shared" si="46"/>
        <v>1.7748478701825559</v>
      </c>
      <c r="S84" s="545">
        <f t="shared" si="19"/>
        <v>5.2238805970149258</v>
      </c>
      <c r="T84" s="546">
        <f t="shared" si="20"/>
        <v>638805.97014925384</v>
      </c>
      <c r="U84" s="404"/>
      <c r="V84" s="476" t="str">
        <f t="shared" si="12"/>
        <v>High</v>
      </c>
      <c r="W84" s="476" t="str">
        <f t="shared" si="13"/>
        <v>Low</v>
      </c>
      <c r="X84" s="477" t="str">
        <f t="shared" si="14"/>
        <v>Horse</v>
      </c>
      <c r="AA84" s="366"/>
      <c r="AB84" s="503"/>
      <c r="AC84" s="366"/>
      <c r="AD84" s="366"/>
      <c r="AE84" s="366"/>
      <c r="AF84" s="366"/>
      <c r="AG84" s="366"/>
      <c r="AH84" s="366"/>
      <c r="AI84" s="366"/>
      <c r="AJ84" s="366"/>
      <c r="AM84" s="76"/>
      <c r="AN84" s="76"/>
    </row>
    <row r="85" spans="1:40" ht="17.25" customHeight="1" x14ac:dyDescent="0.3">
      <c r="A85" s="366">
        <f t="shared" si="47"/>
        <v>14</v>
      </c>
      <c r="B85" s="467" t="s">
        <v>571</v>
      </c>
      <c r="C85" s="365" t="s">
        <v>578</v>
      </c>
      <c r="D85" s="365"/>
      <c r="E85" s="468" t="s">
        <v>437</v>
      </c>
      <c r="F85" s="581">
        <v>63664.57894736842</v>
      </c>
      <c r="G85" s="470">
        <v>167700</v>
      </c>
      <c r="H85" s="494">
        <f t="shared" si="48"/>
        <v>104035.42105263157</v>
      </c>
      <c r="I85" s="471">
        <v>50</v>
      </c>
      <c r="J85" s="424"/>
      <c r="K85" s="495">
        <f t="shared" si="49"/>
        <v>3183228.9473684211</v>
      </c>
      <c r="L85" s="495">
        <f t="shared" si="50"/>
        <v>8385000</v>
      </c>
      <c r="M85" s="495">
        <f t="shared" si="51"/>
        <v>5201771.0526315793</v>
      </c>
      <c r="N85" s="496">
        <f t="shared" si="52"/>
        <v>0.37963374446850578</v>
      </c>
      <c r="O85" s="497">
        <f t="shared" si="44"/>
        <v>1.086966385062217E-2</v>
      </c>
      <c r="P85" s="497">
        <f t="shared" si="44"/>
        <v>1.0197593141401187E-2</v>
      </c>
      <c r="Q85" s="497">
        <f t="shared" si="45"/>
        <v>7.2801397786837509E-3</v>
      </c>
      <c r="R85" s="498">
        <f t="shared" si="46"/>
        <v>2.5354969574036512</v>
      </c>
      <c r="S85" s="545">
        <f t="shared" si="19"/>
        <v>7.4626865671641793</v>
      </c>
      <c r="T85" s="546">
        <f t="shared" si="20"/>
        <v>1251492.5373134329</v>
      </c>
      <c r="U85" s="404"/>
      <c r="V85" s="476" t="str">
        <f t="shared" si="12"/>
        <v>High</v>
      </c>
      <c r="W85" s="476" t="str">
        <f t="shared" si="13"/>
        <v>Low</v>
      </c>
      <c r="X85" s="477" t="str">
        <f t="shared" si="14"/>
        <v>Horse</v>
      </c>
      <c r="AA85" s="366"/>
      <c r="AB85" s="503"/>
      <c r="AC85" s="366"/>
      <c r="AD85" s="366"/>
      <c r="AE85" s="366"/>
      <c r="AF85" s="366"/>
      <c r="AG85" s="366"/>
      <c r="AH85" s="366"/>
      <c r="AI85" s="366"/>
      <c r="AJ85" s="366"/>
      <c r="AM85" s="76"/>
      <c r="AN85" s="76"/>
    </row>
    <row r="86" spans="1:40" s="148" customFormat="1" ht="17.25" customHeight="1" x14ac:dyDescent="0.3">
      <c r="A86" s="366">
        <f t="shared" si="47"/>
        <v>15</v>
      </c>
      <c r="B86" s="467" t="s">
        <v>572</v>
      </c>
      <c r="C86" s="365" t="s">
        <v>579</v>
      </c>
      <c r="D86" s="365"/>
      <c r="E86" s="468" t="s">
        <v>437</v>
      </c>
      <c r="F86" s="581">
        <v>63941.72</v>
      </c>
      <c r="G86" s="470">
        <v>177500</v>
      </c>
      <c r="H86" s="494">
        <f t="shared" si="48"/>
        <v>113558.28</v>
      </c>
      <c r="I86" s="471">
        <v>24</v>
      </c>
      <c r="J86" s="424"/>
      <c r="K86" s="495">
        <f t="shared" si="49"/>
        <v>1534601.28</v>
      </c>
      <c r="L86" s="495">
        <f t="shared" si="50"/>
        <v>4260000</v>
      </c>
      <c r="M86" s="495">
        <f t="shared" si="51"/>
        <v>2725398.7199999997</v>
      </c>
      <c r="N86" s="496">
        <f t="shared" si="52"/>
        <v>0.36023504225352115</v>
      </c>
      <c r="O86" s="497">
        <f t="shared" si="44"/>
        <v>5.522333691550441E-3</v>
      </c>
      <c r="P86" s="497">
        <f t="shared" si="44"/>
        <v>5.3428932210684912E-3</v>
      </c>
      <c r="Q86" s="497">
        <f t="shared" si="45"/>
        <v>3.4944670937682005E-3</v>
      </c>
      <c r="R86" s="498">
        <f t="shared" si="46"/>
        <v>1.2170385395537524</v>
      </c>
      <c r="S86" s="545">
        <f t="shared" si="19"/>
        <v>3.5820895522388057</v>
      </c>
      <c r="T86" s="546">
        <f t="shared" si="20"/>
        <v>635820.89552238805</v>
      </c>
      <c r="U86" s="404"/>
      <c r="V86" s="476" t="str">
        <f t="shared" si="12"/>
        <v>High</v>
      </c>
      <c r="W86" s="476" t="str">
        <f t="shared" si="13"/>
        <v>Low</v>
      </c>
      <c r="X86" s="477" t="str">
        <f t="shared" si="14"/>
        <v>Horse</v>
      </c>
      <c r="Y86" s="374"/>
      <c r="Z86" s="571"/>
      <c r="AA86" s="366"/>
      <c r="AB86" s="503"/>
      <c r="AC86" s="366"/>
      <c r="AD86" s="366"/>
      <c r="AE86" s="366"/>
      <c r="AF86" s="366"/>
      <c r="AG86" s="366"/>
      <c r="AH86" s="366"/>
      <c r="AI86" s="366"/>
      <c r="AJ86" s="366"/>
      <c r="AK86" s="375"/>
      <c r="AL86" s="376"/>
      <c r="AM86" s="138"/>
      <c r="AN86" s="138"/>
    </row>
    <row r="87" spans="1:40" ht="14.25" customHeight="1" x14ac:dyDescent="0.3">
      <c r="A87" s="366"/>
      <c r="B87" s="495"/>
      <c r="C87" s="495"/>
      <c r="D87" s="495"/>
      <c r="E87" s="468"/>
      <c r="F87" s="507"/>
      <c r="G87" s="494"/>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76"/>
      <c r="AN87" s="76"/>
    </row>
    <row r="88" spans="1:40" ht="17.25" customHeight="1" x14ac:dyDescent="0.3">
      <c r="A88" s="453"/>
      <c r="B88" s="479" t="s">
        <v>481</v>
      </c>
      <c r="C88" s="484" t="s">
        <v>482</v>
      </c>
      <c r="D88" s="484"/>
      <c r="E88" s="484"/>
      <c r="F88" s="484"/>
      <c r="G88" s="489"/>
      <c r="H88" s="489"/>
      <c r="I88" s="490">
        <f>SUBTOTAL(9,I89:I93)</f>
        <v>358</v>
      </c>
      <c r="J88" s="484"/>
      <c r="K88" s="480">
        <f>SUBTOTAL(9,K89:K93)</f>
        <v>11334802.787607849</v>
      </c>
      <c r="L88" s="480">
        <f>SUBTOTAL(9,L89:L93)</f>
        <v>35892000</v>
      </c>
      <c r="M88" s="480">
        <f>SUBTOTAL(9,M89:M93)</f>
        <v>24557197.212392155</v>
      </c>
      <c r="N88" s="491">
        <f t="shared" ref="N88:N93" si="53">K88/L88</f>
        <v>0.31580304211545329</v>
      </c>
      <c r="O88" s="486">
        <f t="shared" ref="O88:P93" si="54">L88/L$10</f>
        <v>4.6527605835006668E-2</v>
      </c>
      <c r="P88" s="486">
        <f t="shared" si="54"/>
        <v>4.8142123775024047E-2</v>
      </c>
      <c r="Q88" s="486">
        <f t="shared" ref="Q88:Q93" si="55">I88/I$10</f>
        <v>5.2125800815375656E-2</v>
      </c>
      <c r="R88" s="487">
        <f t="shared" ref="R88:R93" si="56">I88/$K$5*100</f>
        <v>18.154158215010142</v>
      </c>
      <c r="S88" s="487">
        <f t="shared" si="19"/>
        <v>53.432835820895519</v>
      </c>
      <c r="T88" s="487">
        <f t="shared" si="20"/>
        <v>0</v>
      </c>
      <c r="U88" s="404"/>
      <c r="V88" s="476" t="str">
        <f t="shared" si="12"/>
        <v>High</v>
      </c>
      <c r="W88" s="476" t="str">
        <f t="shared" si="13"/>
        <v>High</v>
      </c>
      <c r="X88" s="477" t="str">
        <f t="shared" si="14"/>
        <v>Star</v>
      </c>
      <c r="AA88" s="366"/>
      <c r="AB88" s="503"/>
      <c r="AC88" s="366"/>
      <c r="AD88" s="366"/>
      <c r="AE88" s="366"/>
      <c r="AF88" s="366"/>
      <c r="AG88" s="366"/>
      <c r="AH88" s="366"/>
      <c r="AI88" s="366"/>
      <c r="AJ88" s="366"/>
      <c r="AM88" s="76"/>
      <c r="AN88" s="76"/>
    </row>
    <row r="89" spans="1:40" ht="17.25" customHeight="1" x14ac:dyDescent="0.3">
      <c r="A89" s="366">
        <f t="shared" si="47"/>
        <v>1</v>
      </c>
      <c r="B89" s="508" t="s">
        <v>633</v>
      </c>
      <c r="C89" s="365" t="s">
        <v>681</v>
      </c>
      <c r="D89" s="365"/>
      <c r="E89" s="468" t="s">
        <v>437</v>
      </c>
      <c r="F89" s="581">
        <v>31333.961538461539</v>
      </c>
      <c r="G89" s="470">
        <v>100688.31168831169</v>
      </c>
      <c r="H89" s="494">
        <f t="shared" ref="H89:H93" si="57">G89-F89</f>
        <v>69354.350149850157</v>
      </c>
      <c r="I89" s="471">
        <v>77</v>
      </c>
      <c r="J89" s="424"/>
      <c r="K89" s="495">
        <f t="shared" ref="K89:K93" si="58">I89*F89</f>
        <v>2412715.0384615385</v>
      </c>
      <c r="L89" s="495">
        <f t="shared" ref="L89:L93" si="59">I89*G89</f>
        <v>7753000</v>
      </c>
      <c r="M89" s="495">
        <f t="shared" ref="M89:M93" si="60">L89-K89</f>
        <v>5340284.961538462</v>
      </c>
      <c r="N89" s="496">
        <f t="shared" si="53"/>
        <v>0.3111976058895316</v>
      </c>
      <c r="O89" s="497">
        <f t="shared" si="54"/>
        <v>1.0050388054129241E-2</v>
      </c>
      <c r="P89" s="497">
        <f t="shared" si="54"/>
        <v>1.0469136904701363E-2</v>
      </c>
      <c r="Q89" s="497">
        <f t="shared" si="55"/>
        <v>1.1211415259172975E-2</v>
      </c>
      <c r="R89" s="498">
        <f t="shared" si="56"/>
        <v>3.904665314401623</v>
      </c>
      <c r="S89" s="545">
        <f t="shared" si="19"/>
        <v>11.492537313432836</v>
      </c>
      <c r="T89" s="546">
        <f t="shared" si="20"/>
        <v>1157164.1791044776</v>
      </c>
      <c r="U89" s="404"/>
      <c r="V89" s="476" t="str">
        <f t="shared" si="12"/>
        <v>High</v>
      </c>
      <c r="W89" s="476" t="str">
        <f t="shared" si="13"/>
        <v>Low</v>
      </c>
      <c r="X89" s="477" t="str">
        <f t="shared" si="14"/>
        <v>Horse</v>
      </c>
      <c r="AA89" s="366"/>
      <c r="AB89" s="503"/>
      <c r="AC89" s="366"/>
      <c r="AD89" s="366"/>
      <c r="AE89" s="366"/>
      <c r="AF89" s="366"/>
      <c r="AG89" s="366"/>
      <c r="AH89" s="366"/>
      <c r="AI89" s="366"/>
      <c r="AJ89" s="366"/>
      <c r="AM89" s="76"/>
      <c r="AN89" s="76"/>
    </row>
    <row r="90" spans="1:40" ht="17.25" customHeight="1" x14ac:dyDescent="0.3">
      <c r="A90" s="366">
        <f t="shared" si="47"/>
        <v>2</v>
      </c>
      <c r="B90" s="508" t="s">
        <v>634</v>
      </c>
      <c r="C90" s="365" t="s">
        <v>682</v>
      </c>
      <c r="D90" s="365"/>
      <c r="E90" s="468" t="s">
        <v>437</v>
      </c>
      <c r="F90" s="581">
        <v>25569.127659574468</v>
      </c>
      <c r="G90" s="470">
        <v>99989.010989010989</v>
      </c>
      <c r="H90" s="494">
        <f t="shared" si="57"/>
        <v>74419.883329436518</v>
      </c>
      <c r="I90" s="471">
        <v>91</v>
      </c>
      <c r="J90" s="424"/>
      <c r="K90" s="495">
        <f t="shared" si="58"/>
        <v>2326790.6170212766</v>
      </c>
      <c r="L90" s="495">
        <f t="shared" si="59"/>
        <v>9099000</v>
      </c>
      <c r="M90" s="495">
        <f t="shared" si="60"/>
        <v>6772209.3829787234</v>
      </c>
      <c r="N90" s="496">
        <f t="shared" si="53"/>
        <v>0.25571937762625307</v>
      </c>
      <c r="O90" s="497">
        <f t="shared" si="54"/>
        <v>1.1795238089065132E-2</v>
      </c>
      <c r="P90" s="497">
        <f t="shared" si="54"/>
        <v>1.3276292873570239E-2</v>
      </c>
      <c r="Q90" s="497">
        <f t="shared" si="55"/>
        <v>1.3249854397204426E-2</v>
      </c>
      <c r="R90" s="498">
        <f t="shared" si="56"/>
        <v>4.6146044624746452</v>
      </c>
      <c r="S90" s="545">
        <f t="shared" si="19"/>
        <v>13.582089552238806</v>
      </c>
      <c r="T90" s="546">
        <f t="shared" si="20"/>
        <v>1358059.7014925373</v>
      </c>
      <c r="U90" s="404"/>
      <c r="V90" s="476" t="str">
        <f t="shared" si="12"/>
        <v>High</v>
      </c>
      <c r="W90" s="476" t="str">
        <f t="shared" si="13"/>
        <v>Low</v>
      </c>
      <c r="X90" s="477" t="str">
        <f t="shared" si="14"/>
        <v>Horse</v>
      </c>
      <c r="AA90" s="366"/>
      <c r="AB90" s="503"/>
      <c r="AC90" s="366"/>
      <c r="AD90" s="366"/>
      <c r="AE90" s="366"/>
      <c r="AF90" s="366"/>
      <c r="AG90" s="366"/>
      <c r="AH90" s="366"/>
      <c r="AI90" s="366"/>
      <c r="AJ90" s="366"/>
      <c r="AM90" s="76"/>
      <c r="AN90" s="76"/>
    </row>
    <row r="91" spans="1:40" ht="17.25" customHeight="1" x14ac:dyDescent="0.3">
      <c r="A91" s="366">
        <f t="shared" si="47"/>
        <v>3</v>
      </c>
      <c r="B91" s="508" t="s">
        <v>635</v>
      </c>
      <c r="C91" s="365" t="s">
        <v>683</v>
      </c>
      <c r="D91" s="365"/>
      <c r="E91" s="468" t="s">
        <v>437</v>
      </c>
      <c r="F91" s="581">
        <v>26852.628571428573</v>
      </c>
      <c r="G91" s="470">
        <v>99857.142857142855</v>
      </c>
      <c r="H91" s="494">
        <f t="shared" si="57"/>
        <v>73004.514285714278</v>
      </c>
      <c r="I91" s="471">
        <v>35</v>
      </c>
      <c r="J91" s="424"/>
      <c r="K91" s="495">
        <f t="shared" si="58"/>
        <v>939842.00000000012</v>
      </c>
      <c r="L91" s="495">
        <f t="shared" si="59"/>
        <v>3495000</v>
      </c>
      <c r="M91" s="495">
        <f t="shared" si="60"/>
        <v>2555158</v>
      </c>
      <c r="N91" s="496">
        <f t="shared" si="53"/>
        <v>0.26891044349070103</v>
      </c>
      <c r="O91" s="497">
        <f t="shared" si="54"/>
        <v>4.5306470075044108E-3</v>
      </c>
      <c r="P91" s="497">
        <f t="shared" si="54"/>
        <v>5.0091519661970502E-3</v>
      </c>
      <c r="Q91" s="497">
        <f t="shared" si="55"/>
        <v>5.0960978450786251E-3</v>
      </c>
      <c r="R91" s="498">
        <f t="shared" si="56"/>
        <v>1.7748478701825559</v>
      </c>
      <c r="S91" s="545">
        <f t="shared" si="19"/>
        <v>5.2238805970149258</v>
      </c>
      <c r="T91" s="546">
        <f t="shared" si="20"/>
        <v>521641.79104477615</v>
      </c>
      <c r="U91" s="404"/>
      <c r="V91" s="476" t="str">
        <f t="shared" si="12"/>
        <v>High</v>
      </c>
      <c r="W91" s="476" t="str">
        <f t="shared" si="13"/>
        <v>Low</v>
      </c>
      <c r="X91" s="477" t="str">
        <f t="shared" si="14"/>
        <v>Horse</v>
      </c>
      <c r="AA91" s="366"/>
      <c r="AB91" s="503"/>
      <c r="AC91" s="366"/>
      <c r="AD91" s="366"/>
      <c r="AE91" s="366"/>
      <c r="AF91" s="366"/>
      <c r="AG91" s="366"/>
      <c r="AH91" s="366"/>
      <c r="AI91" s="366"/>
      <c r="AJ91" s="366"/>
      <c r="AM91" s="76"/>
      <c r="AN91" s="76"/>
    </row>
    <row r="92" spans="1:40" ht="17.25" customHeight="1" x14ac:dyDescent="0.3">
      <c r="A92" s="366">
        <f t="shared" si="47"/>
        <v>4</v>
      </c>
      <c r="B92" s="508" t="s">
        <v>636</v>
      </c>
      <c r="C92" s="365" t="s">
        <v>684</v>
      </c>
      <c r="D92" s="365"/>
      <c r="E92" s="468" t="s">
        <v>437</v>
      </c>
      <c r="F92" s="581">
        <v>36705.234042553195</v>
      </c>
      <c r="G92" s="470">
        <v>100481.48148148147</v>
      </c>
      <c r="H92" s="494">
        <f t="shared" si="57"/>
        <v>63776.24743892828</v>
      </c>
      <c r="I92" s="471">
        <v>54</v>
      </c>
      <c r="J92" s="424"/>
      <c r="K92" s="495">
        <f t="shared" si="58"/>
        <v>1982082.6382978726</v>
      </c>
      <c r="L92" s="495">
        <f t="shared" si="59"/>
        <v>5426000</v>
      </c>
      <c r="M92" s="495">
        <f t="shared" si="60"/>
        <v>3443917.3617021274</v>
      </c>
      <c r="N92" s="496">
        <f t="shared" si="53"/>
        <v>0.3652935197747646</v>
      </c>
      <c r="O92" s="497">
        <f t="shared" si="54"/>
        <v>7.0338456831813825E-3</v>
      </c>
      <c r="P92" s="497">
        <f t="shared" si="54"/>
        <v>6.7514828530331082E-3</v>
      </c>
      <c r="Q92" s="497">
        <f t="shared" si="55"/>
        <v>7.8625509609784507E-3</v>
      </c>
      <c r="R92" s="498">
        <f t="shared" si="56"/>
        <v>2.7383367139959431</v>
      </c>
      <c r="S92" s="545">
        <f t="shared" si="19"/>
        <v>8.0597014925373127</v>
      </c>
      <c r="T92" s="546">
        <f t="shared" si="20"/>
        <v>809850.74626865657</v>
      </c>
      <c r="U92" s="404"/>
      <c r="V92" s="476" t="str">
        <f t="shared" si="12"/>
        <v>High</v>
      </c>
      <c r="W92" s="476" t="str">
        <f t="shared" si="13"/>
        <v>Low</v>
      </c>
      <c r="X92" s="477" t="str">
        <f t="shared" si="14"/>
        <v>Horse</v>
      </c>
      <c r="AA92" s="366"/>
      <c r="AB92" s="503"/>
      <c r="AC92" s="366"/>
      <c r="AD92" s="366"/>
      <c r="AE92" s="366"/>
      <c r="AF92" s="366"/>
      <c r="AG92" s="366"/>
      <c r="AH92" s="366"/>
      <c r="AI92" s="366"/>
      <c r="AJ92" s="366"/>
      <c r="AM92" s="76"/>
      <c r="AN92" s="76"/>
    </row>
    <row r="93" spans="1:40" ht="17.25" customHeight="1" x14ac:dyDescent="0.3">
      <c r="A93" s="366">
        <f t="shared" si="47"/>
        <v>5</v>
      </c>
      <c r="B93" s="508" t="s">
        <v>637</v>
      </c>
      <c r="C93" s="365" t="s">
        <v>580</v>
      </c>
      <c r="D93" s="365"/>
      <c r="E93" s="468" t="s">
        <v>437</v>
      </c>
      <c r="F93" s="581">
        <v>36370.024691358027</v>
      </c>
      <c r="G93" s="470">
        <v>100188.11881188118</v>
      </c>
      <c r="H93" s="494">
        <f t="shared" si="57"/>
        <v>63818.094120523157</v>
      </c>
      <c r="I93" s="471">
        <v>101</v>
      </c>
      <c r="J93" s="424"/>
      <c r="K93" s="495">
        <f t="shared" si="58"/>
        <v>3673372.4938271609</v>
      </c>
      <c r="L93" s="495">
        <f t="shared" si="59"/>
        <v>10119000</v>
      </c>
      <c r="M93" s="495">
        <f t="shared" si="60"/>
        <v>6445627.5061728396</v>
      </c>
      <c r="N93" s="496">
        <f t="shared" si="53"/>
        <v>0.36301734300100413</v>
      </c>
      <c r="O93" s="497">
        <f t="shared" si="54"/>
        <v>1.3117487001126504E-2</v>
      </c>
      <c r="P93" s="497">
        <f t="shared" si="54"/>
        <v>1.2636059177522278E-2</v>
      </c>
      <c r="Q93" s="497">
        <f t="shared" si="55"/>
        <v>1.4705882352941176E-2</v>
      </c>
      <c r="R93" s="498">
        <f t="shared" si="56"/>
        <v>5.1217038539553759</v>
      </c>
      <c r="S93" s="545">
        <f t="shared" si="19"/>
        <v>15.074626865671643</v>
      </c>
      <c r="T93" s="546">
        <f t="shared" si="20"/>
        <v>1510298.5074626866</v>
      </c>
      <c r="U93" s="404"/>
      <c r="V93" s="476" t="str">
        <f t="shared" si="12"/>
        <v>High</v>
      </c>
      <c r="W93" s="476" t="str">
        <f t="shared" si="13"/>
        <v>High</v>
      </c>
      <c r="X93" s="477" t="str">
        <f t="shared" si="14"/>
        <v>Star</v>
      </c>
      <c r="AA93" s="366"/>
      <c r="AB93" s="503"/>
      <c r="AC93" s="366"/>
      <c r="AD93" s="366"/>
      <c r="AE93" s="366"/>
      <c r="AF93" s="366"/>
      <c r="AG93" s="366"/>
      <c r="AH93" s="366"/>
      <c r="AI93" s="366"/>
      <c r="AJ93" s="366"/>
      <c r="AM93" s="76"/>
      <c r="AN93" s="76"/>
    </row>
    <row r="94" spans="1:40" ht="17.25" customHeight="1" x14ac:dyDescent="0.3">
      <c r="A94" s="366"/>
      <c r="B94" s="508"/>
      <c r="C94" s="365"/>
      <c r="D94" s="365"/>
      <c r="E94" s="468"/>
      <c r="F94" s="581"/>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76"/>
      <c r="AN94" s="76"/>
    </row>
    <row r="95" spans="1:40" ht="17.25" customHeight="1" x14ac:dyDescent="0.3">
      <c r="A95" s="453"/>
      <c r="B95" s="331" t="s">
        <v>483</v>
      </c>
      <c r="C95" s="332" t="s">
        <v>465</v>
      </c>
      <c r="D95" s="484"/>
      <c r="E95" s="484"/>
      <c r="F95" s="490"/>
      <c r="G95" s="489"/>
      <c r="H95" s="489"/>
      <c r="I95" s="489">
        <f>SUBTOTAL(9,I96:I102)</f>
        <v>219</v>
      </c>
      <c r="J95" s="484"/>
      <c r="K95" s="480">
        <f>SUBTOTAL(9,K96:K102)</f>
        <v>9328476.1616858244</v>
      </c>
      <c r="L95" s="480">
        <f>SUBTOTAL(9,L96:L102)</f>
        <v>29331000</v>
      </c>
      <c r="M95" s="480">
        <f>SUBTOTAL(9,M96:M102)</f>
        <v>20002523.838314176</v>
      </c>
      <c r="N95" s="491">
        <f t="shared" ref="N95:N101" si="61">K95/L95</f>
        <v>0.31804153154293491</v>
      </c>
      <c r="O95" s="486">
        <f t="shared" ref="O95:P101" si="62">L95/L$10</f>
        <v>3.8022434156541308E-2</v>
      </c>
      <c r="P95" s="486">
        <f t="shared" si="62"/>
        <v>3.9213106044164323E-2</v>
      </c>
      <c r="Q95" s="486">
        <f t="shared" ref="Q95:Q101" si="63">I95/I$10</f>
        <v>3.188701223063483E-2</v>
      </c>
      <c r="R95" s="487">
        <f t="shared" ref="R95:R101" si="64">I95/$K$5*100</f>
        <v>11.105476673427992</v>
      </c>
      <c r="S95" s="487">
        <f t="shared" si="19"/>
        <v>32.686567164179102</v>
      </c>
      <c r="T95" s="487">
        <f t="shared" si="20"/>
        <v>0</v>
      </c>
      <c r="U95" s="404"/>
      <c r="V95" s="476" t="str">
        <f t="shared" si="12"/>
        <v>High</v>
      </c>
      <c r="W95" s="476" t="str">
        <f t="shared" si="13"/>
        <v>High</v>
      </c>
      <c r="X95" s="477" t="str">
        <f t="shared" si="14"/>
        <v>Star</v>
      </c>
      <c r="AA95" s="366"/>
      <c r="AB95" s="503"/>
      <c r="AC95" s="366"/>
      <c r="AD95" s="366"/>
      <c r="AE95" s="366"/>
      <c r="AF95" s="366"/>
      <c r="AG95" s="366"/>
      <c r="AH95" s="366"/>
      <c r="AI95" s="366"/>
      <c r="AJ95" s="366"/>
      <c r="AM95" s="76"/>
      <c r="AN95" s="76"/>
    </row>
    <row r="96" spans="1:40" ht="17.25" customHeight="1" x14ac:dyDescent="0.3">
      <c r="A96" s="366">
        <f t="shared" ref="A96" si="65">A95+1</f>
        <v>1</v>
      </c>
      <c r="B96" s="276" t="s">
        <v>504</v>
      </c>
      <c r="C96" s="365" t="s">
        <v>539</v>
      </c>
      <c r="D96" s="365"/>
      <c r="E96" s="468" t="s">
        <v>437</v>
      </c>
      <c r="F96" s="581">
        <v>32596.103448275862</v>
      </c>
      <c r="G96" s="470">
        <v>90794.117647058825</v>
      </c>
      <c r="H96" s="494">
        <f t="shared" ref="H96:H101" si="66">G96-F96</f>
        <v>58198.014198782963</v>
      </c>
      <c r="I96" s="471">
        <v>34</v>
      </c>
      <c r="J96" s="424"/>
      <c r="K96" s="495">
        <f t="shared" ref="K96:K101" si="67">I96*F96</f>
        <v>1108267.5172413792</v>
      </c>
      <c r="L96" s="495">
        <f t="shared" ref="L96:L101" si="68">I96*G96</f>
        <v>3087000</v>
      </c>
      <c r="M96" s="495">
        <f t="shared" ref="M96:M101" si="69">L96-K96</f>
        <v>1978732.4827586208</v>
      </c>
      <c r="N96" s="496">
        <f t="shared" si="61"/>
        <v>0.35901118148408789</v>
      </c>
      <c r="O96" s="497">
        <f t="shared" si="62"/>
        <v>4.0017474426798615E-3</v>
      </c>
      <c r="P96" s="497">
        <f t="shared" si="62"/>
        <v>3.879122820032388E-3</v>
      </c>
      <c r="Q96" s="497">
        <f t="shared" si="63"/>
        <v>4.9504950495049506E-3</v>
      </c>
      <c r="R96" s="498">
        <f t="shared" si="64"/>
        <v>1.7241379310344827</v>
      </c>
      <c r="S96" s="545">
        <f t="shared" si="19"/>
        <v>5.0746268656716413</v>
      </c>
      <c r="T96" s="546">
        <f t="shared" si="20"/>
        <v>460746.26865671639</v>
      </c>
      <c r="U96" s="404"/>
      <c r="V96" s="476" t="str">
        <f t="shared" si="12"/>
        <v>High</v>
      </c>
      <c r="W96" s="476" t="str">
        <f t="shared" si="13"/>
        <v>Low</v>
      </c>
      <c r="X96" s="477" t="str">
        <f t="shared" si="14"/>
        <v>Horse</v>
      </c>
      <c r="AA96" s="366"/>
      <c r="AB96" s="503"/>
      <c r="AC96" s="366"/>
      <c r="AD96" s="366"/>
      <c r="AE96" s="366"/>
      <c r="AF96" s="366"/>
      <c r="AG96" s="366"/>
      <c r="AH96" s="366"/>
      <c r="AI96" s="366"/>
      <c r="AJ96" s="366"/>
      <c r="AM96" s="76"/>
      <c r="AN96" s="76"/>
    </row>
    <row r="97" spans="1:40" ht="17.25" customHeight="1" x14ac:dyDescent="0.3">
      <c r="A97" s="366">
        <f>A96+1</f>
        <v>2</v>
      </c>
      <c r="B97" s="276" t="s">
        <v>505</v>
      </c>
      <c r="C97" s="365" t="s">
        <v>540</v>
      </c>
      <c r="D97" s="365"/>
      <c r="E97" s="468" t="s">
        <v>437</v>
      </c>
      <c r="F97" s="581">
        <v>33499.555555555555</v>
      </c>
      <c r="G97" s="470">
        <v>107588.23529411765</v>
      </c>
      <c r="H97" s="494">
        <f t="shared" si="66"/>
        <v>74088.679738562088</v>
      </c>
      <c r="I97" s="471">
        <v>17</v>
      </c>
      <c r="J97" s="424"/>
      <c r="K97" s="495">
        <f t="shared" si="67"/>
        <v>569492.44444444438</v>
      </c>
      <c r="L97" s="495">
        <f t="shared" si="68"/>
        <v>1829000</v>
      </c>
      <c r="M97" s="495">
        <f t="shared" si="69"/>
        <v>1259507.5555555555</v>
      </c>
      <c r="N97" s="496">
        <f t="shared" si="61"/>
        <v>0.31136820363282908</v>
      </c>
      <c r="O97" s="497">
        <f t="shared" si="62"/>
        <v>2.3709737844708348E-3</v>
      </c>
      <c r="P97" s="497">
        <f t="shared" si="62"/>
        <v>2.4691485803817813E-3</v>
      </c>
      <c r="Q97" s="497">
        <f t="shared" si="63"/>
        <v>2.4752475247524753E-3</v>
      </c>
      <c r="R97" s="498">
        <f t="shared" si="64"/>
        <v>0.86206896551724133</v>
      </c>
      <c r="S97" s="545">
        <f t="shared" si="19"/>
        <v>2.5373134328358207</v>
      </c>
      <c r="T97" s="546">
        <f t="shared" si="20"/>
        <v>272985.07462686568</v>
      </c>
      <c r="U97" s="404"/>
      <c r="V97" s="476" t="str">
        <f t="shared" si="12"/>
        <v>High</v>
      </c>
      <c r="W97" s="476" t="str">
        <f t="shared" si="13"/>
        <v>Low</v>
      </c>
      <c r="X97" s="477" t="str">
        <f t="shared" si="14"/>
        <v>Horse</v>
      </c>
      <c r="AA97" s="366"/>
      <c r="AB97" s="503"/>
      <c r="AC97" s="366"/>
      <c r="AD97" s="366"/>
      <c r="AE97" s="366"/>
      <c r="AF97" s="366"/>
      <c r="AG97" s="366"/>
      <c r="AH97" s="366"/>
      <c r="AI97" s="366"/>
      <c r="AJ97" s="366"/>
      <c r="AM97" s="76"/>
      <c r="AN97" s="76"/>
    </row>
    <row r="98" spans="1:40" ht="17.25" customHeight="1" x14ac:dyDescent="0.3">
      <c r="A98" s="366">
        <f t="shared" ref="A98:A100" si="70">A97+1</f>
        <v>3</v>
      </c>
      <c r="B98" s="276" t="s">
        <v>506</v>
      </c>
      <c r="C98" s="365" t="s">
        <v>541</v>
      </c>
      <c r="D98" s="365"/>
      <c r="E98" s="468" t="s">
        <v>437</v>
      </c>
      <c r="F98" s="581">
        <v>65675</v>
      </c>
      <c r="G98" s="470">
        <v>176421.05263157896</v>
      </c>
      <c r="H98" s="494">
        <f t="shared" si="66"/>
        <v>110746.05263157896</v>
      </c>
      <c r="I98" s="471">
        <v>38</v>
      </c>
      <c r="J98" s="424"/>
      <c r="K98" s="495">
        <f t="shared" si="67"/>
        <v>2495650</v>
      </c>
      <c r="L98" s="495">
        <f t="shared" si="68"/>
        <v>6704000.0000000009</v>
      </c>
      <c r="M98" s="495">
        <f t="shared" si="69"/>
        <v>4208350.0000000009</v>
      </c>
      <c r="N98" s="496">
        <f t="shared" si="61"/>
        <v>0.37226282816229112</v>
      </c>
      <c r="O98" s="497">
        <f t="shared" si="62"/>
        <v>8.6905457906465162E-3</v>
      </c>
      <c r="P98" s="497">
        <f t="shared" si="62"/>
        <v>8.2500826473139287E-3</v>
      </c>
      <c r="Q98" s="497">
        <f t="shared" si="63"/>
        <v>5.5329062317996504E-3</v>
      </c>
      <c r="R98" s="498">
        <f t="shared" si="64"/>
        <v>1.9269776876267748</v>
      </c>
      <c r="S98" s="545">
        <f t="shared" si="19"/>
        <v>5.6716417910447756</v>
      </c>
      <c r="T98" s="546">
        <f t="shared" si="20"/>
        <v>1000597.0149253731</v>
      </c>
      <c r="U98" s="404"/>
      <c r="V98" s="476" t="str">
        <f t="shared" si="12"/>
        <v>High</v>
      </c>
      <c r="W98" s="476" t="str">
        <f t="shared" si="13"/>
        <v>Low</v>
      </c>
      <c r="X98" s="477" t="str">
        <f t="shared" si="14"/>
        <v>Horse</v>
      </c>
      <c r="AA98" s="366"/>
      <c r="AB98" s="503"/>
      <c r="AC98" s="366"/>
      <c r="AD98" s="366"/>
      <c r="AE98" s="366"/>
      <c r="AF98" s="366"/>
      <c r="AG98" s="366"/>
      <c r="AH98" s="366"/>
      <c r="AI98" s="366"/>
      <c r="AJ98" s="366"/>
      <c r="AM98" s="76"/>
      <c r="AN98" s="76"/>
    </row>
    <row r="99" spans="1:40" ht="17.25" customHeight="1" x14ac:dyDescent="0.3">
      <c r="A99" s="366">
        <f>A98+1</f>
        <v>4</v>
      </c>
      <c r="B99" s="467" t="s">
        <v>561</v>
      </c>
      <c r="C99" s="365" t="s">
        <v>564</v>
      </c>
      <c r="D99" s="365"/>
      <c r="E99" s="468" t="s">
        <v>437</v>
      </c>
      <c r="F99" s="581">
        <v>31458.633333333335</v>
      </c>
      <c r="G99" s="470">
        <v>138500</v>
      </c>
      <c r="H99" s="494">
        <f t="shared" si="66"/>
        <v>107041.36666666667</v>
      </c>
      <c r="I99" s="471">
        <v>36</v>
      </c>
      <c r="J99" s="424"/>
      <c r="K99" s="495">
        <f t="shared" si="67"/>
        <v>1132510.8</v>
      </c>
      <c r="L99" s="495">
        <f t="shared" si="68"/>
        <v>4986000</v>
      </c>
      <c r="M99" s="495">
        <f t="shared" si="69"/>
        <v>3853489.2</v>
      </c>
      <c r="N99" s="496">
        <f t="shared" si="61"/>
        <v>0.227138146811071</v>
      </c>
      <c r="O99" s="497">
        <f t="shared" si="62"/>
        <v>6.4634637995470649E-3</v>
      </c>
      <c r="P99" s="497">
        <f t="shared" si="62"/>
        <v>7.5544107264204794E-3</v>
      </c>
      <c r="Q99" s="497">
        <f t="shared" si="63"/>
        <v>5.2417006406523005E-3</v>
      </c>
      <c r="R99" s="498">
        <f t="shared" si="64"/>
        <v>1.8255578093306288</v>
      </c>
      <c r="S99" s="545">
        <f t="shared" si="19"/>
        <v>5.3731343283582094</v>
      </c>
      <c r="T99" s="546">
        <f t="shared" si="20"/>
        <v>744179.10447761195</v>
      </c>
      <c r="U99" s="404"/>
      <c r="V99" s="476" t="str">
        <f t="shared" si="12"/>
        <v>High</v>
      </c>
      <c r="W99" s="476" t="str">
        <f t="shared" si="13"/>
        <v>Low</v>
      </c>
      <c r="X99" s="477" t="str">
        <f t="shared" si="14"/>
        <v>Horse</v>
      </c>
      <c r="AA99" s="366"/>
      <c r="AB99" s="503"/>
      <c r="AC99" s="366"/>
      <c r="AD99" s="366"/>
      <c r="AE99" s="366"/>
      <c r="AF99" s="366"/>
      <c r="AG99" s="366"/>
      <c r="AH99" s="366"/>
      <c r="AI99" s="366"/>
      <c r="AJ99" s="366"/>
      <c r="AM99" s="76"/>
      <c r="AN99" s="76"/>
    </row>
    <row r="100" spans="1:40" ht="17.25" customHeight="1" x14ac:dyDescent="0.3">
      <c r="A100" s="366">
        <f t="shared" si="70"/>
        <v>5</v>
      </c>
      <c r="B100" s="467" t="s">
        <v>573</v>
      </c>
      <c r="C100" s="365" t="s">
        <v>581</v>
      </c>
      <c r="D100" s="365"/>
      <c r="E100" s="468" t="s">
        <v>437</v>
      </c>
      <c r="F100" s="581">
        <v>53441.642857142855</v>
      </c>
      <c r="G100" s="470">
        <v>170576.92307692306</v>
      </c>
      <c r="H100" s="494">
        <f t="shared" si="66"/>
        <v>117135.28021978021</v>
      </c>
      <c r="I100" s="471">
        <v>26</v>
      </c>
      <c r="J100" s="424"/>
      <c r="K100" s="495">
        <f t="shared" si="67"/>
        <v>1389482.7142857143</v>
      </c>
      <c r="L100" s="495">
        <f t="shared" si="68"/>
        <v>4435000</v>
      </c>
      <c r="M100" s="495">
        <f t="shared" si="69"/>
        <v>3045517.2857142854</v>
      </c>
      <c r="N100" s="496">
        <f t="shared" si="61"/>
        <v>0.31329937187952972</v>
      </c>
      <c r="O100" s="497">
        <f t="shared" si="62"/>
        <v>5.749190122541362E-3</v>
      </c>
      <c r="P100" s="497">
        <f t="shared" si="62"/>
        <v>5.9704561908981036E-3</v>
      </c>
      <c r="Q100" s="497">
        <f t="shared" si="63"/>
        <v>3.7856726849155504E-3</v>
      </c>
      <c r="R100" s="498">
        <f t="shared" si="64"/>
        <v>1.3184584178498986</v>
      </c>
      <c r="S100" s="545">
        <f t="shared" si="19"/>
        <v>3.8805970149253732</v>
      </c>
      <c r="T100" s="546">
        <f t="shared" si="20"/>
        <v>661940.2985074626</v>
      </c>
      <c r="U100" s="404"/>
      <c r="V100" s="476" t="str">
        <f t="shared" si="12"/>
        <v>High</v>
      </c>
      <c r="W100" s="476" t="str">
        <f t="shared" si="13"/>
        <v>Low</v>
      </c>
      <c r="X100" s="477" t="str">
        <f t="shared" si="14"/>
        <v>Horse</v>
      </c>
      <c r="AA100" s="366"/>
      <c r="AB100" s="503"/>
      <c r="AC100" s="366"/>
      <c r="AD100" s="366"/>
      <c r="AE100" s="366"/>
      <c r="AF100" s="366"/>
      <c r="AG100" s="366"/>
      <c r="AH100" s="366"/>
      <c r="AI100" s="366"/>
      <c r="AJ100" s="366"/>
      <c r="AM100" s="76"/>
      <c r="AN100" s="76"/>
    </row>
    <row r="101" spans="1:40" ht="17.25" customHeight="1" x14ac:dyDescent="0.3">
      <c r="A101" s="366">
        <f>A100+1</f>
        <v>6</v>
      </c>
      <c r="B101" s="467" t="s">
        <v>638</v>
      </c>
      <c r="C101" s="365" t="s">
        <v>685</v>
      </c>
      <c r="D101" s="365"/>
      <c r="E101" s="468" t="s">
        <v>437</v>
      </c>
      <c r="F101" s="581">
        <v>38721.657142857141</v>
      </c>
      <c r="G101" s="470">
        <v>121911.76470588235</v>
      </c>
      <c r="H101" s="494">
        <f t="shared" si="66"/>
        <v>83190.107563025202</v>
      </c>
      <c r="I101" s="471">
        <v>68</v>
      </c>
      <c r="J101" s="424"/>
      <c r="K101" s="495">
        <f t="shared" si="67"/>
        <v>2633072.6857142854</v>
      </c>
      <c r="L101" s="495">
        <f t="shared" si="68"/>
        <v>8290000</v>
      </c>
      <c r="M101" s="495">
        <f t="shared" si="69"/>
        <v>5656927.3142857142</v>
      </c>
      <c r="N101" s="496">
        <f t="shared" si="61"/>
        <v>0.31762034809581247</v>
      </c>
      <c r="O101" s="497">
        <f t="shared" si="62"/>
        <v>1.074651321665567E-2</v>
      </c>
      <c r="P101" s="497">
        <f t="shared" si="62"/>
        <v>1.1089885079117645E-2</v>
      </c>
      <c r="Q101" s="497">
        <f t="shared" si="63"/>
        <v>9.9009900990099011E-3</v>
      </c>
      <c r="R101" s="498">
        <f t="shared" si="64"/>
        <v>3.4482758620689653</v>
      </c>
      <c r="S101" s="545">
        <f t="shared" si="19"/>
        <v>10.149253731343283</v>
      </c>
      <c r="T101" s="546">
        <f t="shared" si="20"/>
        <v>1237313.4328358208</v>
      </c>
      <c r="U101" s="404"/>
      <c r="V101" s="476" t="str">
        <f t="shared" si="12"/>
        <v>High</v>
      </c>
      <c r="W101" s="476" t="str">
        <f t="shared" si="13"/>
        <v>Low</v>
      </c>
      <c r="X101" s="477" t="str">
        <f t="shared" si="14"/>
        <v>Horse</v>
      </c>
      <c r="AA101" s="366"/>
      <c r="AB101" s="503"/>
      <c r="AC101" s="366"/>
      <c r="AD101" s="366"/>
      <c r="AE101" s="366"/>
      <c r="AF101" s="366"/>
      <c r="AG101" s="366"/>
      <c r="AH101" s="366"/>
      <c r="AI101" s="366"/>
      <c r="AJ101" s="366"/>
      <c r="AM101" s="76"/>
      <c r="AN101" s="76"/>
    </row>
    <row r="102" spans="1:40" ht="17.25" customHeight="1" x14ac:dyDescent="0.3">
      <c r="A102" s="366"/>
      <c r="B102" s="467"/>
      <c r="C102" s="365"/>
      <c r="D102" s="495"/>
      <c r="E102" s="468"/>
      <c r="F102" s="478"/>
      <c r="G102" s="470"/>
      <c r="H102" s="494"/>
      <c r="I102" s="471"/>
      <c r="J102" s="424"/>
      <c r="K102" s="495"/>
      <c r="L102" s="495"/>
      <c r="M102" s="495"/>
      <c r="N102" s="496"/>
      <c r="O102" s="497"/>
      <c r="P102" s="497"/>
      <c r="Q102" s="497"/>
      <c r="R102" s="498"/>
      <c r="S102" s="545">
        <f t="shared" si="19"/>
        <v>0</v>
      </c>
      <c r="T102" s="546">
        <f t="shared" si="20"/>
        <v>0</v>
      </c>
      <c r="U102" s="404"/>
      <c r="V102" s="476" t="str">
        <f t="shared" si="12"/>
        <v/>
      </c>
      <c r="W102" s="476" t="str">
        <f t="shared" si="13"/>
        <v/>
      </c>
      <c r="X102" s="477" t="str">
        <f t="shared" si="14"/>
        <v/>
      </c>
      <c r="AA102" s="366"/>
      <c r="AB102" s="503"/>
      <c r="AC102" s="366"/>
      <c r="AD102" s="366"/>
      <c r="AE102" s="366"/>
      <c r="AF102" s="366"/>
      <c r="AG102" s="366"/>
      <c r="AH102" s="366"/>
      <c r="AI102" s="366"/>
      <c r="AJ102" s="366"/>
      <c r="AM102" s="76"/>
      <c r="AN102" s="76"/>
    </row>
    <row r="103" spans="1:40" ht="17.25" customHeight="1" x14ac:dyDescent="0.3">
      <c r="A103" s="453"/>
      <c r="B103" s="479" t="s">
        <v>484</v>
      </c>
      <c r="C103" s="479" t="s">
        <v>485</v>
      </c>
      <c r="D103" s="484"/>
      <c r="E103" s="484"/>
      <c r="F103" s="490"/>
      <c r="G103" s="489"/>
      <c r="H103" s="489"/>
      <c r="I103" s="490">
        <f>SUBTOTAL(9,I104:I113)</f>
        <v>411</v>
      </c>
      <c r="J103" s="484"/>
      <c r="K103" s="480">
        <f>SUBTOTAL(9,K104:K113)</f>
        <v>8564260.8127822392</v>
      </c>
      <c r="L103" s="480">
        <f>SUBTOTAL(9,L104:L113)</f>
        <v>37592000</v>
      </c>
      <c r="M103" s="480">
        <f>SUBTOTAL(9,M104:M113)</f>
        <v>29027739.187217757</v>
      </c>
      <c r="N103" s="491">
        <f t="shared" ref="N103:N119" si="71">K103/L103</f>
        <v>0.2278213665881634</v>
      </c>
      <c r="O103" s="486">
        <f t="shared" ref="O103:P119" si="72">L103/L$10</f>
        <v>4.8731354021775627E-2</v>
      </c>
      <c r="P103" s="486">
        <f t="shared" si="72"/>
        <v>5.6906209644924891E-2</v>
      </c>
      <c r="Q103" s="486">
        <f t="shared" ref="Q103:Q119" si="73">I103/I$10</f>
        <v>5.984274898078043E-2</v>
      </c>
      <c r="R103" s="487">
        <f t="shared" ref="R103:R119" si="74">I103/$K$5*100</f>
        <v>20.841784989858013</v>
      </c>
      <c r="S103" s="487">
        <f t="shared" si="19"/>
        <v>61.343283582089555</v>
      </c>
      <c r="T103" s="487">
        <f t="shared" si="20"/>
        <v>0</v>
      </c>
      <c r="U103" s="404"/>
      <c r="V103" s="476" t="str">
        <f t="shared" si="12"/>
        <v>High</v>
      </c>
      <c r="W103" s="476" t="str">
        <f t="shared" si="13"/>
        <v>High</v>
      </c>
      <c r="X103" s="477" t="str">
        <f t="shared" si="14"/>
        <v>Star</v>
      </c>
      <c r="AA103" s="366"/>
      <c r="AB103" s="503"/>
      <c r="AC103" s="366"/>
      <c r="AD103" s="366"/>
      <c r="AE103" s="366"/>
      <c r="AF103" s="366"/>
      <c r="AG103" s="366"/>
      <c r="AH103" s="366"/>
      <c r="AI103" s="366"/>
      <c r="AJ103" s="366"/>
      <c r="AM103" s="76"/>
      <c r="AN103" s="76"/>
    </row>
    <row r="104" spans="1:40" ht="17.25" customHeight="1" x14ac:dyDescent="0.3">
      <c r="A104" s="366">
        <f t="shared" ref="A104" si="75">A103+1</f>
        <v>1</v>
      </c>
      <c r="B104" s="590" t="s">
        <v>507</v>
      </c>
      <c r="C104" s="365" t="s">
        <v>542</v>
      </c>
      <c r="D104" s="365"/>
      <c r="E104" s="468" t="s">
        <v>437</v>
      </c>
      <c r="F104" s="581">
        <v>36470.565217391304</v>
      </c>
      <c r="G104" s="470">
        <v>120919.54022988505</v>
      </c>
      <c r="H104" s="494">
        <f t="shared" ref="H104:H112" si="76">G104-F104</f>
        <v>84448.975012493756</v>
      </c>
      <c r="I104" s="471">
        <v>87</v>
      </c>
      <c r="J104" s="424"/>
      <c r="K104" s="495">
        <f t="shared" ref="K104:K112" si="77">I104*F104</f>
        <v>3172939.1739130435</v>
      </c>
      <c r="L104" s="495">
        <f t="shared" ref="L104:L112" si="78">I104*G104</f>
        <v>10520000</v>
      </c>
      <c r="M104" s="495">
        <f t="shared" ref="M104:M112" si="79">L104-K104</f>
        <v>7347060.826086957</v>
      </c>
      <c r="N104" s="496">
        <f t="shared" si="71"/>
        <v>0.30161018763431974</v>
      </c>
      <c r="O104" s="497">
        <f t="shared" si="72"/>
        <v>1.3637312308711416E-2</v>
      </c>
      <c r="P104" s="497">
        <f t="shared" si="72"/>
        <v>1.4403236192346151E-2</v>
      </c>
      <c r="Q104" s="497">
        <f t="shared" si="73"/>
        <v>1.2667443214909726E-2</v>
      </c>
      <c r="R104" s="498">
        <f t="shared" si="74"/>
        <v>4.4117647058823533</v>
      </c>
      <c r="S104" s="545">
        <f t="shared" si="19"/>
        <v>12.985074626865673</v>
      </c>
      <c r="T104" s="546">
        <f t="shared" si="20"/>
        <v>1570149.2537313434</v>
      </c>
      <c r="U104" s="404"/>
      <c r="V104" s="476" t="str">
        <f t="shared" si="12"/>
        <v>High</v>
      </c>
      <c r="W104" s="476" t="str">
        <f t="shared" si="13"/>
        <v>High</v>
      </c>
      <c r="X104" s="477" t="str">
        <f t="shared" si="14"/>
        <v>Star</v>
      </c>
      <c r="AA104" s="366"/>
      <c r="AB104" s="503"/>
      <c r="AC104" s="366"/>
      <c r="AD104" s="366"/>
      <c r="AE104" s="366"/>
      <c r="AF104" s="366"/>
      <c r="AG104" s="366"/>
      <c r="AH104" s="366"/>
      <c r="AI104" s="366"/>
      <c r="AJ104" s="366"/>
      <c r="AM104" s="76"/>
      <c r="AN104" s="76"/>
    </row>
    <row r="105" spans="1:40" ht="17.25" customHeight="1" x14ac:dyDescent="0.3">
      <c r="A105" s="366">
        <f>A104+1</f>
        <v>2</v>
      </c>
      <c r="B105" s="590" t="s">
        <v>639</v>
      </c>
      <c r="C105" s="365" t="s">
        <v>686</v>
      </c>
      <c r="D105" s="365"/>
      <c r="E105" s="468" t="s">
        <v>437</v>
      </c>
      <c r="F105" s="581">
        <v>14810.132075471698</v>
      </c>
      <c r="G105" s="470">
        <v>126031.74603174604</v>
      </c>
      <c r="H105" s="494">
        <f t="shared" si="76"/>
        <v>111221.61395627433</v>
      </c>
      <c r="I105" s="471">
        <v>63</v>
      </c>
      <c r="J105" s="424"/>
      <c r="K105" s="495">
        <f t="shared" si="77"/>
        <v>933038.32075471699</v>
      </c>
      <c r="L105" s="495">
        <f t="shared" si="78"/>
        <v>7940000</v>
      </c>
      <c r="M105" s="495">
        <f t="shared" si="79"/>
        <v>7006961.6792452829</v>
      </c>
      <c r="N105" s="496">
        <f t="shared" si="71"/>
        <v>0.11751112352074521</v>
      </c>
      <c r="O105" s="497">
        <f t="shared" si="72"/>
        <v>1.0292800354673826E-2</v>
      </c>
      <c r="P105" s="497">
        <f t="shared" si="72"/>
        <v>1.3736503133136541E-2</v>
      </c>
      <c r="Q105" s="497">
        <f t="shared" si="73"/>
        <v>9.1729761211415267E-3</v>
      </c>
      <c r="R105" s="498">
        <f t="shared" si="74"/>
        <v>3.1947261663286008</v>
      </c>
      <c r="S105" s="545">
        <f t="shared" si="19"/>
        <v>9.4029850746268675</v>
      </c>
      <c r="T105" s="546">
        <f t="shared" si="20"/>
        <v>1185074.6268656719</v>
      </c>
      <c r="U105" s="404"/>
      <c r="V105" s="476" t="str">
        <f t="shared" si="12"/>
        <v>High</v>
      </c>
      <c r="W105" s="476" t="str">
        <f t="shared" si="13"/>
        <v>Low</v>
      </c>
      <c r="X105" s="477" t="str">
        <f t="shared" si="14"/>
        <v>Horse</v>
      </c>
      <c r="Y105" s="488"/>
      <c r="AA105" s="366"/>
      <c r="AB105" s="503"/>
      <c r="AC105" s="366"/>
      <c r="AD105" s="366"/>
      <c r="AE105" s="366"/>
      <c r="AF105" s="366"/>
      <c r="AG105" s="366"/>
      <c r="AH105" s="366"/>
      <c r="AI105" s="366"/>
      <c r="AJ105" s="366"/>
      <c r="AM105" s="76"/>
      <c r="AN105" s="76"/>
    </row>
    <row r="106" spans="1:40" ht="17.25" customHeight="1" x14ac:dyDescent="0.3">
      <c r="A106" s="366">
        <f t="shared" ref="A106:A112" si="80">A105+1</f>
        <v>3</v>
      </c>
      <c r="B106" s="590" t="s">
        <v>740</v>
      </c>
      <c r="C106" s="365" t="s">
        <v>51</v>
      </c>
      <c r="D106" s="495"/>
      <c r="E106" s="468" t="s">
        <v>437</v>
      </c>
      <c r="F106" s="581"/>
      <c r="G106" s="470">
        <v>50000</v>
      </c>
      <c r="H106" s="494">
        <f t="shared" si="76"/>
        <v>50000</v>
      </c>
      <c r="I106" s="471">
        <v>0</v>
      </c>
      <c r="J106" s="424"/>
      <c r="K106" s="495">
        <f t="shared" si="77"/>
        <v>0</v>
      </c>
      <c r="L106" s="495">
        <f t="shared" si="78"/>
        <v>0</v>
      </c>
      <c r="M106" s="495">
        <f t="shared" si="79"/>
        <v>0</v>
      </c>
      <c r="N106" s="496" t="e">
        <f t="shared" si="71"/>
        <v>#DIV/0!</v>
      </c>
      <c r="O106" s="497">
        <f t="shared" si="72"/>
        <v>0</v>
      </c>
      <c r="P106" s="497">
        <f t="shared" si="72"/>
        <v>0</v>
      </c>
      <c r="Q106" s="497">
        <f t="shared" si="73"/>
        <v>0</v>
      </c>
      <c r="R106" s="498">
        <f t="shared" si="74"/>
        <v>0</v>
      </c>
      <c r="S106" s="545">
        <f t="shared" si="19"/>
        <v>0</v>
      </c>
      <c r="T106" s="546">
        <f t="shared" si="20"/>
        <v>0</v>
      </c>
      <c r="U106" s="404"/>
      <c r="V106" s="476" t="str">
        <f t="shared" si="12"/>
        <v>Low</v>
      </c>
      <c r="W106" s="476" t="str">
        <f t="shared" si="13"/>
        <v>Low</v>
      </c>
      <c r="X106" s="477" t="str">
        <f t="shared" si="14"/>
        <v>Dog</v>
      </c>
      <c r="Y106" s="488"/>
      <c r="AA106" s="366"/>
      <c r="AB106" s="503"/>
      <c r="AC106" s="366"/>
      <c r="AD106" s="366"/>
      <c r="AE106" s="366"/>
      <c r="AF106" s="366"/>
      <c r="AG106" s="366"/>
      <c r="AH106" s="366"/>
      <c r="AI106" s="366"/>
      <c r="AJ106" s="366"/>
      <c r="AM106" s="76"/>
      <c r="AN106" s="76"/>
    </row>
    <row r="107" spans="1:40" ht="17.25" customHeight="1" x14ac:dyDescent="0.3">
      <c r="A107" s="366">
        <f t="shared" si="80"/>
        <v>4</v>
      </c>
      <c r="B107" s="590" t="s">
        <v>741</v>
      </c>
      <c r="C107" s="365" t="s">
        <v>746</v>
      </c>
      <c r="D107" s="495"/>
      <c r="E107" s="468" t="s">
        <v>437</v>
      </c>
      <c r="F107" s="581"/>
      <c r="G107" s="470">
        <v>40000</v>
      </c>
      <c r="H107" s="494">
        <f t="shared" si="76"/>
        <v>40000</v>
      </c>
      <c r="I107" s="471">
        <v>0</v>
      </c>
      <c r="J107" s="424"/>
      <c r="K107" s="495">
        <f t="shared" si="77"/>
        <v>0</v>
      </c>
      <c r="L107" s="495">
        <f t="shared" si="78"/>
        <v>0</v>
      </c>
      <c r="M107" s="495">
        <f t="shared" si="79"/>
        <v>0</v>
      </c>
      <c r="N107" s="496" t="e">
        <f t="shared" si="71"/>
        <v>#DIV/0!</v>
      </c>
      <c r="O107" s="497">
        <f t="shared" si="72"/>
        <v>0</v>
      </c>
      <c r="P107" s="497">
        <f t="shared" si="72"/>
        <v>0</v>
      </c>
      <c r="Q107" s="497">
        <f t="shared" si="73"/>
        <v>0</v>
      </c>
      <c r="R107" s="498">
        <f t="shared" si="74"/>
        <v>0</v>
      </c>
      <c r="S107" s="545">
        <f t="shared" si="19"/>
        <v>0</v>
      </c>
      <c r="T107" s="546">
        <f t="shared" si="20"/>
        <v>0</v>
      </c>
      <c r="U107" s="404"/>
      <c r="V107" s="476" t="str">
        <f t="shared" si="12"/>
        <v>Low</v>
      </c>
      <c r="W107" s="476" t="str">
        <f t="shared" si="13"/>
        <v>Low</v>
      </c>
      <c r="X107" s="477" t="str">
        <f t="shared" si="14"/>
        <v>Dog</v>
      </c>
      <c r="Y107" s="488"/>
      <c r="AA107" s="366"/>
      <c r="AB107" s="503"/>
      <c r="AC107" s="366"/>
      <c r="AD107" s="366"/>
      <c r="AE107" s="366"/>
      <c r="AF107" s="366"/>
      <c r="AG107" s="366"/>
      <c r="AH107" s="366"/>
      <c r="AI107" s="366"/>
      <c r="AJ107" s="366"/>
      <c r="AM107" s="76"/>
      <c r="AN107" s="76"/>
    </row>
    <row r="108" spans="1:40" ht="17.25" customHeight="1" x14ac:dyDescent="0.3">
      <c r="A108" s="366">
        <f t="shared" si="80"/>
        <v>5</v>
      </c>
      <c r="B108" s="590" t="s">
        <v>508</v>
      </c>
      <c r="C108" s="365" t="s">
        <v>58</v>
      </c>
      <c r="D108" s="495"/>
      <c r="E108" s="468" t="s">
        <v>437</v>
      </c>
      <c r="F108" s="581">
        <v>4832.6036363636367</v>
      </c>
      <c r="G108" s="470">
        <v>15189.655172413793</v>
      </c>
      <c r="H108" s="494">
        <f t="shared" si="76"/>
        <v>10357.051536050156</v>
      </c>
      <c r="I108" s="471">
        <v>116</v>
      </c>
      <c r="J108" s="424"/>
      <c r="K108" s="495">
        <f t="shared" si="77"/>
        <v>560582.02181818185</v>
      </c>
      <c r="L108" s="495">
        <f t="shared" si="78"/>
        <v>1762000</v>
      </c>
      <c r="M108" s="495">
        <f t="shared" si="79"/>
        <v>1201417.978181818</v>
      </c>
      <c r="N108" s="496">
        <f t="shared" si="71"/>
        <v>0.31815097719533592</v>
      </c>
      <c r="O108" s="497">
        <f t="shared" si="72"/>
        <v>2.2841201794628818E-3</v>
      </c>
      <c r="P108" s="497">
        <f t="shared" si="72"/>
        <v>2.3552693131438209E-3</v>
      </c>
      <c r="Q108" s="497">
        <f t="shared" si="73"/>
        <v>1.6889924286546301E-2</v>
      </c>
      <c r="R108" s="498">
        <f t="shared" si="74"/>
        <v>5.8823529411764701</v>
      </c>
      <c r="S108" s="545">
        <f t="shared" si="19"/>
        <v>17.313432835820894</v>
      </c>
      <c r="T108" s="546">
        <f t="shared" si="20"/>
        <v>262985.07462686568</v>
      </c>
      <c r="U108" s="404"/>
      <c r="V108" s="476" t="str">
        <f t="shared" si="12"/>
        <v>High</v>
      </c>
      <c r="W108" s="476" t="str">
        <f t="shared" si="13"/>
        <v>Low</v>
      </c>
      <c r="X108" s="477" t="str">
        <f t="shared" si="14"/>
        <v>Horse</v>
      </c>
      <c r="Y108" s="488"/>
      <c r="AA108" s="366"/>
      <c r="AB108" s="503"/>
      <c r="AC108" s="366"/>
      <c r="AD108" s="366"/>
      <c r="AE108" s="366"/>
      <c r="AF108" s="366"/>
      <c r="AG108" s="366"/>
      <c r="AH108" s="366"/>
      <c r="AI108" s="366"/>
      <c r="AJ108" s="366"/>
      <c r="AM108" s="76"/>
      <c r="AN108" s="76"/>
    </row>
    <row r="109" spans="1:40" ht="17.25" customHeight="1" x14ac:dyDescent="0.3">
      <c r="A109" s="366">
        <f t="shared" si="80"/>
        <v>6</v>
      </c>
      <c r="B109" s="590" t="s">
        <v>562</v>
      </c>
      <c r="C109" s="365" t="s">
        <v>565</v>
      </c>
      <c r="D109" s="495"/>
      <c r="E109" s="468" t="s">
        <v>437</v>
      </c>
      <c r="F109" s="581">
        <v>30416.833333333332</v>
      </c>
      <c r="G109" s="470">
        <v>131444.44444444444</v>
      </c>
      <c r="H109" s="494">
        <f t="shared" si="76"/>
        <v>101027.61111111111</v>
      </c>
      <c r="I109" s="471">
        <v>90</v>
      </c>
      <c r="J109" s="424"/>
      <c r="K109" s="495">
        <f t="shared" si="77"/>
        <v>2737515</v>
      </c>
      <c r="L109" s="495">
        <f t="shared" si="78"/>
        <v>11830000</v>
      </c>
      <c r="M109" s="495">
        <f t="shared" si="79"/>
        <v>9092485</v>
      </c>
      <c r="N109" s="496">
        <f t="shared" si="71"/>
        <v>0.23140448013524936</v>
      </c>
      <c r="O109" s="497">
        <f t="shared" si="72"/>
        <v>1.5335494734986316E-2</v>
      </c>
      <c r="P109" s="497">
        <f t="shared" si="72"/>
        <v>1.7824979557180883E-2</v>
      </c>
      <c r="Q109" s="497">
        <f t="shared" si="73"/>
        <v>1.3104251601630751E-2</v>
      </c>
      <c r="R109" s="498">
        <f t="shared" si="74"/>
        <v>4.5638945233265718</v>
      </c>
      <c r="S109" s="545">
        <f t="shared" si="19"/>
        <v>13.432835820895521</v>
      </c>
      <c r="T109" s="546">
        <f t="shared" si="20"/>
        <v>1765671.6417910445</v>
      </c>
      <c r="U109" s="404"/>
      <c r="V109" s="476" t="str">
        <f t="shared" si="12"/>
        <v>High</v>
      </c>
      <c r="W109" s="476" t="str">
        <f t="shared" si="13"/>
        <v>High</v>
      </c>
      <c r="X109" s="477" t="str">
        <f t="shared" si="14"/>
        <v>Star</v>
      </c>
      <c r="Y109" s="488"/>
      <c r="AA109" s="366"/>
      <c r="AB109" s="503"/>
      <c r="AC109" s="366"/>
      <c r="AD109" s="366"/>
      <c r="AE109" s="366"/>
      <c r="AF109" s="366"/>
      <c r="AG109" s="366"/>
      <c r="AH109" s="366"/>
      <c r="AI109" s="366"/>
      <c r="AJ109" s="366"/>
      <c r="AM109" s="76"/>
      <c r="AN109" s="76"/>
    </row>
    <row r="110" spans="1:40" ht="17.25" customHeight="1" x14ac:dyDescent="0.3">
      <c r="A110" s="366">
        <f t="shared" si="80"/>
        <v>7</v>
      </c>
      <c r="B110" s="590" t="s">
        <v>742</v>
      </c>
      <c r="C110" s="365" t="s">
        <v>747</v>
      </c>
      <c r="D110" s="495"/>
      <c r="E110" s="468" t="s">
        <v>437</v>
      </c>
      <c r="F110" s="581"/>
      <c r="G110" s="470">
        <v>100000</v>
      </c>
      <c r="H110" s="494">
        <f t="shared" si="76"/>
        <v>100000</v>
      </c>
      <c r="I110" s="471">
        <v>0</v>
      </c>
      <c r="J110" s="424"/>
      <c r="K110" s="495">
        <f t="shared" si="77"/>
        <v>0</v>
      </c>
      <c r="L110" s="495">
        <f t="shared" si="78"/>
        <v>0</v>
      </c>
      <c r="M110" s="495">
        <f t="shared" si="79"/>
        <v>0</v>
      </c>
      <c r="N110" s="496" t="e">
        <f t="shared" si="71"/>
        <v>#DIV/0!</v>
      </c>
      <c r="O110" s="497">
        <f t="shared" si="72"/>
        <v>0</v>
      </c>
      <c r="P110" s="497">
        <f t="shared" si="72"/>
        <v>0</v>
      </c>
      <c r="Q110" s="497">
        <f t="shared" si="73"/>
        <v>0</v>
      </c>
      <c r="R110" s="498">
        <f t="shared" si="74"/>
        <v>0</v>
      </c>
      <c r="S110" s="545">
        <f t="shared" si="19"/>
        <v>0</v>
      </c>
      <c r="T110" s="546">
        <f t="shared" si="20"/>
        <v>0</v>
      </c>
      <c r="U110" s="404"/>
      <c r="V110" s="476" t="str">
        <f t="shared" si="12"/>
        <v>Low</v>
      </c>
      <c r="W110" s="476" t="str">
        <f t="shared" si="13"/>
        <v>Low</v>
      </c>
      <c r="X110" s="477" t="str">
        <f t="shared" si="14"/>
        <v>Dog</v>
      </c>
      <c r="Y110" s="488"/>
      <c r="AA110" s="366"/>
      <c r="AB110" s="503"/>
      <c r="AC110" s="366"/>
      <c r="AD110" s="366"/>
      <c r="AE110" s="366"/>
      <c r="AF110" s="366"/>
      <c r="AG110" s="366"/>
      <c r="AH110" s="366"/>
      <c r="AI110" s="366"/>
      <c r="AJ110" s="366"/>
      <c r="AM110" s="76"/>
      <c r="AN110" s="76"/>
    </row>
    <row r="111" spans="1:40" ht="17.25" customHeight="1" x14ac:dyDescent="0.3">
      <c r="A111" s="366">
        <f t="shared" si="80"/>
        <v>8</v>
      </c>
      <c r="B111" s="590" t="s">
        <v>563</v>
      </c>
      <c r="C111" s="365" t="s">
        <v>566</v>
      </c>
      <c r="D111" s="495"/>
      <c r="E111" s="468" t="s">
        <v>437</v>
      </c>
      <c r="F111" s="581">
        <v>21094.296296296296</v>
      </c>
      <c r="G111" s="470">
        <v>100727.27272727272</v>
      </c>
      <c r="H111" s="494">
        <f t="shared" si="76"/>
        <v>79632.976430976429</v>
      </c>
      <c r="I111" s="471">
        <v>55</v>
      </c>
      <c r="J111" s="424"/>
      <c r="K111" s="495">
        <f t="shared" si="77"/>
        <v>1160186.2962962962</v>
      </c>
      <c r="L111" s="495">
        <f t="shared" si="78"/>
        <v>5540000</v>
      </c>
      <c r="M111" s="495">
        <f t="shared" si="79"/>
        <v>4379813.7037037034</v>
      </c>
      <c r="N111" s="496">
        <f t="shared" si="71"/>
        <v>0.20941990907875382</v>
      </c>
      <c r="O111" s="497">
        <f t="shared" si="72"/>
        <v>7.1816264439411833E-3</v>
      </c>
      <c r="P111" s="497">
        <f t="shared" si="72"/>
        <v>8.5862214491175069E-3</v>
      </c>
      <c r="Q111" s="497">
        <f t="shared" si="73"/>
        <v>8.0081537565521253E-3</v>
      </c>
      <c r="R111" s="498">
        <f t="shared" si="74"/>
        <v>2.7890466531440161</v>
      </c>
      <c r="S111" s="545">
        <f t="shared" si="19"/>
        <v>8.2089552238805972</v>
      </c>
      <c r="T111" s="546">
        <f t="shared" si="20"/>
        <v>826865.67164179101</v>
      </c>
      <c r="U111" s="404"/>
      <c r="V111" s="476" t="str">
        <f t="shared" si="12"/>
        <v>High</v>
      </c>
      <c r="W111" s="476" t="str">
        <f t="shared" si="13"/>
        <v>Low</v>
      </c>
      <c r="X111" s="477" t="str">
        <f t="shared" si="14"/>
        <v>Horse</v>
      </c>
      <c r="Y111" s="488"/>
      <c r="AA111" s="366"/>
      <c r="AB111" s="503"/>
      <c r="AC111" s="366"/>
      <c r="AD111" s="366"/>
      <c r="AE111" s="366"/>
      <c r="AF111" s="366"/>
      <c r="AG111" s="366"/>
      <c r="AH111" s="366"/>
      <c r="AI111" s="366"/>
      <c r="AJ111" s="366"/>
      <c r="AM111" s="76"/>
      <c r="AN111" s="76"/>
    </row>
    <row r="112" spans="1:40" ht="17.25" customHeight="1" x14ac:dyDescent="0.3">
      <c r="A112" s="366">
        <f t="shared" si="80"/>
        <v>9</v>
      </c>
      <c r="B112" s="590" t="s">
        <v>743</v>
      </c>
      <c r="C112" s="365" t="s">
        <v>748</v>
      </c>
      <c r="D112" s="495"/>
      <c r="E112" s="468" t="s">
        <v>437</v>
      </c>
      <c r="F112" s="581"/>
      <c r="G112" s="470">
        <v>70000</v>
      </c>
      <c r="H112" s="494">
        <f t="shared" si="76"/>
        <v>70000</v>
      </c>
      <c r="I112" s="471">
        <v>0</v>
      </c>
      <c r="J112" s="424"/>
      <c r="K112" s="495">
        <f t="shared" si="77"/>
        <v>0</v>
      </c>
      <c r="L112" s="495">
        <f t="shared" si="78"/>
        <v>0</v>
      </c>
      <c r="M112" s="495">
        <f t="shared" si="79"/>
        <v>0</v>
      </c>
      <c r="N112" s="496" t="e">
        <f t="shared" si="71"/>
        <v>#DIV/0!</v>
      </c>
      <c r="O112" s="497">
        <f t="shared" si="72"/>
        <v>0</v>
      </c>
      <c r="P112" s="497">
        <f t="shared" si="72"/>
        <v>0</v>
      </c>
      <c r="Q112" s="497">
        <f t="shared" si="73"/>
        <v>0</v>
      </c>
      <c r="R112" s="498">
        <f t="shared" si="74"/>
        <v>0</v>
      </c>
      <c r="S112" s="545">
        <f t="shared" si="19"/>
        <v>0</v>
      </c>
      <c r="T112" s="546">
        <f t="shared" si="20"/>
        <v>0</v>
      </c>
      <c r="U112" s="404"/>
      <c r="V112" s="476" t="str">
        <f t="shared" si="12"/>
        <v>Low</v>
      </c>
      <c r="W112" s="476" t="str">
        <f t="shared" si="13"/>
        <v>Low</v>
      </c>
      <c r="X112" s="477" t="str">
        <f t="shared" si="14"/>
        <v>Dog</v>
      </c>
      <c r="Y112" s="488"/>
      <c r="AA112" s="366"/>
      <c r="AB112" s="503"/>
      <c r="AC112" s="366"/>
      <c r="AD112" s="366"/>
      <c r="AE112" s="366"/>
      <c r="AF112" s="366"/>
      <c r="AG112" s="366"/>
      <c r="AH112" s="366"/>
      <c r="AI112" s="366"/>
      <c r="AJ112" s="366"/>
      <c r="AM112" s="76"/>
      <c r="AN112" s="76"/>
    </row>
    <row r="113" spans="1:40" ht="17.25" customHeight="1" x14ac:dyDescent="0.3">
      <c r="A113" s="366"/>
      <c r="B113" s="590"/>
      <c r="C113" s="365"/>
      <c r="D113" s="495"/>
      <c r="E113" s="468"/>
      <c r="F113" s="581"/>
      <c r="G113" s="470"/>
      <c r="H113" s="494"/>
      <c r="I113" s="471"/>
      <c r="J113" s="424"/>
      <c r="K113" s="495"/>
      <c r="L113" s="495"/>
      <c r="M113" s="495"/>
      <c r="N113" s="496"/>
      <c r="O113" s="497"/>
      <c r="P113" s="497"/>
      <c r="Q113" s="497"/>
      <c r="R113" s="498"/>
      <c r="S113" s="545"/>
      <c r="T113" s="546"/>
      <c r="U113" s="404"/>
      <c r="V113" s="476"/>
      <c r="W113" s="476"/>
      <c r="X113" s="477"/>
      <c r="Y113" s="488"/>
      <c r="AA113" s="366"/>
      <c r="AB113" s="503"/>
      <c r="AC113" s="366"/>
      <c r="AD113" s="366"/>
      <c r="AE113" s="366"/>
      <c r="AF113" s="366"/>
      <c r="AG113" s="366"/>
      <c r="AH113" s="366"/>
      <c r="AI113" s="366"/>
      <c r="AJ113" s="366"/>
      <c r="AM113" s="76"/>
      <c r="AN113" s="76"/>
    </row>
    <row r="114" spans="1:40" ht="17.25" customHeight="1" x14ac:dyDescent="0.3">
      <c r="A114" s="453"/>
      <c r="B114" s="479" t="s">
        <v>559</v>
      </c>
      <c r="C114" s="484" t="s">
        <v>560</v>
      </c>
      <c r="D114" s="484"/>
      <c r="E114" s="484"/>
      <c r="F114" s="484"/>
      <c r="G114" s="489"/>
      <c r="H114" s="489"/>
      <c r="I114" s="490">
        <f>SUBTOTAL(9,I115:I120)</f>
        <v>496</v>
      </c>
      <c r="J114" s="484"/>
      <c r="K114" s="490">
        <f>SUBTOTAL(9,K115:K120)</f>
        <v>133546867.86548686</v>
      </c>
      <c r="L114" s="490">
        <f>SUBTOTAL(9,L115:L120)</f>
        <v>441839000</v>
      </c>
      <c r="M114" s="480">
        <f>SUBTOTAL(9,M115:M121)</f>
        <v>308292132.13451314</v>
      </c>
      <c r="N114" s="491">
        <f t="shared" si="71"/>
        <v>0.30225233142725488</v>
      </c>
      <c r="O114" s="486">
        <f t="shared" si="72"/>
        <v>0.57276582064341675</v>
      </c>
      <c r="P114" s="486">
        <f t="shared" si="72"/>
        <v>0.60437833583859679</v>
      </c>
      <c r="Q114" s="486">
        <f t="shared" si="73"/>
        <v>7.2218986604542804E-2</v>
      </c>
      <c r="R114" s="487">
        <f t="shared" si="74"/>
        <v>25.152129817444219</v>
      </c>
      <c r="S114" s="487">
        <f t="shared" ref="S114:S119" si="81">R114*T$5</f>
        <v>74.02985074626865</v>
      </c>
      <c r="T114" s="487">
        <f t="shared" ref="T114:T119" si="82">IFERROR(S114*G114,0)</f>
        <v>0</v>
      </c>
      <c r="U114" s="404"/>
      <c r="V114" s="476" t="str">
        <f t="shared" ref="V114:V119" si="83">IF(B114&lt;&gt;"",IFERROR(IF($I114&gt;=$X$10,"High","Low"),""),"")</f>
        <v>High</v>
      </c>
      <c r="W114" s="476" t="str">
        <f t="shared" ref="W114:W119" si="84">IF(B114&lt;&gt;"",IFERROR(IF($L114&gt;=$X$12,"High","Low"),""),"")</f>
        <v>High</v>
      </c>
      <c r="X114" s="477" t="str">
        <f t="shared" ref="X114:X119" si="85">IF(B114&lt;&gt;"",IFERROR(IF(AND(V114="high",W114="high"),"Star",IF(AND(V114="low",W114="high"),"Puzzle",(IF(AND(V114="high",W114="low"),"Horse","Dog")))),""),"")</f>
        <v>Star</v>
      </c>
      <c r="AA114" s="366"/>
      <c r="AB114" s="503"/>
      <c r="AC114" s="366"/>
      <c r="AD114" s="366"/>
      <c r="AE114" s="366"/>
      <c r="AF114" s="366"/>
      <c r="AG114" s="366"/>
      <c r="AH114" s="366"/>
      <c r="AI114" s="366"/>
      <c r="AJ114" s="366"/>
      <c r="AM114" s="76"/>
      <c r="AN114" s="76"/>
    </row>
    <row r="115" spans="1:40" ht="17.25" customHeight="1" x14ac:dyDescent="0.3">
      <c r="A115" s="366">
        <f t="shared" ref="A115:A119" si="86">A114+1</f>
        <v>1</v>
      </c>
      <c r="B115" s="508" t="s">
        <v>640</v>
      </c>
      <c r="C115" s="365" t="s">
        <v>687</v>
      </c>
      <c r="D115" s="365"/>
      <c r="E115" s="468" t="s">
        <v>437</v>
      </c>
      <c r="F115" s="581">
        <v>141188.5918367347</v>
      </c>
      <c r="G115" s="470">
        <v>510930.23255813954</v>
      </c>
      <c r="H115" s="494">
        <f t="shared" ref="H115:H119" si="87">G115-F115</f>
        <v>369741.64072140481</v>
      </c>
      <c r="I115" s="471">
        <v>86</v>
      </c>
      <c r="J115" s="424"/>
      <c r="K115" s="495">
        <f t="shared" ref="K115:K119" si="88">I115*F115</f>
        <v>12142218.897959184</v>
      </c>
      <c r="L115" s="495">
        <f t="shared" ref="L115:L119" si="89">I115*G115</f>
        <v>43940000</v>
      </c>
      <c r="M115" s="495">
        <f t="shared" ref="M115:M119" si="90">L115-K115</f>
        <v>31797781.102040816</v>
      </c>
      <c r="N115" s="496">
        <f t="shared" si="71"/>
        <v>0.27633634269365459</v>
      </c>
      <c r="O115" s="497">
        <f t="shared" si="72"/>
        <v>5.6960409015663467E-2</v>
      </c>
      <c r="P115" s="497">
        <f t="shared" si="72"/>
        <v>6.2336621738456555E-2</v>
      </c>
      <c r="Q115" s="497">
        <f t="shared" si="73"/>
        <v>1.2521840419336051E-2</v>
      </c>
      <c r="R115" s="498">
        <f t="shared" si="74"/>
        <v>4.3610547667342798</v>
      </c>
      <c r="S115" s="545">
        <f t="shared" si="81"/>
        <v>12.835820895522387</v>
      </c>
      <c r="T115" s="546">
        <f t="shared" si="82"/>
        <v>6558208.9552238798</v>
      </c>
      <c r="U115" s="404"/>
      <c r="V115" s="476" t="str">
        <f t="shared" si="83"/>
        <v>High</v>
      </c>
      <c r="W115" s="476" t="str">
        <f t="shared" si="84"/>
        <v>High</v>
      </c>
      <c r="X115" s="477" t="str">
        <f t="shared" si="85"/>
        <v>Star</v>
      </c>
      <c r="AA115" s="366"/>
      <c r="AB115" s="503"/>
      <c r="AC115" s="366"/>
      <c r="AD115" s="366"/>
      <c r="AE115" s="366"/>
      <c r="AF115" s="366"/>
      <c r="AG115" s="366"/>
      <c r="AH115" s="366"/>
      <c r="AI115" s="366"/>
      <c r="AJ115" s="366"/>
      <c r="AM115" s="76"/>
      <c r="AN115" s="76"/>
    </row>
    <row r="116" spans="1:40" ht="17.25" customHeight="1" x14ac:dyDescent="0.3">
      <c r="A116" s="366">
        <f t="shared" si="86"/>
        <v>2</v>
      </c>
      <c r="B116" s="508" t="s">
        <v>641</v>
      </c>
      <c r="C116" s="365" t="s">
        <v>688</v>
      </c>
      <c r="D116" s="365"/>
      <c r="E116" s="468" t="s">
        <v>437</v>
      </c>
      <c r="F116" s="581">
        <v>234022.95238095237</v>
      </c>
      <c r="G116" s="470">
        <v>665294.1176470588</v>
      </c>
      <c r="H116" s="494">
        <f t="shared" si="87"/>
        <v>431271.16526610643</v>
      </c>
      <c r="I116" s="471">
        <v>51</v>
      </c>
      <c r="J116" s="424"/>
      <c r="K116" s="495">
        <f t="shared" si="88"/>
        <v>11935170.571428571</v>
      </c>
      <c r="L116" s="495">
        <f t="shared" si="89"/>
        <v>33930000</v>
      </c>
      <c r="M116" s="495">
        <f t="shared" si="90"/>
        <v>21994829.428571429</v>
      </c>
      <c r="N116" s="496">
        <f t="shared" si="71"/>
        <v>0.3517586375310513</v>
      </c>
      <c r="O116" s="497">
        <f t="shared" si="72"/>
        <v>4.3984221162982735E-2</v>
      </c>
      <c r="P116" s="497">
        <f t="shared" si="72"/>
        <v>4.3118837691562446E-2</v>
      </c>
      <c r="Q116" s="497">
        <f t="shared" si="73"/>
        <v>7.4257425742574254E-3</v>
      </c>
      <c r="R116" s="498">
        <f t="shared" si="74"/>
        <v>2.5862068965517242</v>
      </c>
      <c r="S116" s="545">
        <f t="shared" si="81"/>
        <v>7.6119402985074629</v>
      </c>
      <c r="T116" s="546">
        <f t="shared" si="82"/>
        <v>5064179.1044776123</v>
      </c>
      <c r="U116" s="404"/>
      <c r="V116" s="476" t="str">
        <f t="shared" si="83"/>
        <v>High</v>
      </c>
      <c r="W116" s="476" t="str">
        <f t="shared" si="84"/>
        <v>High</v>
      </c>
      <c r="X116" s="477" t="str">
        <f t="shared" si="85"/>
        <v>Star</v>
      </c>
      <c r="AA116" s="366"/>
      <c r="AB116" s="503"/>
      <c r="AC116" s="366"/>
      <c r="AD116" s="366"/>
      <c r="AE116" s="366"/>
      <c r="AF116" s="366"/>
      <c r="AG116" s="366"/>
      <c r="AH116" s="366"/>
      <c r="AI116" s="366"/>
      <c r="AJ116" s="366"/>
      <c r="AM116" s="76"/>
      <c r="AN116" s="76"/>
    </row>
    <row r="117" spans="1:40" ht="17.25" customHeight="1" x14ac:dyDescent="0.3">
      <c r="A117" s="366">
        <f t="shared" si="86"/>
        <v>3</v>
      </c>
      <c r="B117" s="508" t="s">
        <v>642</v>
      </c>
      <c r="C117" s="365" t="s">
        <v>689</v>
      </c>
      <c r="D117" s="365"/>
      <c r="E117" s="468" t="s">
        <v>437</v>
      </c>
      <c r="F117" s="581">
        <v>459000</v>
      </c>
      <c r="G117" s="470">
        <v>1420000</v>
      </c>
      <c r="H117" s="494">
        <f t="shared" si="87"/>
        <v>961000</v>
      </c>
      <c r="I117" s="471">
        <v>8</v>
      </c>
      <c r="J117" s="424"/>
      <c r="K117" s="495">
        <f t="shared" si="88"/>
        <v>3672000</v>
      </c>
      <c r="L117" s="495">
        <f t="shared" si="89"/>
        <v>11360000</v>
      </c>
      <c r="M117" s="495">
        <f t="shared" si="90"/>
        <v>7688000</v>
      </c>
      <c r="N117" s="496">
        <f t="shared" si="71"/>
        <v>0.32323943661971832</v>
      </c>
      <c r="O117" s="497">
        <f t="shared" si="72"/>
        <v>1.4726223177467841E-2</v>
      </c>
      <c r="P117" s="497">
        <f t="shared" si="72"/>
        <v>1.5071616047274933E-2</v>
      </c>
      <c r="Q117" s="497">
        <f t="shared" si="73"/>
        <v>1.1648223645894002E-3</v>
      </c>
      <c r="R117" s="498">
        <f t="shared" si="74"/>
        <v>0.40567951318458417</v>
      </c>
      <c r="S117" s="545">
        <f t="shared" si="81"/>
        <v>1.1940298507462686</v>
      </c>
      <c r="T117" s="546">
        <f t="shared" si="82"/>
        <v>1695522.3880597013</v>
      </c>
      <c r="U117" s="404"/>
      <c r="V117" s="476" t="str">
        <f t="shared" si="83"/>
        <v>Low</v>
      </c>
      <c r="W117" s="476" t="str">
        <f t="shared" si="84"/>
        <v>High</v>
      </c>
      <c r="X117" s="477" t="str">
        <f t="shared" si="85"/>
        <v>Puzzle</v>
      </c>
      <c r="AA117" s="366"/>
      <c r="AB117" s="503"/>
      <c r="AC117" s="366"/>
      <c r="AD117" s="366"/>
      <c r="AE117" s="366"/>
      <c r="AF117" s="366"/>
      <c r="AG117" s="366"/>
      <c r="AH117" s="366"/>
      <c r="AI117" s="366"/>
      <c r="AJ117" s="366"/>
      <c r="AM117" s="76"/>
      <c r="AN117" s="76"/>
    </row>
    <row r="118" spans="1:40" ht="17.25" customHeight="1" x14ac:dyDescent="0.3">
      <c r="A118" s="366">
        <f t="shared" si="86"/>
        <v>4</v>
      </c>
      <c r="B118" s="508" t="s">
        <v>643</v>
      </c>
      <c r="C118" s="365" t="s">
        <v>690</v>
      </c>
      <c r="D118" s="365"/>
      <c r="E118" s="468" t="s">
        <v>437</v>
      </c>
      <c r="F118" s="581">
        <v>366017.57232704404</v>
      </c>
      <c r="G118" s="470">
        <v>1211342.857142857</v>
      </c>
      <c r="H118" s="494">
        <f t="shared" si="87"/>
        <v>845325.28481581295</v>
      </c>
      <c r="I118" s="471">
        <v>175</v>
      </c>
      <c r="J118" s="424"/>
      <c r="K118" s="495">
        <f t="shared" si="88"/>
        <v>64053075.157232709</v>
      </c>
      <c r="L118" s="495">
        <f t="shared" si="89"/>
        <v>211984999.99999997</v>
      </c>
      <c r="M118" s="495">
        <f t="shared" si="90"/>
        <v>147931924.84276727</v>
      </c>
      <c r="N118" s="496">
        <f t="shared" si="71"/>
        <v>0.30215852610907712</v>
      </c>
      <c r="O118" s="497">
        <f t="shared" si="72"/>
        <v>0.27480091727777467</v>
      </c>
      <c r="P118" s="497">
        <f t="shared" si="72"/>
        <v>0.29000691628050473</v>
      </c>
      <c r="Q118" s="497">
        <f t="shared" si="73"/>
        <v>2.5480489225393126E-2</v>
      </c>
      <c r="R118" s="498">
        <f t="shared" si="74"/>
        <v>8.874239350912779</v>
      </c>
      <c r="S118" s="545">
        <f t="shared" si="81"/>
        <v>26.119402985074625</v>
      </c>
      <c r="T118" s="546">
        <f t="shared" si="82"/>
        <v>31639552.238805965</v>
      </c>
      <c r="U118" s="404"/>
      <c r="V118" s="476" t="str">
        <f t="shared" si="83"/>
        <v>High</v>
      </c>
      <c r="W118" s="476" t="str">
        <f t="shared" si="84"/>
        <v>High</v>
      </c>
      <c r="X118" s="477" t="str">
        <f t="shared" si="85"/>
        <v>Star</v>
      </c>
      <c r="AA118" s="366"/>
      <c r="AB118" s="503"/>
      <c r="AC118" s="366"/>
      <c r="AD118" s="366"/>
      <c r="AE118" s="366"/>
      <c r="AF118" s="366"/>
      <c r="AG118" s="366"/>
      <c r="AH118" s="366"/>
      <c r="AI118" s="366"/>
      <c r="AJ118" s="366"/>
      <c r="AM118" s="76"/>
      <c r="AN118" s="76"/>
    </row>
    <row r="119" spans="1:40" ht="17.25" customHeight="1" x14ac:dyDescent="0.3">
      <c r="A119" s="366">
        <f t="shared" si="86"/>
        <v>5</v>
      </c>
      <c r="B119" s="508" t="s">
        <v>700</v>
      </c>
      <c r="C119" s="365" t="s">
        <v>701</v>
      </c>
      <c r="D119" s="365"/>
      <c r="E119" s="468" t="s">
        <v>437</v>
      </c>
      <c r="F119" s="581">
        <v>237184.1093117409</v>
      </c>
      <c r="G119" s="470">
        <v>799000</v>
      </c>
      <c r="H119" s="494">
        <f t="shared" si="87"/>
        <v>561815.89068825915</v>
      </c>
      <c r="I119" s="471">
        <v>176</v>
      </c>
      <c r="J119" s="424"/>
      <c r="K119" s="495">
        <f t="shared" si="88"/>
        <v>41744403.238866396</v>
      </c>
      <c r="L119" s="495">
        <f t="shared" si="89"/>
        <v>140624000</v>
      </c>
      <c r="M119" s="495">
        <f t="shared" si="90"/>
        <v>98879596.761133611</v>
      </c>
      <c r="N119" s="496">
        <f t="shared" si="71"/>
        <v>0.29685120064047671</v>
      </c>
      <c r="O119" s="497">
        <f t="shared" si="72"/>
        <v>0.18229405000952797</v>
      </c>
      <c r="P119" s="497">
        <f t="shared" si="72"/>
        <v>0.19384434408079812</v>
      </c>
      <c r="Q119" s="497">
        <f t="shared" si="73"/>
        <v>2.5626092020966801E-2</v>
      </c>
      <c r="R119" s="498">
        <f t="shared" si="74"/>
        <v>8.9249492900608516</v>
      </c>
      <c r="S119" s="545">
        <f t="shared" si="81"/>
        <v>26.268656716417908</v>
      </c>
      <c r="T119" s="546">
        <f t="shared" si="82"/>
        <v>20988656.716417909</v>
      </c>
      <c r="U119" s="404"/>
      <c r="V119" s="476" t="str">
        <f t="shared" si="83"/>
        <v>High</v>
      </c>
      <c r="W119" s="476" t="str">
        <f t="shared" si="84"/>
        <v>High</v>
      </c>
      <c r="X119" s="477" t="str">
        <f t="shared" si="85"/>
        <v>Star</v>
      </c>
      <c r="AA119" s="366"/>
      <c r="AB119" s="503"/>
      <c r="AC119" s="366"/>
      <c r="AD119" s="366"/>
      <c r="AE119" s="366"/>
      <c r="AF119" s="366"/>
      <c r="AG119" s="366"/>
      <c r="AH119" s="366"/>
      <c r="AI119" s="366"/>
      <c r="AJ119" s="366"/>
      <c r="AM119" s="76"/>
      <c r="AN119" s="76"/>
    </row>
    <row r="120" spans="1:40" s="148" customFormat="1" ht="17.25" customHeight="1" x14ac:dyDescent="0.3">
      <c r="A120" s="366"/>
      <c r="B120" s="495"/>
      <c r="C120" s="495"/>
      <c r="D120" s="495"/>
      <c r="E120" s="468"/>
      <c r="F120" s="478"/>
      <c r="G120" s="494"/>
      <c r="H120" s="494"/>
      <c r="I120" s="471"/>
      <c r="J120" s="424"/>
      <c r="K120" s="495"/>
      <c r="L120" s="495"/>
      <c r="M120" s="495"/>
      <c r="N120" s="496"/>
      <c r="O120" s="497"/>
      <c r="P120" s="497"/>
      <c r="Q120" s="497"/>
      <c r="R120" s="498"/>
      <c r="S120" s="545">
        <f t="shared" si="19"/>
        <v>0</v>
      </c>
      <c r="T120" s="546">
        <f t="shared" si="20"/>
        <v>0</v>
      </c>
      <c r="U120" s="404"/>
      <c r="V120" s="476" t="str">
        <f t="shared" si="12"/>
        <v/>
      </c>
      <c r="W120" s="476" t="str">
        <f t="shared" si="13"/>
        <v/>
      </c>
      <c r="X120" s="477" t="str">
        <f t="shared" si="14"/>
        <v/>
      </c>
      <c r="Y120" s="374"/>
      <c r="Z120" s="571"/>
      <c r="AA120" s="453"/>
      <c r="AB120" s="504"/>
      <c r="AC120" s="453"/>
      <c r="AD120" s="453"/>
      <c r="AE120" s="453"/>
      <c r="AF120" s="453"/>
      <c r="AG120" s="453"/>
      <c r="AH120" s="453"/>
      <c r="AI120" s="453"/>
      <c r="AJ120" s="453"/>
      <c r="AK120" s="505"/>
      <c r="AL120" s="506"/>
      <c r="AM120" s="138"/>
      <c r="AN120" s="138"/>
    </row>
    <row r="121" spans="1:40" ht="17.25" customHeight="1" x14ac:dyDescent="0.3">
      <c r="A121" s="453"/>
      <c r="B121" s="510" t="s">
        <v>29</v>
      </c>
      <c r="C121" s="510"/>
      <c r="D121" s="510"/>
      <c r="E121" s="510"/>
      <c r="F121" s="510"/>
      <c r="G121" s="511"/>
      <c r="H121" s="511"/>
      <c r="I121" s="513">
        <f>SUBTOTAL(9,I123:I165)</f>
        <v>3819</v>
      </c>
      <c r="J121" s="514"/>
      <c r="K121" s="514">
        <f>SUBTOTAL(9,K123:K165)</f>
        <v>27529941.796816558</v>
      </c>
      <c r="L121" s="514">
        <f>SUBTOTAL(9,L123:L165)</f>
        <v>60965000</v>
      </c>
      <c r="M121" s="514">
        <f>SUBTOTAL(9,M123:M165)</f>
        <v>33435058.203183442</v>
      </c>
      <c r="N121" s="515">
        <f t="shared" ref="N121:N128" si="91">K121/L121</f>
        <v>0.45156961858142469</v>
      </c>
      <c r="O121" s="516">
        <f t="shared" ref="O121:P128" si="92">L121/L$10</f>
        <v>7.9030298944923152E-2</v>
      </c>
      <c r="P121" s="516">
        <f t="shared" si="92"/>
        <v>6.5546352725893722E-2</v>
      </c>
      <c r="Q121" s="516">
        <f t="shared" ref="Q121:Q128" si="93">I121/I$10</f>
        <v>0.55605707629586487</v>
      </c>
      <c r="R121" s="517">
        <f t="shared" ref="R121:R128" si="94">I121/$K$5*100</f>
        <v>193.66125760649086</v>
      </c>
      <c r="S121" s="517">
        <f t="shared" si="19"/>
        <v>570</v>
      </c>
      <c r="T121" s="517">
        <f t="shared" si="20"/>
        <v>0</v>
      </c>
      <c r="U121" s="404"/>
      <c r="V121" s="476" t="str">
        <f t="shared" si="12"/>
        <v>High</v>
      </c>
      <c r="W121" s="476" t="str">
        <f t="shared" si="13"/>
        <v>High</v>
      </c>
      <c r="X121" s="477" t="str">
        <f t="shared" si="14"/>
        <v>Star</v>
      </c>
      <c r="AA121" s="366"/>
      <c r="AB121" s="503"/>
      <c r="AC121" s="366"/>
      <c r="AD121" s="366"/>
      <c r="AE121" s="366"/>
      <c r="AF121" s="366"/>
      <c r="AG121" s="366"/>
      <c r="AH121" s="366"/>
      <c r="AI121" s="366"/>
      <c r="AJ121" s="366"/>
      <c r="AM121" s="76"/>
      <c r="AN121" s="76"/>
    </row>
    <row r="122" spans="1:40" ht="17.25" customHeight="1" x14ac:dyDescent="0.3">
      <c r="A122" s="453"/>
      <c r="B122" s="479" t="s">
        <v>486</v>
      </c>
      <c r="C122" s="480" t="s">
        <v>487</v>
      </c>
      <c r="D122" s="480"/>
      <c r="E122" s="480"/>
      <c r="F122" s="482"/>
      <c r="G122" s="481"/>
      <c r="H122" s="481"/>
      <c r="I122" s="482">
        <f>SUBTOTAL(9,I123:I129)</f>
        <v>450</v>
      </c>
      <c r="J122" s="484"/>
      <c r="K122" s="480">
        <f>SUBTOTAL(9,K123:K129)</f>
        <v>3437188.3898711577</v>
      </c>
      <c r="L122" s="480">
        <f>SUBTOTAL(9,L123:L129)</f>
        <v>20441000</v>
      </c>
      <c r="M122" s="480">
        <f>SUBTOTAL(9,M123:M129)</f>
        <v>17003811.610128842</v>
      </c>
      <c r="N122" s="491">
        <f t="shared" si="91"/>
        <v>0.16815167505851758</v>
      </c>
      <c r="O122" s="492">
        <f t="shared" si="92"/>
        <v>2.6498127462202477E-2</v>
      </c>
      <c r="P122" s="492">
        <f t="shared" si="92"/>
        <v>3.333440685848825E-2</v>
      </c>
      <c r="Q122" s="492">
        <f t="shared" si="93"/>
        <v>6.5521258008153754E-2</v>
      </c>
      <c r="R122" s="493">
        <f t="shared" si="94"/>
        <v>22.819472616632861</v>
      </c>
      <c r="S122" s="543">
        <f>R122*T$5</f>
        <v>67.164179104477611</v>
      </c>
      <c r="T122" s="543">
        <f>S122*U$5</f>
        <v>0</v>
      </c>
      <c r="U122" s="404"/>
      <c r="V122" s="476" t="str">
        <f t="shared" si="12"/>
        <v>High</v>
      </c>
      <c r="W122" s="476" t="str">
        <f t="shared" si="13"/>
        <v>High</v>
      </c>
      <c r="X122" s="477" t="str">
        <f t="shared" si="14"/>
        <v>Star</v>
      </c>
      <c r="AA122" s="366"/>
      <c r="AB122" s="503"/>
      <c r="AC122" s="366"/>
      <c r="AD122" s="366"/>
      <c r="AE122" s="366"/>
      <c r="AF122" s="366"/>
      <c r="AG122" s="366"/>
      <c r="AH122" s="366"/>
      <c r="AI122" s="366"/>
      <c r="AJ122" s="366"/>
      <c r="AM122" s="76"/>
      <c r="AN122" s="76"/>
    </row>
    <row r="123" spans="1:40" ht="17.25" customHeight="1" x14ac:dyDescent="0.3">
      <c r="A123" s="366">
        <v>1</v>
      </c>
      <c r="B123" s="518" t="s">
        <v>509</v>
      </c>
      <c r="C123" s="365" t="s">
        <v>543</v>
      </c>
      <c r="D123" s="365"/>
      <c r="E123" s="468" t="s">
        <v>471</v>
      </c>
      <c r="F123" s="581">
        <v>6257.796875</v>
      </c>
      <c r="G123" s="470">
        <v>49387.096774193546</v>
      </c>
      <c r="H123" s="494">
        <f t="shared" ref="H123:H128" si="95">G123-F123</f>
        <v>43129.299899193546</v>
      </c>
      <c r="I123" s="471">
        <v>62</v>
      </c>
      <c r="J123" s="424"/>
      <c r="K123" s="495">
        <f t="shared" ref="K123:K128" si="96">I123*F123</f>
        <v>387983.40625</v>
      </c>
      <c r="L123" s="495">
        <f t="shared" ref="L123:L128" si="97">I123*G123</f>
        <v>3062000</v>
      </c>
      <c r="M123" s="495">
        <f t="shared" ref="M123:M128" si="98">L123-K123</f>
        <v>2674016.59375</v>
      </c>
      <c r="N123" s="496">
        <f t="shared" si="91"/>
        <v>0.12670914639124756</v>
      </c>
      <c r="O123" s="497">
        <f t="shared" si="92"/>
        <v>3.9693393811097294E-3</v>
      </c>
      <c r="P123" s="497">
        <f t="shared" si="92"/>
        <v>5.2421632941001507E-3</v>
      </c>
      <c r="Q123" s="497">
        <f t="shared" si="93"/>
        <v>9.0273733255678505E-3</v>
      </c>
      <c r="R123" s="498">
        <f t="shared" si="94"/>
        <v>3.1440162271805274</v>
      </c>
      <c r="S123" s="545">
        <f t="shared" ref="S123:S165" si="99">R123*T$5</f>
        <v>9.2537313432835813</v>
      </c>
      <c r="T123" s="546">
        <f t="shared" ref="T123:T165" si="100">IFERROR(S123*G123,0)</f>
        <v>457014.92537313426</v>
      </c>
      <c r="U123" s="404"/>
      <c r="V123" s="476" t="str">
        <f t="shared" ref="V123:V167" si="101">IF(B123&lt;&gt;"",IFERROR(IF($I123&gt;=$X$10,"High","Low"),""),"")</f>
        <v>High</v>
      </c>
      <c r="W123" s="476" t="str">
        <f t="shared" ref="W123:W167" si="102">IF(B123&lt;&gt;"",IFERROR(IF($L123&gt;=$X$12,"High","Low"),""),"")</f>
        <v>Low</v>
      </c>
      <c r="X123" s="477" t="str">
        <f t="shared" ref="X123:X167" si="103">IF(B123&lt;&gt;"",IFERROR(IF(AND(V123="high",W123="high"),"Star",IF(AND(V123="low",W123="high"),"Puzzle",(IF(AND(V123="high",W123="low"),"Horse","Dog")))),""),"")</f>
        <v>Horse</v>
      </c>
      <c r="AA123" s="366"/>
      <c r="AB123" s="503"/>
      <c r="AC123" s="366"/>
      <c r="AD123" s="366"/>
      <c r="AE123" s="366"/>
      <c r="AF123" s="366"/>
      <c r="AG123" s="366"/>
      <c r="AH123" s="366"/>
      <c r="AI123" s="366"/>
      <c r="AJ123" s="366"/>
      <c r="AM123" s="76"/>
      <c r="AN123" s="76"/>
    </row>
    <row r="124" spans="1:40" ht="17.25" customHeight="1" x14ac:dyDescent="0.3">
      <c r="A124" s="366">
        <f t="shared" ref="A124:A128" si="104">A123+1</f>
        <v>2</v>
      </c>
      <c r="B124" s="518" t="s">
        <v>510</v>
      </c>
      <c r="C124" s="365" t="s">
        <v>544</v>
      </c>
      <c r="D124" s="365"/>
      <c r="E124" s="468" t="s">
        <v>471</v>
      </c>
      <c r="F124" s="581">
        <v>9476.7311827956983</v>
      </c>
      <c r="G124" s="470">
        <v>49241.93548387097</v>
      </c>
      <c r="H124" s="494">
        <f t="shared" si="95"/>
        <v>39765.204301075268</v>
      </c>
      <c r="I124" s="471">
        <v>124</v>
      </c>
      <c r="J124" s="424"/>
      <c r="K124" s="495">
        <f t="shared" si="96"/>
        <v>1175114.6666666665</v>
      </c>
      <c r="L124" s="495">
        <f t="shared" si="97"/>
        <v>6106000</v>
      </c>
      <c r="M124" s="495">
        <f t="shared" si="98"/>
        <v>4930885.333333334</v>
      </c>
      <c r="N124" s="496">
        <f t="shared" si="91"/>
        <v>0.19245245114095422</v>
      </c>
      <c r="O124" s="497">
        <f t="shared" si="92"/>
        <v>7.9153449578889656E-3</v>
      </c>
      <c r="P124" s="497">
        <f t="shared" si="92"/>
        <v>9.6665466333427791E-3</v>
      </c>
      <c r="Q124" s="497">
        <f t="shared" si="93"/>
        <v>1.8054746651135701E-2</v>
      </c>
      <c r="R124" s="498">
        <f t="shared" si="94"/>
        <v>6.2880324543610548</v>
      </c>
      <c r="S124" s="545">
        <f t="shared" si="99"/>
        <v>18.507462686567163</v>
      </c>
      <c r="T124" s="546">
        <f t="shared" si="100"/>
        <v>911343.28358208947</v>
      </c>
      <c r="U124" s="404"/>
      <c r="V124" s="476" t="str">
        <f t="shared" si="101"/>
        <v>High</v>
      </c>
      <c r="W124" s="476" t="str">
        <f t="shared" si="102"/>
        <v>Low</v>
      </c>
      <c r="X124" s="477" t="str">
        <f t="shared" si="103"/>
        <v>Horse</v>
      </c>
      <c r="AA124" s="366"/>
      <c r="AB124" s="503"/>
      <c r="AC124" s="366"/>
      <c r="AD124" s="366"/>
      <c r="AE124" s="366"/>
      <c r="AF124" s="366"/>
      <c r="AG124" s="366"/>
      <c r="AH124" s="366"/>
      <c r="AI124" s="366"/>
      <c r="AJ124" s="366"/>
      <c r="AM124" s="76"/>
      <c r="AN124" s="76"/>
    </row>
    <row r="125" spans="1:40" ht="17.25" customHeight="1" x14ac:dyDescent="0.3">
      <c r="A125" s="366">
        <f t="shared" si="104"/>
        <v>3</v>
      </c>
      <c r="B125" s="518" t="s">
        <v>511</v>
      </c>
      <c r="C125" s="365" t="s">
        <v>468</v>
      </c>
      <c r="D125" s="365"/>
      <c r="E125" s="468" t="s">
        <v>471</v>
      </c>
      <c r="F125" s="581">
        <v>5505.4629629629626</v>
      </c>
      <c r="G125" s="470">
        <v>49782.608695652176</v>
      </c>
      <c r="H125" s="494">
        <f t="shared" si="95"/>
        <v>44277.145732689212</v>
      </c>
      <c r="I125" s="471">
        <v>46</v>
      </c>
      <c r="J125" s="424"/>
      <c r="K125" s="495">
        <f t="shared" si="96"/>
        <v>253251.29629629629</v>
      </c>
      <c r="L125" s="495">
        <f t="shared" si="97"/>
        <v>2290000</v>
      </c>
      <c r="M125" s="495">
        <f t="shared" si="98"/>
        <v>2036748.7037037038</v>
      </c>
      <c r="N125" s="496">
        <f t="shared" si="91"/>
        <v>0.11059008571890667</v>
      </c>
      <c r="O125" s="497">
        <f t="shared" si="92"/>
        <v>2.9685784398240629E-3</v>
      </c>
      <c r="P125" s="497">
        <f t="shared" si="92"/>
        <v>3.9928582787470291E-3</v>
      </c>
      <c r="Q125" s="497">
        <f t="shared" si="93"/>
        <v>6.697728596389051E-3</v>
      </c>
      <c r="R125" s="498">
        <f t="shared" si="94"/>
        <v>2.3326572008113589</v>
      </c>
      <c r="S125" s="545">
        <f t="shared" si="99"/>
        <v>6.8656716417910442</v>
      </c>
      <c r="T125" s="546">
        <f t="shared" si="100"/>
        <v>341791.04477611941</v>
      </c>
      <c r="U125" s="404"/>
      <c r="V125" s="476" t="str">
        <f t="shared" si="101"/>
        <v>High</v>
      </c>
      <c r="W125" s="476" t="str">
        <f t="shared" si="102"/>
        <v>Low</v>
      </c>
      <c r="X125" s="477" t="str">
        <f t="shared" si="103"/>
        <v>Horse</v>
      </c>
      <c r="AA125" s="366"/>
      <c r="AB125" s="503"/>
      <c r="AC125" s="366"/>
      <c r="AD125" s="366"/>
      <c r="AE125" s="366"/>
      <c r="AF125" s="366"/>
      <c r="AG125" s="366"/>
      <c r="AH125" s="366"/>
      <c r="AI125" s="366"/>
      <c r="AJ125" s="366"/>
      <c r="AM125" s="76"/>
      <c r="AN125" s="76"/>
    </row>
    <row r="126" spans="1:40" ht="17.25" customHeight="1" x14ac:dyDescent="0.3">
      <c r="A126" s="366">
        <f t="shared" si="104"/>
        <v>4</v>
      </c>
      <c r="B126" s="518" t="s">
        <v>512</v>
      </c>
      <c r="C126" s="365" t="s">
        <v>545</v>
      </c>
      <c r="D126" s="365"/>
      <c r="E126" s="468" t="s">
        <v>471</v>
      </c>
      <c r="F126" s="581">
        <v>18492.565656565657</v>
      </c>
      <c r="G126" s="470">
        <v>59348.837209302328</v>
      </c>
      <c r="H126" s="494">
        <f t="shared" si="95"/>
        <v>40856.271552736667</v>
      </c>
      <c r="I126" s="471">
        <v>86</v>
      </c>
      <c r="J126" s="424"/>
      <c r="K126" s="495">
        <f t="shared" si="96"/>
        <v>1590360.6464646466</v>
      </c>
      <c r="L126" s="495">
        <f t="shared" si="97"/>
        <v>5104000</v>
      </c>
      <c r="M126" s="495">
        <f t="shared" si="98"/>
        <v>3513639.3535353532</v>
      </c>
      <c r="N126" s="496">
        <f t="shared" si="91"/>
        <v>0.31159103574934299</v>
      </c>
      <c r="O126" s="497">
        <f t="shared" si="92"/>
        <v>6.6164298501580864E-3</v>
      </c>
      <c r="P126" s="497">
        <f t="shared" si="92"/>
        <v>6.8881663976431001E-3</v>
      </c>
      <c r="Q126" s="497">
        <f t="shared" si="93"/>
        <v>1.2521840419336051E-2</v>
      </c>
      <c r="R126" s="498">
        <f t="shared" si="94"/>
        <v>4.3610547667342798</v>
      </c>
      <c r="S126" s="545">
        <f t="shared" si="99"/>
        <v>12.835820895522387</v>
      </c>
      <c r="T126" s="546">
        <f t="shared" si="100"/>
        <v>761791.04477611941</v>
      </c>
      <c r="U126" s="404"/>
      <c r="V126" s="476" t="str">
        <f t="shared" si="101"/>
        <v>High</v>
      </c>
      <c r="W126" s="476" t="str">
        <f t="shared" si="102"/>
        <v>Low</v>
      </c>
      <c r="X126" s="477" t="str">
        <f t="shared" si="103"/>
        <v>Horse</v>
      </c>
      <c r="AA126" s="366"/>
      <c r="AB126" s="503"/>
      <c r="AC126" s="366"/>
      <c r="AD126" s="366"/>
      <c r="AE126" s="366"/>
      <c r="AF126" s="366"/>
      <c r="AG126" s="366"/>
      <c r="AH126" s="366"/>
      <c r="AI126" s="366"/>
      <c r="AJ126" s="366"/>
      <c r="AM126" s="76"/>
      <c r="AN126" s="76"/>
    </row>
    <row r="127" spans="1:40" ht="17.25" customHeight="1" x14ac:dyDescent="0.3">
      <c r="A127" s="366">
        <f t="shared" si="104"/>
        <v>5</v>
      </c>
      <c r="B127" s="518" t="s">
        <v>574</v>
      </c>
      <c r="C127" s="365" t="s">
        <v>582</v>
      </c>
      <c r="D127" s="365"/>
      <c r="E127" s="468" t="s">
        <v>471</v>
      </c>
      <c r="F127" s="581"/>
      <c r="G127" s="470">
        <v>45000</v>
      </c>
      <c r="H127" s="494">
        <f t="shared" si="95"/>
        <v>45000</v>
      </c>
      <c r="I127" s="471">
        <v>0</v>
      </c>
      <c r="J127" s="424"/>
      <c r="K127" s="495">
        <f t="shared" si="96"/>
        <v>0</v>
      </c>
      <c r="L127" s="495">
        <f t="shared" si="97"/>
        <v>0</v>
      </c>
      <c r="M127" s="495">
        <f t="shared" si="98"/>
        <v>0</v>
      </c>
      <c r="N127" s="496" t="e">
        <f t="shared" si="91"/>
        <v>#DIV/0!</v>
      </c>
      <c r="O127" s="497">
        <f t="shared" si="92"/>
        <v>0</v>
      </c>
      <c r="P127" s="497">
        <f t="shared" si="92"/>
        <v>0</v>
      </c>
      <c r="Q127" s="497">
        <f t="shared" si="93"/>
        <v>0</v>
      </c>
      <c r="R127" s="498">
        <f t="shared" si="94"/>
        <v>0</v>
      </c>
      <c r="S127" s="545">
        <f t="shared" si="99"/>
        <v>0</v>
      </c>
      <c r="T127" s="546">
        <f t="shared" si="100"/>
        <v>0</v>
      </c>
      <c r="U127" s="404"/>
      <c r="V127" s="476" t="str">
        <f t="shared" si="101"/>
        <v>Low</v>
      </c>
      <c r="W127" s="476" t="str">
        <f t="shared" si="102"/>
        <v>Low</v>
      </c>
      <c r="X127" s="477" t="str">
        <f t="shared" si="103"/>
        <v>Dog</v>
      </c>
      <c r="AA127" s="366"/>
      <c r="AB127" s="503"/>
      <c r="AC127" s="366"/>
      <c r="AD127" s="366"/>
      <c r="AE127" s="366"/>
      <c r="AF127" s="366"/>
      <c r="AG127" s="366"/>
      <c r="AH127" s="366"/>
      <c r="AI127" s="366"/>
      <c r="AJ127" s="366"/>
      <c r="AM127" s="76"/>
      <c r="AN127" s="76"/>
    </row>
    <row r="128" spans="1:40" ht="17.25" customHeight="1" x14ac:dyDescent="0.3">
      <c r="A128" s="366">
        <f t="shared" si="104"/>
        <v>6</v>
      </c>
      <c r="B128" s="518" t="s">
        <v>705</v>
      </c>
      <c r="C128" s="365" t="s">
        <v>706</v>
      </c>
      <c r="D128" s="365"/>
      <c r="E128" s="468" t="s">
        <v>471</v>
      </c>
      <c r="F128" s="581">
        <v>230.8967741935484</v>
      </c>
      <c r="G128" s="470">
        <v>29386.363636363636</v>
      </c>
      <c r="H128" s="494">
        <f t="shared" si="95"/>
        <v>29155.466862170088</v>
      </c>
      <c r="I128" s="471">
        <v>132</v>
      </c>
      <c r="J128" s="424"/>
      <c r="K128" s="495">
        <f t="shared" si="96"/>
        <v>30478.374193548389</v>
      </c>
      <c r="L128" s="495">
        <f t="shared" si="97"/>
        <v>3879000</v>
      </c>
      <c r="M128" s="495">
        <f t="shared" si="98"/>
        <v>3848521.6258064518</v>
      </c>
      <c r="N128" s="496">
        <f t="shared" si="91"/>
        <v>7.8572761519846331E-3</v>
      </c>
      <c r="O128" s="497">
        <f t="shared" si="92"/>
        <v>5.0284348332216332E-3</v>
      </c>
      <c r="P128" s="497">
        <f t="shared" si="92"/>
        <v>7.5446722546551942E-3</v>
      </c>
      <c r="Q128" s="497">
        <f t="shared" si="93"/>
        <v>1.9219569015725101E-2</v>
      </c>
      <c r="R128" s="498">
        <f t="shared" si="94"/>
        <v>6.6937119675456387</v>
      </c>
      <c r="S128" s="545">
        <f t="shared" si="99"/>
        <v>19.701492537313431</v>
      </c>
      <c r="T128" s="546">
        <f t="shared" si="100"/>
        <v>578955.22388059692</v>
      </c>
      <c r="U128" s="404"/>
      <c r="V128" s="476" t="str">
        <f t="shared" si="101"/>
        <v>High</v>
      </c>
      <c r="W128" s="476" t="str">
        <f t="shared" si="102"/>
        <v>Low</v>
      </c>
      <c r="X128" s="477" t="str">
        <f t="shared" si="103"/>
        <v>Horse</v>
      </c>
      <c r="AA128" s="366"/>
      <c r="AB128" s="503"/>
      <c r="AC128" s="366"/>
      <c r="AD128" s="366"/>
      <c r="AE128" s="366"/>
      <c r="AF128" s="366"/>
      <c r="AG128" s="366"/>
      <c r="AH128" s="366"/>
      <c r="AI128" s="366"/>
      <c r="AJ128" s="366"/>
      <c r="AM128" s="76"/>
      <c r="AN128" s="76"/>
    </row>
    <row r="129" spans="1:40" ht="17.25" customHeight="1" x14ac:dyDescent="0.3">
      <c r="A129" s="366"/>
      <c r="B129" s="518"/>
      <c r="C129" s="518"/>
      <c r="D129" s="495"/>
      <c r="E129" s="468"/>
      <c r="F129" s="478"/>
      <c r="G129" s="470"/>
      <c r="H129" s="494"/>
      <c r="I129" s="471"/>
      <c r="J129" s="424"/>
      <c r="K129" s="495"/>
      <c r="L129" s="495"/>
      <c r="M129" s="495"/>
      <c r="N129" s="496"/>
      <c r="O129" s="497"/>
      <c r="P129" s="497"/>
      <c r="Q129" s="497"/>
      <c r="R129" s="498"/>
      <c r="S129" s="545">
        <f t="shared" si="99"/>
        <v>0</v>
      </c>
      <c r="T129" s="546">
        <f t="shared" si="100"/>
        <v>0</v>
      </c>
      <c r="U129" s="404"/>
      <c r="V129" s="476" t="str">
        <f t="shared" si="101"/>
        <v/>
      </c>
      <c r="W129" s="476" t="str">
        <f t="shared" si="102"/>
        <v/>
      </c>
      <c r="X129" s="477" t="str">
        <f t="shared" si="103"/>
        <v/>
      </c>
      <c r="AA129" s="366"/>
      <c r="AB129" s="503"/>
      <c r="AC129" s="366"/>
      <c r="AD129" s="366"/>
      <c r="AE129" s="366"/>
      <c r="AF129" s="366"/>
      <c r="AG129" s="366"/>
      <c r="AH129" s="366"/>
      <c r="AI129" s="366"/>
      <c r="AJ129" s="366"/>
      <c r="AM129" s="76"/>
      <c r="AN129" s="76"/>
    </row>
    <row r="130" spans="1:40" ht="17.25" customHeight="1" x14ac:dyDescent="0.3">
      <c r="A130" s="453"/>
      <c r="B130" s="479" t="s">
        <v>488</v>
      </c>
      <c r="C130" s="480" t="s">
        <v>489</v>
      </c>
      <c r="D130" s="480"/>
      <c r="E130" s="480"/>
      <c r="F130" s="480"/>
      <c r="G130" s="481"/>
      <c r="H130" s="481"/>
      <c r="I130" s="482">
        <f>SUBTOTAL(9,I131:I136)</f>
        <v>888</v>
      </c>
      <c r="J130" s="484"/>
      <c r="K130" s="480">
        <f>SUBTOTAL(9,K131:K136)</f>
        <v>4658723.4126924211</v>
      </c>
      <c r="L130" s="480">
        <f>SUBTOTAL(9,L131:L136)</f>
        <v>20965000</v>
      </c>
      <c r="M130" s="480">
        <f>SUBTOTAL(9,M131:M136)</f>
        <v>16306276.587307578</v>
      </c>
      <c r="N130" s="491">
        <f t="shared" ref="N130:N135" si="105">K130/L130</f>
        <v>0.22221432924838641</v>
      </c>
      <c r="O130" s="492">
        <f t="shared" ref="O130:P135" si="106">L130/L$10</f>
        <v>2.717740043271244E-2</v>
      </c>
      <c r="P130" s="492">
        <f t="shared" si="106"/>
        <v>3.1966953679054166E-2</v>
      </c>
      <c r="Q130" s="492">
        <f t="shared" ref="Q130:Q135" si="107">I130/I$10</f>
        <v>0.1292952824694234</v>
      </c>
      <c r="R130" s="493">
        <f t="shared" ref="R130:R135" si="108">I130/$K$5*100</f>
        <v>45.030425963488845</v>
      </c>
      <c r="S130" s="493">
        <f t="shared" si="99"/>
        <v>132.53731343283582</v>
      </c>
      <c r="T130" s="493">
        <f t="shared" si="100"/>
        <v>0</v>
      </c>
      <c r="U130" s="404"/>
      <c r="V130" s="476" t="str">
        <f t="shared" si="101"/>
        <v>High</v>
      </c>
      <c r="W130" s="476" t="str">
        <f t="shared" si="102"/>
        <v>High</v>
      </c>
      <c r="X130" s="477" t="str">
        <f t="shared" si="103"/>
        <v>Star</v>
      </c>
      <c r="Y130" s="488"/>
      <c r="AA130" s="366"/>
      <c r="AB130" s="503"/>
      <c r="AC130" s="366"/>
      <c r="AD130" s="366"/>
      <c r="AE130" s="366"/>
      <c r="AF130" s="366"/>
      <c r="AG130" s="366"/>
      <c r="AH130" s="366"/>
      <c r="AI130" s="366"/>
      <c r="AJ130" s="366"/>
      <c r="AM130" s="76"/>
      <c r="AN130" s="76"/>
    </row>
    <row r="131" spans="1:40" ht="17.25" customHeight="1" x14ac:dyDescent="0.3">
      <c r="A131" s="366">
        <f>A130+1</f>
        <v>1</v>
      </c>
      <c r="B131" s="590" t="s">
        <v>467</v>
      </c>
      <c r="C131" s="365" t="s">
        <v>469</v>
      </c>
      <c r="D131" s="365"/>
      <c r="E131" s="468" t="s">
        <v>320</v>
      </c>
      <c r="F131" s="581"/>
      <c r="G131" s="470">
        <v>25000</v>
      </c>
      <c r="H131" s="494">
        <f t="shared" ref="H131:H135" si="109">G131-F131</f>
        <v>25000</v>
      </c>
      <c r="I131" s="471">
        <v>0</v>
      </c>
      <c r="J131" s="424"/>
      <c r="K131" s="495">
        <f t="shared" ref="K131:K135" si="110">I131*F131</f>
        <v>0</v>
      </c>
      <c r="L131" s="495">
        <f t="shared" ref="L131:L135" si="111">I131*G131</f>
        <v>0</v>
      </c>
      <c r="M131" s="495">
        <f t="shared" ref="M131:M135" si="112">L131-K131</f>
        <v>0</v>
      </c>
      <c r="N131" s="496" t="e">
        <f t="shared" si="105"/>
        <v>#DIV/0!</v>
      </c>
      <c r="O131" s="497">
        <f t="shared" si="106"/>
        <v>0</v>
      </c>
      <c r="P131" s="497">
        <f t="shared" si="106"/>
        <v>0</v>
      </c>
      <c r="Q131" s="497">
        <f t="shared" si="107"/>
        <v>0</v>
      </c>
      <c r="R131" s="498">
        <f t="shared" si="108"/>
        <v>0</v>
      </c>
      <c r="S131" s="545">
        <f t="shared" si="99"/>
        <v>0</v>
      </c>
      <c r="T131" s="546">
        <f t="shared" si="100"/>
        <v>0</v>
      </c>
      <c r="U131" s="404"/>
      <c r="V131" s="476" t="str">
        <f t="shared" si="101"/>
        <v>Low</v>
      </c>
      <c r="W131" s="476" t="str">
        <f t="shared" si="102"/>
        <v>Low</v>
      </c>
      <c r="X131" s="477" t="str">
        <f t="shared" si="103"/>
        <v>Dog</v>
      </c>
      <c r="Y131" s="488"/>
      <c r="AA131" s="366"/>
      <c r="AB131" s="503"/>
      <c r="AC131" s="366"/>
      <c r="AD131" s="366"/>
      <c r="AE131" s="366"/>
      <c r="AF131" s="366"/>
      <c r="AG131" s="366"/>
      <c r="AH131" s="366"/>
      <c r="AI131" s="366"/>
      <c r="AJ131" s="366"/>
      <c r="AM131" s="76"/>
      <c r="AN131" s="76"/>
    </row>
    <row r="132" spans="1:40" ht="17.25" customHeight="1" x14ac:dyDescent="0.3">
      <c r="A132" s="366">
        <f t="shared" ref="A132:A135" si="113">A131+1</f>
        <v>2</v>
      </c>
      <c r="B132" s="590" t="s">
        <v>438</v>
      </c>
      <c r="C132" s="365" t="s">
        <v>470</v>
      </c>
      <c r="D132" s="365"/>
      <c r="E132" s="468" t="s">
        <v>320</v>
      </c>
      <c r="F132" s="581">
        <v>5987.1560283687941</v>
      </c>
      <c r="G132" s="470">
        <v>25000</v>
      </c>
      <c r="H132" s="494">
        <f t="shared" si="109"/>
        <v>19012.843971631206</v>
      </c>
      <c r="I132" s="471">
        <v>305</v>
      </c>
      <c r="J132" s="424"/>
      <c r="K132" s="495">
        <f t="shared" si="110"/>
        <v>1826082.5886524823</v>
      </c>
      <c r="L132" s="495">
        <f t="shared" si="111"/>
        <v>7625000</v>
      </c>
      <c r="M132" s="495">
        <f t="shared" si="112"/>
        <v>5798917.4113475177</v>
      </c>
      <c r="N132" s="496">
        <f t="shared" si="105"/>
        <v>0.23948624113475178</v>
      </c>
      <c r="O132" s="497">
        <f t="shared" si="106"/>
        <v>9.8844587788901664E-3</v>
      </c>
      <c r="P132" s="497">
        <f t="shared" si="106"/>
        <v>1.1368243589189291E-2</v>
      </c>
      <c r="Q132" s="497">
        <f t="shared" si="107"/>
        <v>4.4408852649970881E-2</v>
      </c>
      <c r="R132" s="498">
        <f t="shared" si="108"/>
        <v>15.466531440162271</v>
      </c>
      <c r="S132" s="545">
        <f t="shared" si="99"/>
        <v>45.522388059701491</v>
      </c>
      <c r="T132" s="546">
        <f t="shared" si="100"/>
        <v>1138059.7014925373</v>
      </c>
      <c r="U132" s="404"/>
      <c r="V132" s="476" t="str">
        <f t="shared" si="101"/>
        <v>High</v>
      </c>
      <c r="W132" s="476" t="str">
        <f t="shared" si="102"/>
        <v>Low</v>
      </c>
      <c r="X132" s="477" t="str">
        <f t="shared" si="103"/>
        <v>Horse</v>
      </c>
      <c r="Y132" s="488"/>
      <c r="AA132" s="366"/>
      <c r="AB132" s="503"/>
      <c r="AC132" s="366"/>
      <c r="AD132" s="366"/>
      <c r="AE132" s="366"/>
      <c r="AF132" s="366"/>
      <c r="AG132" s="366"/>
      <c r="AH132" s="366"/>
      <c r="AI132" s="366"/>
      <c r="AJ132" s="366"/>
      <c r="AM132" s="76"/>
      <c r="AN132" s="76"/>
    </row>
    <row r="133" spans="1:40" ht="17.25" customHeight="1" x14ac:dyDescent="0.3">
      <c r="A133" s="366">
        <f t="shared" si="113"/>
        <v>3</v>
      </c>
      <c r="B133" s="590" t="s">
        <v>439</v>
      </c>
      <c r="C133" s="365" t="s">
        <v>546</v>
      </c>
      <c r="D133" s="365"/>
      <c r="E133" s="468" t="s">
        <v>307</v>
      </c>
      <c r="F133" s="581">
        <v>3508.4038461538462</v>
      </c>
      <c r="G133" s="470">
        <v>20000</v>
      </c>
      <c r="H133" s="494">
        <f t="shared" si="109"/>
        <v>16491.596153846152</v>
      </c>
      <c r="I133" s="471">
        <v>247</v>
      </c>
      <c r="J133" s="424"/>
      <c r="K133" s="495">
        <f t="shared" si="110"/>
        <v>866575.75</v>
      </c>
      <c r="L133" s="495">
        <f t="shared" si="111"/>
        <v>4940000</v>
      </c>
      <c r="M133" s="495">
        <f t="shared" si="112"/>
        <v>4073424.25</v>
      </c>
      <c r="N133" s="496">
        <f t="shared" si="105"/>
        <v>0.17542019230769232</v>
      </c>
      <c r="O133" s="497">
        <f t="shared" si="106"/>
        <v>6.4038329662580223E-3</v>
      </c>
      <c r="P133" s="497">
        <f t="shared" si="106"/>
        <v>7.9855731391335668E-3</v>
      </c>
      <c r="Q133" s="497">
        <f t="shared" si="107"/>
        <v>3.5963890506697731E-2</v>
      </c>
      <c r="R133" s="498">
        <f t="shared" si="108"/>
        <v>12.525354969574037</v>
      </c>
      <c r="S133" s="545">
        <f t="shared" si="99"/>
        <v>36.865671641791046</v>
      </c>
      <c r="T133" s="546">
        <f t="shared" si="100"/>
        <v>737313.43283582095</v>
      </c>
      <c r="U133" s="404"/>
      <c r="V133" s="476" t="str">
        <f t="shared" si="101"/>
        <v>High</v>
      </c>
      <c r="W133" s="476" t="str">
        <f t="shared" si="102"/>
        <v>Low</v>
      </c>
      <c r="X133" s="477" t="str">
        <f t="shared" si="103"/>
        <v>Horse</v>
      </c>
      <c r="Y133" s="488"/>
      <c r="AA133" s="366"/>
      <c r="AB133" s="503"/>
      <c r="AC133" s="366"/>
      <c r="AD133" s="366"/>
      <c r="AE133" s="366"/>
      <c r="AF133" s="366"/>
      <c r="AG133" s="366"/>
      <c r="AH133" s="366"/>
      <c r="AI133" s="366"/>
      <c r="AJ133" s="366"/>
      <c r="AM133" s="76"/>
      <c r="AN133" s="76"/>
    </row>
    <row r="134" spans="1:40" ht="17.25" customHeight="1" x14ac:dyDescent="0.3">
      <c r="A134" s="366">
        <f t="shared" si="113"/>
        <v>4</v>
      </c>
      <c r="B134" s="590" t="s">
        <v>513</v>
      </c>
      <c r="C134" s="365" t="s">
        <v>547</v>
      </c>
      <c r="D134" s="365"/>
      <c r="E134" s="468" t="s">
        <v>320</v>
      </c>
      <c r="F134" s="581">
        <v>6135.7795698924729</v>
      </c>
      <c r="G134" s="470">
        <v>25000</v>
      </c>
      <c r="H134" s="494">
        <f t="shared" si="109"/>
        <v>18864.220430107525</v>
      </c>
      <c r="I134" s="471">
        <v>160</v>
      </c>
      <c r="J134" s="424"/>
      <c r="K134" s="495">
        <f t="shared" si="110"/>
        <v>981724.73118279572</v>
      </c>
      <c r="L134" s="495">
        <f t="shared" si="111"/>
        <v>4000000</v>
      </c>
      <c r="M134" s="495">
        <f t="shared" si="112"/>
        <v>3018275.2688172041</v>
      </c>
      <c r="N134" s="496">
        <f t="shared" si="105"/>
        <v>0.24543118279569892</v>
      </c>
      <c r="O134" s="497">
        <f t="shared" si="106"/>
        <v>5.1852898512210711E-3</v>
      </c>
      <c r="P134" s="497">
        <f t="shared" si="106"/>
        <v>5.9170507253640007E-3</v>
      </c>
      <c r="Q134" s="497">
        <f t="shared" si="107"/>
        <v>2.3296447291788001E-2</v>
      </c>
      <c r="R134" s="498">
        <f t="shared" si="108"/>
        <v>8.1135902636916839</v>
      </c>
      <c r="S134" s="545">
        <f t="shared" si="99"/>
        <v>23.880597014925375</v>
      </c>
      <c r="T134" s="546">
        <f t="shared" si="100"/>
        <v>597014.92537313432</v>
      </c>
      <c r="U134" s="404"/>
      <c r="V134" s="476" t="str">
        <f t="shared" si="101"/>
        <v>High</v>
      </c>
      <c r="W134" s="476" t="str">
        <f t="shared" si="102"/>
        <v>Low</v>
      </c>
      <c r="X134" s="477" t="str">
        <f t="shared" si="103"/>
        <v>Horse</v>
      </c>
      <c r="Y134" s="488"/>
      <c r="AA134" s="366"/>
      <c r="AB134" s="503"/>
      <c r="AC134" s="366"/>
      <c r="AD134" s="366"/>
      <c r="AE134" s="366"/>
      <c r="AF134" s="366"/>
      <c r="AG134" s="366"/>
      <c r="AH134" s="366"/>
      <c r="AI134" s="366"/>
      <c r="AJ134" s="366"/>
      <c r="AM134" s="76"/>
      <c r="AN134" s="76"/>
    </row>
    <row r="135" spans="1:40" ht="17.25" customHeight="1" x14ac:dyDescent="0.3">
      <c r="A135" s="366">
        <f t="shared" si="113"/>
        <v>5</v>
      </c>
      <c r="B135" s="590" t="s">
        <v>514</v>
      </c>
      <c r="C135" s="365" t="s">
        <v>548</v>
      </c>
      <c r="D135" s="365"/>
      <c r="E135" s="468" t="s">
        <v>320</v>
      </c>
      <c r="F135" s="581">
        <v>5592.8428571428567</v>
      </c>
      <c r="G135" s="470">
        <v>25000</v>
      </c>
      <c r="H135" s="494">
        <f t="shared" si="109"/>
        <v>19407.157142857144</v>
      </c>
      <c r="I135" s="471">
        <v>176</v>
      </c>
      <c r="J135" s="424"/>
      <c r="K135" s="495">
        <f t="shared" si="110"/>
        <v>984340.34285714279</v>
      </c>
      <c r="L135" s="495">
        <f t="shared" si="111"/>
        <v>4400000</v>
      </c>
      <c r="M135" s="495">
        <f t="shared" si="112"/>
        <v>3415659.6571428571</v>
      </c>
      <c r="N135" s="496">
        <f t="shared" si="105"/>
        <v>0.22371371428571427</v>
      </c>
      <c r="O135" s="497">
        <f t="shared" si="106"/>
        <v>5.7038188363431781E-3</v>
      </c>
      <c r="P135" s="497">
        <f t="shared" si="106"/>
        <v>6.6960862253673103E-3</v>
      </c>
      <c r="Q135" s="497">
        <f t="shared" si="107"/>
        <v>2.5626092020966801E-2</v>
      </c>
      <c r="R135" s="498">
        <f t="shared" si="108"/>
        <v>8.9249492900608516</v>
      </c>
      <c r="S135" s="545">
        <f t="shared" si="99"/>
        <v>26.268656716417908</v>
      </c>
      <c r="T135" s="546">
        <f t="shared" si="100"/>
        <v>656716.41791044769</v>
      </c>
      <c r="U135" s="404"/>
      <c r="V135" s="476" t="str">
        <f t="shared" si="101"/>
        <v>High</v>
      </c>
      <c r="W135" s="476" t="str">
        <f t="shared" si="102"/>
        <v>Low</v>
      </c>
      <c r="X135" s="477" t="str">
        <f t="shared" si="103"/>
        <v>Horse</v>
      </c>
      <c r="Y135" s="488"/>
      <c r="AA135" s="366"/>
      <c r="AB135" s="503"/>
      <c r="AC135" s="366"/>
      <c r="AD135" s="366"/>
      <c r="AE135" s="366"/>
      <c r="AF135" s="366"/>
      <c r="AG135" s="366"/>
      <c r="AH135" s="366"/>
      <c r="AI135" s="366"/>
      <c r="AJ135" s="366"/>
      <c r="AM135" s="76"/>
      <c r="AN135" s="76"/>
    </row>
    <row r="136" spans="1:40" ht="17.25" customHeight="1" x14ac:dyDescent="0.3">
      <c r="A136" s="366"/>
      <c r="B136" s="518"/>
      <c r="C136" s="518"/>
      <c r="D136" s="495"/>
      <c r="E136" s="468"/>
      <c r="F136" s="478"/>
      <c r="G136" s="470"/>
      <c r="H136" s="494"/>
      <c r="I136" s="471"/>
      <c r="J136" s="424"/>
      <c r="K136" s="495"/>
      <c r="L136" s="495"/>
      <c r="M136" s="495"/>
      <c r="N136" s="496"/>
      <c r="O136" s="497"/>
      <c r="P136" s="497"/>
      <c r="Q136" s="497"/>
      <c r="R136" s="498"/>
      <c r="S136" s="545">
        <f t="shared" si="99"/>
        <v>0</v>
      </c>
      <c r="T136" s="546">
        <f t="shared" si="100"/>
        <v>0</v>
      </c>
      <c r="U136" s="404"/>
      <c r="V136" s="476" t="str">
        <f t="shared" si="101"/>
        <v/>
      </c>
      <c r="W136" s="476" t="str">
        <f t="shared" si="102"/>
        <v/>
      </c>
      <c r="X136" s="477" t="str">
        <f t="shared" si="103"/>
        <v/>
      </c>
      <c r="AA136" s="366"/>
      <c r="AB136" s="503"/>
      <c r="AC136" s="366"/>
      <c r="AD136" s="366"/>
      <c r="AE136" s="366"/>
      <c r="AF136" s="366"/>
      <c r="AG136" s="366"/>
      <c r="AH136" s="366"/>
      <c r="AI136" s="366"/>
      <c r="AJ136" s="366"/>
      <c r="AM136" s="76"/>
      <c r="AN136" s="76"/>
    </row>
    <row r="137" spans="1:40" ht="17.25" customHeight="1" x14ac:dyDescent="0.3">
      <c r="A137" s="453"/>
      <c r="B137" s="479" t="s">
        <v>491</v>
      </c>
      <c r="C137" s="480" t="s">
        <v>492</v>
      </c>
      <c r="D137" s="480"/>
      <c r="E137" s="480"/>
      <c r="F137" s="480"/>
      <c r="G137" s="481"/>
      <c r="H137" s="481"/>
      <c r="I137" s="482">
        <f>SUBTOTAL(9,I138:I153)</f>
        <v>152</v>
      </c>
      <c r="J137" s="484"/>
      <c r="K137" s="480">
        <f>SUBTOTAL(9,K138:K153)</f>
        <v>4799456.9000000004</v>
      </c>
      <c r="L137" s="480">
        <f>SUBTOTAL(9,L138:L153)</f>
        <v>12729000</v>
      </c>
      <c r="M137" s="480">
        <f>SUBTOTAL(9,M138:M153)</f>
        <v>7929543.0999999996</v>
      </c>
      <c r="N137" s="491">
        <f t="shared" ref="N137:N152" si="114">K137/L137</f>
        <v>0.37704901406237729</v>
      </c>
      <c r="O137" s="492">
        <f t="shared" ref="O137:P152" si="115">L137/L$10</f>
        <v>1.6500888629048253E-2</v>
      </c>
      <c r="P137" s="492">
        <f t="shared" si="115"/>
        <v>1.5545139052226615E-2</v>
      </c>
      <c r="Q137" s="492">
        <f t="shared" ref="Q137:Q152" si="116">I137/I$10</f>
        <v>2.2131624927198602E-2</v>
      </c>
      <c r="R137" s="493">
        <f t="shared" ref="R137:R152" si="117">I137/$K$5*100</f>
        <v>7.7079107505070992</v>
      </c>
      <c r="S137" s="493">
        <f t="shared" si="99"/>
        <v>22.686567164179102</v>
      </c>
      <c r="T137" s="493">
        <f t="shared" si="100"/>
        <v>0</v>
      </c>
      <c r="U137" s="404"/>
      <c r="V137" s="476" t="str">
        <f t="shared" si="101"/>
        <v>High</v>
      </c>
      <c r="W137" s="476" t="str">
        <f t="shared" si="102"/>
        <v>High</v>
      </c>
      <c r="X137" s="477" t="str">
        <f t="shared" si="103"/>
        <v>Star</v>
      </c>
      <c r="Y137" s="488"/>
      <c r="AA137" s="366"/>
      <c r="AB137" s="503"/>
      <c r="AC137" s="366"/>
      <c r="AD137" s="366"/>
      <c r="AE137" s="366"/>
      <c r="AF137" s="366"/>
      <c r="AG137" s="366"/>
      <c r="AH137" s="366"/>
      <c r="AI137" s="366"/>
      <c r="AJ137" s="366"/>
      <c r="AM137" s="76"/>
      <c r="AN137" s="76"/>
    </row>
    <row r="138" spans="1:40" ht="17.25" customHeight="1" x14ac:dyDescent="0.3">
      <c r="A138" s="366">
        <f>A137+1</f>
        <v>1</v>
      </c>
      <c r="B138" s="590" t="s">
        <v>691</v>
      </c>
      <c r="C138" s="365" t="s">
        <v>693</v>
      </c>
      <c r="D138" s="365"/>
      <c r="E138" s="468" t="s">
        <v>320</v>
      </c>
      <c r="F138" s="581">
        <v>16356.880952380952</v>
      </c>
      <c r="G138" s="470">
        <v>49000</v>
      </c>
      <c r="H138" s="494">
        <f t="shared" ref="H138:H152" si="118">G138-F138</f>
        <v>32643.119047619046</v>
      </c>
      <c r="I138" s="471">
        <v>35</v>
      </c>
      <c r="J138" s="424"/>
      <c r="K138" s="495">
        <f t="shared" ref="K138:K152" si="119">I138*F138</f>
        <v>572490.83333333337</v>
      </c>
      <c r="L138" s="495">
        <f t="shared" ref="L138:L152" si="120">I138*G138</f>
        <v>1715000</v>
      </c>
      <c r="M138" s="495">
        <f t="shared" ref="M138:M152" si="121">L138-K138</f>
        <v>1142509.1666666665</v>
      </c>
      <c r="N138" s="496">
        <f t="shared" si="114"/>
        <v>0.33381389698736641</v>
      </c>
      <c r="O138" s="497">
        <f t="shared" si="115"/>
        <v>2.223193023711034E-3</v>
      </c>
      <c r="P138" s="497">
        <f t="shared" si="115"/>
        <v>2.2397840128111396E-3</v>
      </c>
      <c r="Q138" s="497">
        <f t="shared" si="116"/>
        <v>5.0960978450786251E-3</v>
      </c>
      <c r="R138" s="498">
        <f t="shared" si="117"/>
        <v>1.7748478701825559</v>
      </c>
      <c r="S138" s="545">
        <f t="shared" si="99"/>
        <v>5.2238805970149258</v>
      </c>
      <c r="T138" s="546">
        <f t="shared" si="100"/>
        <v>255970.14925373136</v>
      </c>
      <c r="U138" s="404"/>
      <c r="V138" s="476" t="str">
        <f t="shared" si="101"/>
        <v>High</v>
      </c>
      <c r="W138" s="476" t="str">
        <f t="shared" si="102"/>
        <v>Low</v>
      </c>
      <c r="X138" s="477" t="str">
        <f t="shared" si="103"/>
        <v>Horse</v>
      </c>
      <c r="Y138" s="488"/>
      <c r="AA138" s="366"/>
      <c r="AB138" s="503"/>
      <c r="AC138" s="366"/>
      <c r="AD138" s="366"/>
      <c r="AE138" s="366"/>
      <c r="AF138" s="366"/>
      <c r="AG138" s="366"/>
      <c r="AH138" s="366"/>
      <c r="AI138" s="366"/>
      <c r="AJ138" s="366"/>
      <c r="AM138" s="76"/>
      <c r="AN138" s="76"/>
    </row>
    <row r="139" spans="1:40" ht="17.25" customHeight="1" x14ac:dyDescent="0.3">
      <c r="A139" s="366">
        <f>A138+1</f>
        <v>2</v>
      </c>
      <c r="B139" s="590" t="s">
        <v>556</v>
      </c>
      <c r="C139" s="365" t="s">
        <v>549</v>
      </c>
      <c r="D139" s="365"/>
      <c r="E139" s="468" t="s">
        <v>320</v>
      </c>
      <c r="F139" s="581">
        <v>14204.4</v>
      </c>
      <c r="G139" s="470">
        <v>35000</v>
      </c>
      <c r="H139" s="494">
        <f t="shared" si="118"/>
        <v>20795.599999999999</v>
      </c>
      <c r="I139" s="471">
        <v>40</v>
      </c>
      <c r="J139" s="424"/>
      <c r="K139" s="495">
        <f t="shared" si="119"/>
        <v>568176</v>
      </c>
      <c r="L139" s="495">
        <f t="shared" si="120"/>
        <v>1400000</v>
      </c>
      <c r="M139" s="495">
        <f t="shared" si="121"/>
        <v>831824</v>
      </c>
      <c r="N139" s="496">
        <f t="shared" si="114"/>
        <v>0.40583999999999998</v>
      </c>
      <c r="O139" s="497">
        <f t="shared" si="115"/>
        <v>1.8148514479273748E-3</v>
      </c>
      <c r="P139" s="497">
        <f t="shared" si="115"/>
        <v>1.6307143531358512E-3</v>
      </c>
      <c r="Q139" s="497">
        <f t="shared" si="116"/>
        <v>5.8241118229470003E-3</v>
      </c>
      <c r="R139" s="498">
        <f t="shared" si="117"/>
        <v>2.028397565922921</v>
      </c>
      <c r="S139" s="545">
        <f t="shared" si="99"/>
        <v>5.9701492537313436</v>
      </c>
      <c r="T139" s="546">
        <f t="shared" si="100"/>
        <v>208955.22388059704</v>
      </c>
      <c r="U139" s="404"/>
      <c r="V139" s="476" t="str">
        <f t="shared" si="101"/>
        <v>High</v>
      </c>
      <c r="W139" s="476" t="str">
        <f t="shared" si="102"/>
        <v>Low</v>
      </c>
      <c r="X139" s="477" t="str">
        <f t="shared" si="103"/>
        <v>Horse</v>
      </c>
      <c r="Y139" s="488"/>
      <c r="AA139" s="366"/>
      <c r="AB139" s="503"/>
      <c r="AC139" s="366"/>
      <c r="AD139" s="366"/>
      <c r="AE139" s="366"/>
      <c r="AF139" s="366"/>
      <c r="AG139" s="366"/>
      <c r="AH139" s="366"/>
      <c r="AI139" s="366"/>
      <c r="AJ139" s="366"/>
      <c r="AM139" s="76"/>
      <c r="AN139" s="76"/>
    </row>
    <row r="140" spans="1:40" ht="17.25" customHeight="1" x14ac:dyDescent="0.3">
      <c r="A140" s="366">
        <f t="shared" ref="A140:A152" si="122">A139+1</f>
        <v>3</v>
      </c>
      <c r="B140" s="590" t="s">
        <v>515</v>
      </c>
      <c r="C140" s="365" t="s">
        <v>550</v>
      </c>
      <c r="D140" s="365"/>
      <c r="E140" s="468" t="s">
        <v>320</v>
      </c>
      <c r="F140" s="581">
        <v>15681.666666666666</v>
      </c>
      <c r="G140" s="470">
        <v>39000</v>
      </c>
      <c r="H140" s="494">
        <f t="shared" si="118"/>
        <v>23318.333333333336</v>
      </c>
      <c r="I140" s="471">
        <v>2</v>
      </c>
      <c r="J140" s="424"/>
      <c r="K140" s="495">
        <f t="shared" si="119"/>
        <v>31363.333333333332</v>
      </c>
      <c r="L140" s="495">
        <f t="shared" si="120"/>
        <v>78000</v>
      </c>
      <c r="M140" s="495">
        <f t="shared" si="121"/>
        <v>46636.666666666672</v>
      </c>
      <c r="N140" s="496">
        <f t="shared" si="114"/>
        <v>0.4020940170940171</v>
      </c>
      <c r="O140" s="497">
        <f t="shared" si="115"/>
        <v>1.0111315209881089E-4</v>
      </c>
      <c r="P140" s="497">
        <f t="shared" si="115"/>
        <v>9.1426890442864898E-5</v>
      </c>
      <c r="Q140" s="497">
        <f t="shared" si="116"/>
        <v>2.9120559114735004E-4</v>
      </c>
      <c r="R140" s="498">
        <f t="shared" si="117"/>
        <v>0.10141987829614604</v>
      </c>
      <c r="S140" s="545">
        <f t="shared" si="99"/>
        <v>0.29850746268656714</v>
      </c>
      <c r="T140" s="546">
        <f t="shared" si="100"/>
        <v>11641.791044776119</v>
      </c>
      <c r="U140" s="404"/>
      <c r="V140" s="476" t="str">
        <f t="shared" si="101"/>
        <v>Low</v>
      </c>
      <c r="W140" s="476" t="str">
        <f t="shared" si="102"/>
        <v>Low</v>
      </c>
      <c r="X140" s="477" t="str">
        <f t="shared" si="103"/>
        <v>Dog</v>
      </c>
      <c r="Y140" s="488"/>
      <c r="AA140" s="366"/>
      <c r="AB140" s="503"/>
      <c r="AC140" s="366"/>
      <c r="AD140" s="366"/>
      <c r="AE140" s="366"/>
      <c r="AF140" s="366"/>
      <c r="AG140" s="366"/>
      <c r="AH140" s="366"/>
      <c r="AI140" s="366"/>
      <c r="AJ140" s="366"/>
      <c r="AM140" s="76"/>
      <c r="AN140" s="76"/>
    </row>
    <row r="141" spans="1:40" s="148" customFormat="1" ht="17.25" customHeight="1" x14ac:dyDescent="0.3">
      <c r="A141" s="366">
        <f t="shared" si="122"/>
        <v>4</v>
      </c>
      <c r="B141" s="590" t="s">
        <v>707</v>
      </c>
      <c r="C141" s="365" t="s">
        <v>708</v>
      </c>
      <c r="D141" s="365"/>
      <c r="E141" s="468" t="s">
        <v>471</v>
      </c>
      <c r="F141" s="581">
        <v>26716</v>
      </c>
      <c r="G141" s="470">
        <v>65476.190476190473</v>
      </c>
      <c r="H141" s="494">
        <f t="shared" si="118"/>
        <v>38760.190476190473</v>
      </c>
      <c r="I141" s="471">
        <v>21</v>
      </c>
      <c r="J141" s="424"/>
      <c r="K141" s="495">
        <f t="shared" si="119"/>
        <v>561036</v>
      </c>
      <c r="L141" s="495">
        <f t="shared" si="120"/>
        <v>1375000</v>
      </c>
      <c r="M141" s="495">
        <f t="shared" si="121"/>
        <v>813964</v>
      </c>
      <c r="N141" s="496">
        <f t="shared" si="114"/>
        <v>0.40802618181818184</v>
      </c>
      <c r="O141" s="497">
        <f t="shared" si="115"/>
        <v>1.7824433863572432E-3</v>
      </c>
      <c r="P141" s="497">
        <f t="shared" si="115"/>
        <v>1.5957014677814899E-3</v>
      </c>
      <c r="Q141" s="497">
        <f t="shared" si="116"/>
        <v>3.0576587070471751E-3</v>
      </c>
      <c r="R141" s="498">
        <f t="shared" si="117"/>
        <v>1.0649087221095335</v>
      </c>
      <c r="S141" s="545">
        <f t="shared" si="99"/>
        <v>3.1343283582089554</v>
      </c>
      <c r="T141" s="546">
        <f t="shared" si="100"/>
        <v>205223.88059701494</v>
      </c>
      <c r="U141" s="404"/>
      <c r="V141" s="476" t="str">
        <f t="shared" si="101"/>
        <v>High</v>
      </c>
      <c r="W141" s="476" t="str">
        <f t="shared" si="102"/>
        <v>Low</v>
      </c>
      <c r="X141" s="477" t="str">
        <f t="shared" si="103"/>
        <v>Horse</v>
      </c>
      <c r="Y141" s="488"/>
      <c r="Z141" s="571"/>
      <c r="AA141" s="366"/>
      <c r="AB141" s="503"/>
      <c r="AC141" s="366"/>
      <c r="AD141" s="366"/>
      <c r="AE141" s="366"/>
      <c r="AF141" s="366"/>
      <c r="AG141" s="366"/>
      <c r="AH141" s="366"/>
      <c r="AI141" s="366"/>
      <c r="AJ141" s="366"/>
      <c r="AK141" s="375"/>
      <c r="AL141" s="376"/>
      <c r="AM141" s="138"/>
      <c r="AN141" s="138"/>
    </row>
    <row r="142" spans="1:40" ht="17.25" customHeight="1" x14ac:dyDescent="0.3">
      <c r="A142" s="366">
        <f t="shared" si="122"/>
        <v>5</v>
      </c>
      <c r="B142" s="590" t="s">
        <v>702</v>
      </c>
      <c r="C142" s="365" t="s">
        <v>703</v>
      </c>
      <c r="D142" s="365"/>
      <c r="E142" s="468" t="s">
        <v>471</v>
      </c>
      <c r="F142" s="581">
        <v>7106</v>
      </c>
      <c r="G142" s="470">
        <v>59000</v>
      </c>
      <c r="H142" s="494">
        <f t="shared" si="118"/>
        <v>51894</v>
      </c>
      <c r="I142" s="471">
        <v>24</v>
      </c>
      <c r="J142" s="424"/>
      <c r="K142" s="495">
        <f t="shared" si="119"/>
        <v>170544</v>
      </c>
      <c r="L142" s="495">
        <f t="shared" si="120"/>
        <v>1416000</v>
      </c>
      <c r="M142" s="495">
        <f t="shared" si="121"/>
        <v>1245456</v>
      </c>
      <c r="N142" s="496">
        <f t="shared" si="114"/>
        <v>0.12044067796610169</v>
      </c>
      <c r="O142" s="497">
        <f t="shared" si="115"/>
        <v>1.8355926073322592E-3</v>
      </c>
      <c r="P142" s="497">
        <f t="shared" si="115"/>
        <v>2.4416017996585393E-3</v>
      </c>
      <c r="Q142" s="497">
        <f t="shared" si="116"/>
        <v>3.4944670937682005E-3</v>
      </c>
      <c r="R142" s="498">
        <f t="shared" si="117"/>
        <v>1.2170385395537524</v>
      </c>
      <c r="S142" s="545">
        <f t="shared" si="99"/>
        <v>3.5820895522388057</v>
      </c>
      <c r="T142" s="546">
        <f t="shared" si="100"/>
        <v>211343.28358208953</v>
      </c>
      <c r="U142" s="404"/>
      <c r="V142" s="476" t="str">
        <f t="shared" si="101"/>
        <v>High</v>
      </c>
      <c r="W142" s="476" t="str">
        <f t="shared" si="102"/>
        <v>Low</v>
      </c>
      <c r="X142" s="477" t="str">
        <f t="shared" si="103"/>
        <v>Horse</v>
      </c>
      <c r="Y142" s="488"/>
      <c r="AA142" s="366"/>
      <c r="AB142" s="503"/>
      <c r="AC142" s="366"/>
      <c r="AD142" s="366"/>
      <c r="AE142" s="366"/>
      <c r="AF142" s="366"/>
      <c r="AG142" s="366"/>
      <c r="AH142" s="366"/>
      <c r="AI142" s="366"/>
      <c r="AJ142" s="366"/>
      <c r="AM142" s="76"/>
      <c r="AN142" s="76"/>
    </row>
    <row r="143" spans="1:40" ht="17.25" customHeight="1" x14ac:dyDescent="0.3">
      <c r="A143" s="366">
        <f t="shared" si="122"/>
        <v>6</v>
      </c>
      <c r="B143" s="590" t="s">
        <v>692</v>
      </c>
      <c r="C143" s="365" t="s">
        <v>694</v>
      </c>
      <c r="D143" s="365"/>
      <c r="E143" s="468" t="s">
        <v>307</v>
      </c>
      <c r="F143" s="581">
        <v>192000</v>
      </c>
      <c r="G143" s="470">
        <v>0</v>
      </c>
      <c r="H143" s="494">
        <f t="shared" si="118"/>
        <v>-192000</v>
      </c>
      <c r="I143" s="471">
        <v>0</v>
      </c>
      <c r="J143" s="424"/>
      <c r="K143" s="495">
        <f t="shared" si="119"/>
        <v>0</v>
      </c>
      <c r="L143" s="495">
        <f t="shared" si="120"/>
        <v>0</v>
      </c>
      <c r="M143" s="495">
        <f t="shared" si="121"/>
        <v>0</v>
      </c>
      <c r="N143" s="496" t="e">
        <f t="shared" si="114"/>
        <v>#DIV/0!</v>
      </c>
      <c r="O143" s="497">
        <f t="shared" si="115"/>
        <v>0</v>
      </c>
      <c r="P143" s="497">
        <f t="shared" si="115"/>
        <v>0</v>
      </c>
      <c r="Q143" s="497">
        <f t="shared" si="116"/>
        <v>0</v>
      </c>
      <c r="R143" s="498">
        <f t="shared" si="117"/>
        <v>0</v>
      </c>
      <c r="S143" s="545">
        <f t="shared" si="99"/>
        <v>0</v>
      </c>
      <c r="T143" s="546">
        <f t="shared" si="100"/>
        <v>0</v>
      </c>
      <c r="U143" s="404"/>
      <c r="V143" s="476" t="str">
        <f t="shared" si="101"/>
        <v>Low</v>
      </c>
      <c r="W143" s="476" t="str">
        <f t="shared" si="102"/>
        <v>Low</v>
      </c>
      <c r="X143" s="477" t="str">
        <f t="shared" si="103"/>
        <v>Dog</v>
      </c>
      <c r="Y143" s="488"/>
      <c r="AA143" s="366"/>
      <c r="AB143" s="503"/>
      <c r="AC143" s="366"/>
      <c r="AD143" s="366"/>
      <c r="AE143" s="366"/>
      <c r="AF143" s="366"/>
      <c r="AG143" s="366"/>
      <c r="AH143" s="366"/>
      <c r="AI143" s="366"/>
      <c r="AJ143" s="366"/>
      <c r="AM143" s="76"/>
      <c r="AN143" s="76"/>
    </row>
    <row r="144" spans="1:40" ht="17.25" customHeight="1" x14ac:dyDescent="0.3">
      <c r="A144" s="366">
        <f t="shared" si="122"/>
        <v>7</v>
      </c>
      <c r="B144" s="590" t="s">
        <v>697</v>
      </c>
      <c r="C144" s="365" t="s">
        <v>704</v>
      </c>
      <c r="D144" s="365"/>
      <c r="E144" s="468" t="s">
        <v>307</v>
      </c>
      <c r="F144" s="581">
        <v>85228</v>
      </c>
      <c r="G144" s="470">
        <v>195000</v>
      </c>
      <c r="H144" s="494">
        <f t="shared" si="118"/>
        <v>109772</v>
      </c>
      <c r="I144" s="471">
        <v>7</v>
      </c>
      <c r="J144" s="424"/>
      <c r="K144" s="495">
        <f t="shared" si="119"/>
        <v>596596</v>
      </c>
      <c r="L144" s="495">
        <f t="shared" si="120"/>
        <v>1365000</v>
      </c>
      <c r="M144" s="495">
        <f t="shared" si="121"/>
        <v>768404</v>
      </c>
      <c r="N144" s="496">
        <f t="shared" si="114"/>
        <v>0.43706666666666666</v>
      </c>
      <c r="O144" s="497">
        <f t="shared" si="115"/>
        <v>1.7694801617291905E-3</v>
      </c>
      <c r="P144" s="497">
        <f t="shared" si="115"/>
        <v>1.5063852831933204E-3</v>
      </c>
      <c r="Q144" s="497">
        <f t="shared" si="116"/>
        <v>1.0192195690157252E-3</v>
      </c>
      <c r="R144" s="498">
        <f t="shared" si="117"/>
        <v>0.35496957403651114</v>
      </c>
      <c r="S144" s="545">
        <f t="shared" si="99"/>
        <v>1.044776119402985</v>
      </c>
      <c r="T144" s="546">
        <f t="shared" si="100"/>
        <v>203731.34328358207</v>
      </c>
      <c r="U144" s="404"/>
      <c r="V144" s="476" t="str">
        <f t="shared" si="101"/>
        <v>Low</v>
      </c>
      <c r="W144" s="476" t="str">
        <f t="shared" si="102"/>
        <v>Low</v>
      </c>
      <c r="X144" s="477" t="str">
        <f t="shared" si="103"/>
        <v>Dog</v>
      </c>
      <c r="Y144" s="488"/>
      <c r="AA144" s="366"/>
      <c r="AB144" s="503"/>
      <c r="AC144" s="366"/>
      <c r="AD144" s="366"/>
      <c r="AE144" s="366"/>
      <c r="AF144" s="366"/>
      <c r="AG144" s="366"/>
      <c r="AH144" s="366"/>
      <c r="AI144" s="366"/>
      <c r="AJ144" s="366"/>
      <c r="AM144" s="76"/>
      <c r="AN144" s="76"/>
    </row>
    <row r="145" spans="1:40" ht="17.25" customHeight="1" x14ac:dyDescent="0.3">
      <c r="A145" s="366">
        <f t="shared" si="122"/>
        <v>8</v>
      </c>
      <c r="B145" s="590" t="s">
        <v>699</v>
      </c>
      <c r="C145" s="365" t="s">
        <v>715</v>
      </c>
      <c r="D145" s="365"/>
      <c r="E145" s="468" t="s">
        <v>307</v>
      </c>
      <c r="F145" s="581">
        <v>142955</v>
      </c>
      <c r="G145" s="470">
        <v>380000</v>
      </c>
      <c r="H145" s="494">
        <f t="shared" si="118"/>
        <v>237045</v>
      </c>
      <c r="I145" s="471">
        <v>1</v>
      </c>
      <c r="J145" s="424"/>
      <c r="K145" s="495">
        <f t="shared" si="119"/>
        <v>142955</v>
      </c>
      <c r="L145" s="495">
        <f t="shared" si="120"/>
        <v>380000</v>
      </c>
      <c r="M145" s="495">
        <f t="shared" si="121"/>
        <v>237045</v>
      </c>
      <c r="N145" s="496">
        <f t="shared" si="114"/>
        <v>0.37619736842105261</v>
      </c>
      <c r="O145" s="497">
        <f t="shared" si="115"/>
        <v>4.9260253586600172E-4</v>
      </c>
      <c r="P145" s="497">
        <f t="shared" si="115"/>
        <v>4.6470489411111948E-4</v>
      </c>
      <c r="Q145" s="497">
        <f t="shared" si="116"/>
        <v>1.4560279557367502E-4</v>
      </c>
      <c r="R145" s="498">
        <f t="shared" si="117"/>
        <v>5.0709939148073022E-2</v>
      </c>
      <c r="S145" s="545">
        <f t="shared" si="99"/>
        <v>0.14925373134328357</v>
      </c>
      <c r="T145" s="546">
        <f t="shared" si="100"/>
        <v>56716.417910447759</v>
      </c>
      <c r="U145" s="404"/>
      <c r="V145" s="476" t="str">
        <f t="shared" si="101"/>
        <v>Low</v>
      </c>
      <c r="W145" s="476" t="str">
        <f t="shared" si="102"/>
        <v>Low</v>
      </c>
      <c r="X145" s="477" t="str">
        <f t="shared" si="103"/>
        <v>Dog</v>
      </c>
      <c r="Y145" s="488"/>
      <c r="AA145" s="366"/>
      <c r="AB145" s="503"/>
      <c r="AC145" s="366"/>
      <c r="AD145" s="366"/>
      <c r="AE145" s="366"/>
      <c r="AF145" s="366"/>
      <c r="AG145" s="366"/>
      <c r="AH145" s="366"/>
      <c r="AI145" s="366"/>
      <c r="AJ145" s="366"/>
      <c r="AM145" s="76"/>
      <c r="AN145" s="76"/>
    </row>
    <row r="146" spans="1:40" ht="17.25" customHeight="1" x14ac:dyDescent="0.3">
      <c r="A146" s="366">
        <f t="shared" si="122"/>
        <v>9</v>
      </c>
      <c r="B146" s="590" t="s">
        <v>709</v>
      </c>
      <c r="C146" s="365" t="s">
        <v>710</v>
      </c>
      <c r="D146" s="365"/>
      <c r="E146" s="468" t="s">
        <v>307</v>
      </c>
      <c r="F146" s="581">
        <v>306818.2</v>
      </c>
      <c r="G146" s="470">
        <v>0</v>
      </c>
      <c r="H146" s="494">
        <f t="shared" si="118"/>
        <v>-306818.2</v>
      </c>
      <c r="I146" s="471">
        <v>0</v>
      </c>
      <c r="J146" s="424"/>
      <c r="K146" s="495">
        <f t="shared" si="119"/>
        <v>0</v>
      </c>
      <c r="L146" s="495">
        <f t="shared" si="120"/>
        <v>0</v>
      </c>
      <c r="M146" s="495">
        <f t="shared" si="121"/>
        <v>0</v>
      </c>
      <c r="N146" s="496" t="e">
        <f t="shared" si="114"/>
        <v>#DIV/0!</v>
      </c>
      <c r="O146" s="497">
        <f t="shared" si="115"/>
        <v>0</v>
      </c>
      <c r="P146" s="497">
        <f t="shared" si="115"/>
        <v>0</v>
      </c>
      <c r="Q146" s="497">
        <f t="shared" si="116"/>
        <v>0</v>
      </c>
      <c r="R146" s="498">
        <f t="shared" si="117"/>
        <v>0</v>
      </c>
      <c r="S146" s="545">
        <f t="shared" si="99"/>
        <v>0</v>
      </c>
      <c r="T146" s="546">
        <f t="shared" si="100"/>
        <v>0</v>
      </c>
      <c r="U146" s="404"/>
      <c r="V146" s="476" t="str">
        <f t="shared" si="101"/>
        <v>Low</v>
      </c>
      <c r="W146" s="476" t="str">
        <f t="shared" si="102"/>
        <v>Low</v>
      </c>
      <c r="X146" s="477" t="str">
        <f t="shared" si="103"/>
        <v>Dog</v>
      </c>
      <c r="Y146" s="488"/>
      <c r="AA146" s="366"/>
      <c r="AB146" s="503"/>
      <c r="AC146" s="366"/>
      <c r="AD146" s="366"/>
      <c r="AE146" s="366"/>
      <c r="AF146" s="366"/>
      <c r="AG146" s="366"/>
      <c r="AH146" s="366"/>
      <c r="AI146" s="366"/>
      <c r="AJ146" s="366"/>
      <c r="AM146" s="76"/>
      <c r="AN146" s="76"/>
    </row>
    <row r="147" spans="1:40" ht="17.25" customHeight="1" x14ac:dyDescent="0.3">
      <c r="A147" s="366">
        <f t="shared" si="122"/>
        <v>10</v>
      </c>
      <c r="B147" s="590" t="s">
        <v>575</v>
      </c>
      <c r="C147" s="365" t="s">
        <v>583</v>
      </c>
      <c r="D147" s="365"/>
      <c r="E147" s="468" t="s">
        <v>307</v>
      </c>
      <c r="F147" s="581">
        <v>184285.83333333334</v>
      </c>
      <c r="G147" s="470">
        <v>350000</v>
      </c>
      <c r="H147" s="494">
        <f t="shared" si="118"/>
        <v>165714.16666666666</v>
      </c>
      <c r="I147" s="471">
        <v>1</v>
      </c>
      <c r="J147" s="424"/>
      <c r="K147" s="495">
        <f t="shared" si="119"/>
        <v>184285.83333333334</v>
      </c>
      <c r="L147" s="495">
        <f t="shared" si="120"/>
        <v>350000</v>
      </c>
      <c r="M147" s="495">
        <f t="shared" si="121"/>
        <v>165714.16666666666</v>
      </c>
      <c r="N147" s="496">
        <f t="shared" si="114"/>
        <v>0.52653095238095238</v>
      </c>
      <c r="O147" s="497">
        <f t="shared" si="115"/>
        <v>4.537128619818437E-4</v>
      </c>
      <c r="P147" s="497">
        <f t="shared" si="115"/>
        <v>3.2486736389101536E-4</v>
      </c>
      <c r="Q147" s="497">
        <f t="shared" si="116"/>
        <v>1.4560279557367502E-4</v>
      </c>
      <c r="R147" s="498">
        <f t="shared" si="117"/>
        <v>5.0709939148073022E-2</v>
      </c>
      <c r="S147" s="545">
        <f t="shared" si="99"/>
        <v>0.14925373134328357</v>
      </c>
      <c r="T147" s="546">
        <f t="shared" si="100"/>
        <v>52238.805970149246</v>
      </c>
      <c r="U147" s="404"/>
      <c r="V147" s="476" t="str">
        <f t="shared" si="101"/>
        <v>Low</v>
      </c>
      <c r="W147" s="476" t="str">
        <f t="shared" si="102"/>
        <v>Low</v>
      </c>
      <c r="X147" s="477" t="str">
        <f t="shared" si="103"/>
        <v>Dog</v>
      </c>
      <c r="Y147" s="488"/>
      <c r="AA147" s="366"/>
      <c r="AB147" s="503"/>
      <c r="AC147" s="366"/>
      <c r="AD147" s="366"/>
      <c r="AE147" s="366"/>
      <c r="AF147" s="366"/>
      <c r="AG147" s="366"/>
      <c r="AH147" s="366"/>
      <c r="AI147" s="366"/>
      <c r="AJ147" s="366"/>
      <c r="AM147" s="76"/>
      <c r="AN147" s="76"/>
    </row>
    <row r="148" spans="1:40" ht="17.25" customHeight="1" x14ac:dyDescent="0.3">
      <c r="A148" s="366">
        <f t="shared" si="122"/>
        <v>11</v>
      </c>
      <c r="B148" s="590" t="s">
        <v>576</v>
      </c>
      <c r="C148" s="365" t="s">
        <v>584</v>
      </c>
      <c r="D148" s="365"/>
      <c r="E148" s="468" t="s">
        <v>307</v>
      </c>
      <c r="F148" s="581">
        <v>213637</v>
      </c>
      <c r="G148" s="470">
        <v>350000</v>
      </c>
      <c r="H148" s="494">
        <f t="shared" si="118"/>
        <v>136363</v>
      </c>
      <c r="I148" s="471">
        <v>2</v>
      </c>
      <c r="J148" s="424"/>
      <c r="K148" s="495">
        <f t="shared" si="119"/>
        <v>427274</v>
      </c>
      <c r="L148" s="495">
        <f t="shared" si="120"/>
        <v>700000</v>
      </c>
      <c r="M148" s="495">
        <f t="shared" si="121"/>
        <v>272726</v>
      </c>
      <c r="N148" s="496">
        <f t="shared" si="114"/>
        <v>0.61039142857142858</v>
      </c>
      <c r="O148" s="497">
        <f t="shared" si="115"/>
        <v>9.074257239636874E-4</v>
      </c>
      <c r="P148" s="497">
        <f t="shared" si="115"/>
        <v>5.346542089111737E-4</v>
      </c>
      <c r="Q148" s="497">
        <f t="shared" si="116"/>
        <v>2.9120559114735004E-4</v>
      </c>
      <c r="R148" s="498">
        <f t="shared" si="117"/>
        <v>0.10141987829614604</v>
      </c>
      <c r="S148" s="545">
        <f t="shared" si="99"/>
        <v>0.29850746268656714</v>
      </c>
      <c r="T148" s="546">
        <f t="shared" si="100"/>
        <v>104477.61194029849</v>
      </c>
      <c r="U148" s="404"/>
      <c r="V148" s="476" t="str">
        <f t="shared" si="101"/>
        <v>Low</v>
      </c>
      <c r="W148" s="476" t="str">
        <f t="shared" si="102"/>
        <v>Low</v>
      </c>
      <c r="X148" s="477" t="str">
        <f t="shared" si="103"/>
        <v>Dog</v>
      </c>
      <c r="Y148" s="488"/>
      <c r="AA148" s="366"/>
      <c r="AB148" s="503"/>
      <c r="AC148" s="366"/>
      <c r="AD148" s="366"/>
      <c r="AE148" s="366"/>
      <c r="AF148" s="366"/>
      <c r="AG148" s="366"/>
      <c r="AH148" s="366"/>
      <c r="AI148" s="366"/>
      <c r="AJ148" s="366"/>
      <c r="AM148" s="76"/>
      <c r="AN148" s="76"/>
    </row>
    <row r="149" spans="1:40" ht="17.25" customHeight="1" x14ac:dyDescent="0.3">
      <c r="A149" s="366">
        <f t="shared" si="122"/>
        <v>12</v>
      </c>
      <c r="B149" s="590" t="s">
        <v>698</v>
      </c>
      <c r="C149" s="365" t="s">
        <v>726</v>
      </c>
      <c r="D149" s="365"/>
      <c r="E149" s="468" t="s">
        <v>307</v>
      </c>
      <c r="F149" s="581">
        <v>67909.75</v>
      </c>
      <c r="G149" s="470">
        <v>190000</v>
      </c>
      <c r="H149" s="494">
        <f t="shared" si="118"/>
        <v>122090.25</v>
      </c>
      <c r="I149" s="471">
        <v>2</v>
      </c>
      <c r="J149" s="424"/>
      <c r="K149" s="495">
        <f t="shared" si="119"/>
        <v>135819.5</v>
      </c>
      <c r="L149" s="495">
        <f t="shared" si="120"/>
        <v>380000</v>
      </c>
      <c r="M149" s="495">
        <f t="shared" si="121"/>
        <v>244180.5</v>
      </c>
      <c r="N149" s="496">
        <f t="shared" si="114"/>
        <v>0.35741973684210526</v>
      </c>
      <c r="O149" s="497">
        <f t="shared" si="115"/>
        <v>4.9260253586600172E-4</v>
      </c>
      <c r="P149" s="497">
        <f t="shared" si="115"/>
        <v>4.7869338478559014E-4</v>
      </c>
      <c r="Q149" s="497">
        <f t="shared" si="116"/>
        <v>2.9120559114735004E-4</v>
      </c>
      <c r="R149" s="498">
        <f t="shared" si="117"/>
        <v>0.10141987829614604</v>
      </c>
      <c r="S149" s="545">
        <f t="shared" si="99"/>
        <v>0.29850746268656714</v>
      </c>
      <c r="T149" s="546">
        <f t="shared" si="100"/>
        <v>56716.417910447759</v>
      </c>
      <c r="U149" s="404"/>
      <c r="V149" s="476" t="str">
        <f t="shared" si="101"/>
        <v>Low</v>
      </c>
      <c r="W149" s="476" t="str">
        <f t="shared" si="102"/>
        <v>Low</v>
      </c>
      <c r="X149" s="477" t="str">
        <f t="shared" si="103"/>
        <v>Dog</v>
      </c>
      <c r="Y149" s="488"/>
      <c r="AA149" s="366"/>
      <c r="AB149" s="503"/>
      <c r="AC149" s="366"/>
      <c r="AD149" s="366"/>
      <c r="AE149" s="366"/>
      <c r="AF149" s="366"/>
      <c r="AG149" s="366"/>
      <c r="AH149" s="366"/>
      <c r="AI149" s="366"/>
      <c r="AJ149" s="366"/>
      <c r="AM149" s="76"/>
      <c r="AN149" s="76"/>
    </row>
    <row r="150" spans="1:40" ht="17.25" customHeight="1" x14ac:dyDescent="0.3">
      <c r="A150" s="366">
        <f t="shared" si="122"/>
        <v>13</v>
      </c>
      <c r="B150" s="590" t="s">
        <v>733</v>
      </c>
      <c r="C150" s="365" t="s">
        <v>734</v>
      </c>
      <c r="D150" s="365"/>
      <c r="E150" s="468" t="s">
        <v>732</v>
      </c>
      <c r="F150" s="581">
        <v>67909.75</v>
      </c>
      <c r="G150" s="470">
        <v>190000</v>
      </c>
      <c r="H150" s="494">
        <f t="shared" si="118"/>
        <v>122090.25</v>
      </c>
      <c r="I150" s="471">
        <v>8</v>
      </c>
      <c r="J150" s="424"/>
      <c r="K150" s="495">
        <f t="shared" si="119"/>
        <v>543278</v>
      </c>
      <c r="L150" s="495">
        <f t="shared" si="120"/>
        <v>1520000</v>
      </c>
      <c r="M150" s="495">
        <f t="shared" si="121"/>
        <v>976722</v>
      </c>
      <c r="N150" s="496">
        <f t="shared" si="114"/>
        <v>0.35741973684210526</v>
      </c>
      <c r="O150" s="497">
        <f t="shared" si="115"/>
        <v>1.9704101434640069E-3</v>
      </c>
      <c r="P150" s="497">
        <f t="shared" si="115"/>
        <v>1.9147735391423606E-3</v>
      </c>
      <c r="Q150" s="497">
        <f t="shared" si="116"/>
        <v>1.1648223645894002E-3</v>
      </c>
      <c r="R150" s="498">
        <f t="shared" si="117"/>
        <v>0.40567951318458417</v>
      </c>
      <c r="S150" s="545">
        <f t="shared" si="99"/>
        <v>1.1940298507462686</v>
      </c>
      <c r="T150" s="546">
        <f t="shared" si="100"/>
        <v>226865.67164179104</v>
      </c>
      <c r="U150" s="404"/>
      <c r="V150" s="476" t="str">
        <f t="shared" si="101"/>
        <v>Low</v>
      </c>
      <c r="W150" s="476" t="str">
        <f t="shared" si="102"/>
        <v>Low</v>
      </c>
      <c r="X150" s="477" t="str">
        <f t="shared" si="103"/>
        <v>Dog</v>
      </c>
      <c r="Y150" s="488"/>
      <c r="AA150" s="366"/>
      <c r="AB150" s="503"/>
      <c r="AC150" s="366"/>
      <c r="AD150" s="366"/>
      <c r="AE150" s="366"/>
      <c r="AF150" s="366"/>
      <c r="AG150" s="366"/>
      <c r="AH150" s="366"/>
      <c r="AI150" s="366"/>
      <c r="AJ150" s="366"/>
      <c r="AM150" s="76"/>
      <c r="AN150" s="76"/>
    </row>
    <row r="151" spans="1:40" ht="17.25" customHeight="1" x14ac:dyDescent="0.3">
      <c r="A151" s="366">
        <f t="shared" si="122"/>
        <v>14</v>
      </c>
      <c r="B151" s="590" t="s">
        <v>730</v>
      </c>
      <c r="C151" s="365" t="s">
        <v>731</v>
      </c>
      <c r="D151" s="365"/>
      <c r="E151" s="468" t="s">
        <v>732</v>
      </c>
      <c r="F151" s="581">
        <v>51954.8</v>
      </c>
      <c r="G151" s="470">
        <v>150000</v>
      </c>
      <c r="H151" s="494">
        <f t="shared" si="118"/>
        <v>98045.2</v>
      </c>
      <c r="I151" s="471">
        <v>8</v>
      </c>
      <c r="J151" s="424"/>
      <c r="K151" s="495">
        <f t="shared" si="119"/>
        <v>415638.4</v>
      </c>
      <c r="L151" s="495">
        <f t="shared" si="120"/>
        <v>1200000</v>
      </c>
      <c r="M151" s="495">
        <f t="shared" si="121"/>
        <v>784361.6</v>
      </c>
      <c r="N151" s="496">
        <f t="shared" si="114"/>
        <v>0.34636533333333336</v>
      </c>
      <c r="O151" s="497">
        <f t="shared" si="115"/>
        <v>1.5555869553663213E-3</v>
      </c>
      <c r="P151" s="497">
        <f t="shared" si="115"/>
        <v>1.5376686885309888E-3</v>
      </c>
      <c r="Q151" s="497">
        <f t="shared" si="116"/>
        <v>1.1648223645894002E-3</v>
      </c>
      <c r="R151" s="498">
        <f t="shared" si="117"/>
        <v>0.40567951318458417</v>
      </c>
      <c r="S151" s="545">
        <f t="shared" si="99"/>
        <v>1.1940298507462686</v>
      </c>
      <c r="T151" s="546">
        <f t="shared" si="100"/>
        <v>179104.4776119403</v>
      </c>
      <c r="U151" s="404"/>
      <c r="V151" s="476" t="str">
        <f t="shared" si="101"/>
        <v>Low</v>
      </c>
      <c r="W151" s="476" t="str">
        <f t="shared" si="102"/>
        <v>Low</v>
      </c>
      <c r="X151" s="477" t="str">
        <f t="shared" si="103"/>
        <v>Dog</v>
      </c>
      <c r="Y151" s="488"/>
      <c r="AA151" s="366"/>
      <c r="AB151" s="503"/>
      <c r="AC151" s="366"/>
      <c r="AD151" s="366"/>
      <c r="AE151" s="366"/>
      <c r="AF151" s="366"/>
      <c r="AG151" s="366"/>
      <c r="AH151" s="366"/>
      <c r="AI151" s="366"/>
      <c r="AJ151" s="366"/>
      <c r="AM151" s="76"/>
      <c r="AN151" s="76"/>
    </row>
    <row r="152" spans="1:40" ht="17.25" customHeight="1" x14ac:dyDescent="0.3">
      <c r="A152" s="366">
        <f t="shared" si="122"/>
        <v>15</v>
      </c>
      <c r="B152" s="590" t="s">
        <v>711</v>
      </c>
      <c r="C152" s="365" t="s">
        <v>713</v>
      </c>
      <c r="D152" s="365"/>
      <c r="E152" s="468" t="s">
        <v>307</v>
      </c>
      <c r="F152" s="581">
        <v>450000</v>
      </c>
      <c r="G152" s="470">
        <v>850000</v>
      </c>
      <c r="H152" s="494">
        <f t="shared" si="118"/>
        <v>400000</v>
      </c>
      <c r="I152" s="471">
        <v>1</v>
      </c>
      <c r="J152" s="424"/>
      <c r="K152" s="495">
        <f t="shared" si="119"/>
        <v>450000</v>
      </c>
      <c r="L152" s="495">
        <f t="shared" si="120"/>
        <v>850000</v>
      </c>
      <c r="M152" s="495">
        <f t="shared" si="121"/>
        <v>400000</v>
      </c>
      <c r="N152" s="496">
        <f t="shared" si="114"/>
        <v>0.52941176470588236</v>
      </c>
      <c r="O152" s="497">
        <f t="shared" si="115"/>
        <v>1.1018740933844775E-3</v>
      </c>
      <c r="P152" s="497">
        <f t="shared" si="115"/>
        <v>7.84163165831162E-4</v>
      </c>
      <c r="Q152" s="497">
        <f t="shared" si="116"/>
        <v>1.4560279557367502E-4</v>
      </c>
      <c r="R152" s="498">
        <f t="shared" si="117"/>
        <v>5.0709939148073022E-2</v>
      </c>
      <c r="S152" s="545">
        <f t="shared" si="99"/>
        <v>0.14925373134328357</v>
      </c>
      <c r="T152" s="546">
        <f t="shared" si="100"/>
        <v>126865.67164179104</v>
      </c>
      <c r="U152" s="404"/>
      <c r="V152" s="476" t="str">
        <f t="shared" si="101"/>
        <v>Low</v>
      </c>
      <c r="W152" s="476" t="str">
        <f t="shared" si="102"/>
        <v>Low</v>
      </c>
      <c r="X152" s="477" t="str">
        <f t="shared" si="103"/>
        <v>Dog</v>
      </c>
      <c r="Y152" s="488"/>
      <c r="AA152" s="366"/>
      <c r="AB152" s="503"/>
      <c r="AC152" s="366"/>
      <c r="AD152" s="366"/>
      <c r="AE152" s="366"/>
      <c r="AF152" s="366"/>
      <c r="AG152" s="366"/>
      <c r="AH152" s="366"/>
      <c r="AI152" s="366"/>
      <c r="AJ152" s="366"/>
      <c r="AM152" s="76"/>
      <c r="AN152" s="76"/>
    </row>
    <row r="153" spans="1:40" ht="17.25" customHeight="1" x14ac:dyDescent="0.3">
      <c r="A153" s="366"/>
      <c r="B153" s="518"/>
      <c r="C153" s="518"/>
      <c r="D153" s="495"/>
      <c r="E153" s="468"/>
      <c r="F153" s="478"/>
      <c r="G153" s="470"/>
      <c r="H153" s="494"/>
      <c r="I153" s="471"/>
      <c r="J153" s="424"/>
      <c r="K153" s="495"/>
      <c r="L153" s="495"/>
      <c r="M153" s="495"/>
      <c r="N153" s="496"/>
      <c r="O153" s="497"/>
      <c r="P153" s="497"/>
      <c r="Q153" s="497"/>
      <c r="R153" s="498"/>
      <c r="S153" s="545">
        <f t="shared" si="99"/>
        <v>0</v>
      </c>
      <c r="T153" s="546">
        <f t="shared" si="100"/>
        <v>0</v>
      </c>
      <c r="U153" s="404"/>
      <c r="V153" s="476" t="str">
        <f t="shared" si="101"/>
        <v/>
      </c>
      <c r="W153" s="476" t="str">
        <f t="shared" si="102"/>
        <v/>
      </c>
      <c r="X153" s="477" t="str">
        <f t="shared" si="103"/>
        <v/>
      </c>
      <c r="AA153" s="366"/>
      <c r="AB153" s="503"/>
      <c r="AC153" s="366"/>
      <c r="AD153" s="366"/>
      <c r="AE153" s="366"/>
      <c r="AF153" s="366"/>
      <c r="AG153" s="366"/>
      <c r="AH153" s="366"/>
      <c r="AI153" s="366"/>
      <c r="AJ153" s="366"/>
      <c r="AM153" s="76"/>
      <c r="AN153" s="76"/>
    </row>
    <row r="154" spans="1:40" ht="17.25" customHeight="1" x14ac:dyDescent="0.3">
      <c r="A154" s="453"/>
      <c r="B154" s="479" t="s">
        <v>449</v>
      </c>
      <c r="C154" s="480" t="s">
        <v>450</v>
      </c>
      <c r="D154" s="480"/>
      <c r="E154" s="480"/>
      <c r="F154" s="482"/>
      <c r="G154" s="481"/>
      <c r="H154" s="481"/>
      <c r="I154" s="483">
        <f>SUBTOTAL(9,I155:I158)</f>
        <v>928</v>
      </c>
      <c r="J154" s="484"/>
      <c r="K154" s="480">
        <f>SUBTOTAL(9,K155:K158)</f>
        <v>13833804.578510849</v>
      </c>
      <c r="L154" s="480">
        <f>SUBTOTAL(9,L155:L158)</f>
        <v>2480000</v>
      </c>
      <c r="M154" s="480">
        <f>SUBTOTAL(9,M155:M158)</f>
        <v>-11353804.578510849</v>
      </c>
      <c r="N154" s="485">
        <f>K154/L154</f>
        <v>5.578147007464052</v>
      </c>
      <c r="O154" s="486">
        <f t="shared" ref="O154:P157" si="123">L154/L$10</f>
        <v>3.2148797077570638E-3</v>
      </c>
      <c r="P154" s="486">
        <f t="shared" si="123"/>
        <v>-2.2258088356283522E-2</v>
      </c>
      <c r="Q154" s="486">
        <f>I154/I$10</f>
        <v>0.13511939429237041</v>
      </c>
      <c r="R154" s="487">
        <f t="shared" ref="R154" si="124">I154/$K$5*100</f>
        <v>47.058823529411761</v>
      </c>
      <c r="S154" s="487">
        <f t="shared" si="99"/>
        <v>138.50746268656715</v>
      </c>
      <c r="T154" s="487">
        <f t="shared" si="100"/>
        <v>0</v>
      </c>
      <c r="U154" s="404"/>
      <c r="V154" s="476" t="str">
        <f t="shared" si="101"/>
        <v>High</v>
      </c>
      <c r="W154" s="476" t="str">
        <f t="shared" si="102"/>
        <v>Low</v>
      </c>
      <c r="X154" s="477" t="str">
        <f t="shared" si="103"/>
        <v>Horse</v>
      </c>
      <c r="AA154" s="366"/>
      <c r="AB154" s="503"/>
      <c r="AC154" s="366"/>
      <c r="AD154" s="366"/>
      <c r="AE154" s="366"/>
      <c r="AF154" s="366"/>
      <c r="AG154" s="366"/>
      <c r="AH154" s="366"/>
      <c r="AI154" s="366"/>
      <c r="AJ154" s="366"/>
      <c r="AM154" s="76"/>
      <c r="AN154" s="76"/>
    </row>
    <row r="155" spans="1:40" s="148" customFormat="1" ht="19.5" customHeight="1" x14ac:dyDescent="0.3">
      <c r="A155" s="366">
        <v>1</v>
      </c>
      <c r="B155" s="467" t="s">
        <v>453</v>
      </c>
      <c r="C155" s="365" t="s">
        <v>451</v>
      </c>
      <c r="D155" s="365"/>
      <c r="E155" s="468"/>
      <c r="F155" s="469">
        <v>1508.5797633136096</v>
      </c>
      <c r="G155" s="470"/>
      <c r="H155" s="470">
        <f>G155-F155</f>
        <v>-1508.5797633136096</v>
      </c>
      <c r="I155" s="471">
        <v>1</v>
      </c>
      <c r="J155" s="424"/>
      <c r="K155" s="472">
        <f>I155*F155*$K$5</f>
        <v>2974919.2932544383</v>
      </c>
      <c r="L155" s="424">
        <f>I155*G155</f>
        <v>0</v>
      </c>
      <c r="M155" s="424">
        <f>L155-K155</f>
        <v>-2974919.2932544383</v>
      </c>
      <c r="N155" s="473" t="e">
        <f>K155/L155</f>
        <v>#DIV/0!</v>
      </c>
      <c r="O155" s="474">
        <f t="shared" si="123"/>
        <v>0</v>
      </c>
      <c r="P155" s="474">
        <f t="shared" si="123"/>
        <v>-5.8320553277265083E-3</v>
      </c>
      <c r="Q155" s="474">
        <f>I155/I$10</f>
        <v>1.4560279557367502E-4</v>
      </c>
      <c r="R155" s="475">
        <f>I155/$K$5*100</f>
        <v>5.0709939148073022E-2</v>
      </c>
      <c r="S155" s="545">
        <f t="shared" si="99"/>
        <v>0.14925373134328357</v>
      </c>
      <c r="T155" s="546">
        <f t="shared" si="100"/>
        <v>0</v>
      </c>
      <c r="U155" s="404"/>
      <c r="V155" s="476" t="str">
        <f t="shared" si="101"/>
        <v>Low</v>
      </c>
      <c r="W155" s="476" t="str">
        <f t="shared" si="102"/>
        <v>Low</v>
      </c>
      <c r="X155" s="477" t="str">
        <f t="shared" si="103"/>
        <v>Dog</v>
      </c>
      <c r="Y155" s="374"/>
      <c r="Z155" s="571"/>
      <c r="AA155" s="366"/>
      <c r="AB155" s="503"/>
      <c r="AC155" s="366"/>
      <c r="AD155" s="366"/>
      <c r="AE155" s="366"/>
      <c r="AF155" s="366"/>
      <c r="AG155" s="366"/>
      <c r="AH155" s="366"/>
      <c r="AI155" s="366"/>
      <c r="AJ155" s="366"/>
      <c r="AK155" s="375"/>
      <c r="AL155" s="376"/>
      <c r="AM155" s="138"/>
      <c r="AN155" s="138"/>
    </row>
    <row r="156" spans="1:40" s="148" customFormat="1" ht="19.5" customHeight="1" x14ac:dyDescent="0.3">
      <c r="A156" s="366">
        <f t="shared" ref="A156:A157" si="125">A155+1</f>
        <v>2</v>
      </c>
      <c r="B156" s="467" t="s">
        <v>728</v>
      </c>
      <c r="C156" s="365" t="s">
        <v>729</v>
      </c>
      <c r="D156" s="365"/>
      <c r="E156" s="468" t="s">
        <v>437</v>
      </c>
      <c r="F156" s="581">
        <v>13625.150641025641</v>
      </c>
      <c r="G156" s="470">
        <v>0</v>
      </c>
      <c r="H156" s="470">
        <f>G156-F156</f>
        <v>-13625.150641025641</v>
      </c>
      <c r="I156" s="471">
        <v>679</v>
      </c>
      <c r="J156" s="424"/>
      <c r="K156" s="495">
        <f t="shared" ref="K156:K157" si="126">I156*F156</f>
        <v>9251477.28525641</v>
      </c>
      <c r="L156" s="424">
        <f>I156*G156</f>
        <v>0</v>
      </c>
      <c r="M156" s="424">
        <f>L156-K156</f>
        <v>-9251477.28525641</v>
      </c>
      <c r="N156" s="473" t="e">
        <f>K156/L156</f>
        <v>#DIV/0!</v>
      </c>
      <c r="O156" s="474">
        <f t="shared" si="123"/>
        <v>0</v>
      </c>
      <c r="P156" s="474">
        <f t="shared" si="123"/>
        <v>-1.8136669291554375E-2</v>
      </c>
      <c r="Q156" s="474">
        <f>I156/I$10</f>
        <v>9.886429819452533E-2</v>
      </c>
      <c r="R156" s="475">
        <f>I156/$K$5*100</f>
        <v>34.43204868154158</v>
      </c>
      <c r="S156" s="545">
        <f t="shared" si="99"/>
        <v>101.34328358208954</v>
      </c>
      <c r="T156" s="546">
        <f t="shared" si="100"/>
        <v>0</v>
      </c>
      <c r="U156" s="404"/>
      <c r="V156" s="476" t="str">
        <f t="shared" si="101"/>
        <v>High</v>
      </c>
      <c r="W156" s="476" t="str">
        <f t="shared" si="102"/>
        <v>Low</v>
      </c>
      <c r="X156" s="477" t="str">
        <f t="shared" si="103"/>
        <v>Horse</v>
      </c>
      <c r="Y156" s="374"/>
      <c r="Z156" s="571"/>
      <c r="AA156" s="366"/>
      <c r="AB156" s="503"/>
      <c r="AC156" s="366"/>
      <c r="AD156" s="366"/>
      <c r="AE156" s="366"/>
      <c r="AF156" s="366"/>
      <c r="AG156" s="366"/>
      <c r="AH156" s="366"/>
      <c r="AI156" s="366"/>
      <c r="AJ156" s="366"/>
      <c r="AK156" s="375"/>
      <c r="AL156" s="376"/>
      <c r="AM156" s="138"/>
      <c r="AN156" s="138"/>
    </row>
    <row r="157" spans="1:40" s="148" customFormat="1" ht="19.5" customHeight="1" x14ac:dyDescent="0.3">
      <c r="A157" s="366">
        <f t="shared" si="125"/>
        <v>3</v>
      </c>
      <c r="B157" s="467" t="s">
        <v>735</v>
      </c>
      <c r="C157" s="365" t="s">
        <v>737</v>
      </c>
      <c r="D157" s="365"/>
      <c r="E157" s="468" t="s">
        <v>437</v>
      </c>
      <c r="F157" s="581">
        <v>6481.4838709677415</v>
      </c>
      <c r="G157" s="470">
        <v>10000</v>
      </c>
      <c r="H157" s="470">
        <f>G157-F157</f>
        <v>3518.5161290322585</v>
      </c>
      <c r="I157" s="471">
        <v>248</v>
      </c>
      <c r="J157" s="424"/>
      <c r="K157" s="495">
        <f t="shared" si="126"/>
        <v>1607408</v>
      </c>
      <c r="L157" s="424">
        <f>I157*G157</f>
        <v>2480000</v>
      </c>
      <c r="M157" s="424">
        <f>L157-K157</f>
        <v>872592</v>
      </c>
      <c r="N157" s="473">
        <f>K157/L157</f>
        <v>0.64814838709677425</v>
      </c>
      <c r="O157" s="474">
        <f t="shared" si="123"/>
        <v>3.2148797077570638E-3</v>
      </c>
      <c r="P157" s="474">
        <f t="shared" si="123"/>
        <v>1.7106362629973632E-3</v>
      </c>
      <c r="Q157" s="474">
        <f>I157/I$10</f>
        <v>3.6109493302271402E-2</v>
      </c>
      <c r="R157" s="475">
        <f>I157/$K$5*100</f>
        <v>12.57606490872211</v>
      </c>
      <c r="S157" s="545">
        <f t="shared" si="99"/>
        <v>37.014925373134325</v>
      </c>
      <c r="T157" s="546">
        <f t="shared" si="100"/>
        <v>370149.25373134325</v>
      </c>
      <c r="U157" s="404"/>
      <c r="V157" s="476" t="str">
        <f t="shared" si="101"/>
        <v>High</v>
      </c>
      <c r="W157" s="476" t="str">
        <f t="shared" si="102"/>
        <v>Low</v>
      </c>
      <c r="X157" s="477" t="str">
        <f t="shared" si="103"/>
        <v>Horse</v>
      </c>
      <c r="Y157" s="374"/>
      <c r="Z157" s="571"/>
      <c r="AA157" s="366"/>
      <c r="AB157" s="503"/>
      <c r="AC157" s="366"/>
      <c r="AD157" s="366"/>
      <c r="AE157" s="366"/>
      <c r="AF157" s="366"/>
      <c r="AG157" s="366"/>
      <c r="AH157" s="366"/>
      <c r="AI157" s="366"/>
      <c r="AJ157" s="366"/>
      <c r="AK157" s="375"/>
      <c r="AL157" s="376"/>
      <c r="AM157" s="138"/>
      <c r="AN157" s="138"/>
    </row>
    <row r="158" spans="1:40" ht="17.25" customHeight="1" x14ac:dyDescent="0.3">
      <c r="A158" s="366"/>
      <c r="B158" s="518"/>
      <c r="C158" s="518"/>
      <c r="D158" s="495"/>
      <c r="E158" s="468"/>
      <c r="F158" s="478"/>
      <c r="G158" s="470"/>
      <c r="H158" s="494"/>
      <c r="I158" s="471"/>
      <c r="J158" s="424"/>
      <c r="K158" s="495"/>
      <c r="L158" s="495"/>
      <c r="M158" s="495"/>
      <c r="N158" s="496"/>
      <c r="O158" s="497"/>
      <c r="P158" s="497"/>
      <c r="Q158" s="497"/>
      <c r="R158" s="498"/>
      <c r="S158" s="545">
        <f t="shared" si="99"/>
        <v>0</v>
      </c>
      <c r="T158" s="546">
        <f t="shared" si="100"/>
        <v>0</v>
      </c>
      <c r="U158" s="404"/>
      <c r="V158" s="476" t="str">
        <f t="shared" si="101"/>
        <v/>
      </c>
      <c r="W158" s="476" t="str">
        <f t="shared" si="102"/>
        <v/>
      </c>
      <c r="X158" s="477" t="str">
        <f t="shared" si="103"/>
        <v/>
      </c>
      <c r="AA158" s="366"/>
      <c r="AB158" s="503"/>
      <c r="AC158" s="366"/>
      <c r="AD158" s="366"/>
      <c r="AE158" s="366"/>
      <c r="AF158" s="366"/>
      <c r="AG158" s="366"/>
      <c r="AH158" s="366"/>
      <c r="AI158" s="366"/>
      <c r="AJ158" s="366"/>
      <c r="AM158" s="76"/>
      <c r="AN158" s="76"/>
    </row>
    <row r="159" spans="1:40" ht="17.25" customHeight="1" x14ac:dyDescent="0.3">
      <c r="A159" s="453"/>
      <c r="B159" s="479" t="s">
        <v>493</v>
      </c>
      <c r="C159" s="479" t="s">
        <v>440</v>
      </c>
      <c r="D159" s="480"/>
      <c r="E159" s="480"/>
      <c r="F159" s="480"/>
      <c r="G159" s="481"/>
      <c r="H159" s="481"/>
      <c r="I159" s="482">
        <f>SUBTOTAL(9,I160:I165)</f>
        <v>1401</v>
      </c>
      <c r="J159" s="484"/>
      <c r="K159" s="480">
        <f>SUBTOTAL(9,K160:K165)</f>
        <v>800768.51574212906</v>
      </c>
      <c r="L159" s="480">
        <f>SUBTOTAL(9,L160:L165)</f>
        <v>4350000</v>
      </c>
      <c r="M159" s="480">
        <f>SUBTOTAL(9,M160:M165)</f>
        <v>3549231.4842578708</v>
      </c>
      <c r="N159" s="485">
        <f t="shared" ref="N159:N164" si="127">K159/L159</f>
        <v>0.1840847162625584</v>
      </c>
      <c r="O159" s="486">
        <f t="shared" ref="O159:P164" si="128">L159/L$10</f>
        <v>5.6390027132029149E-3</v>
      </c>
      <c r="P159" s="486">
        <f t="shared" si="128"/>
        <v>6.9579414924082145E-3</v>
      </c>
      <c r="Q159" s="486">
        <f t="shared" ref="Q159:Q164" si="129">I159/I$10</f>
        <v>0.2039895165987187</v>
      </c>
      <c r="R159" s="487">
        <f t="shared" ref="R159:R164" si="130">I159/$K$5*100</f>
        <v>71.044624746450296</v>
      </c>
      <c r="S159" s="487">
        <f t="shared" si="99"/>
        <v>209.10447761194027</v>
      </c>
      <c r="T159" s="487">
        <f t="shared" si="100"/>
        <v>0</v>
      </c>
      <c r="U159" s="404"/>
      <c r="V159" s="476" t="str">
        <f t="shared" si="101"/>
        <v>High</v>
      </c>
      <c r="W159" s="476" t="str">
        <f t="shared" si="102"/>
        <v>Low</v>
      </c>
      <c r="X159" s="477" t="str">
        <f t="shared" si="103"/>
        <v>Horse</v>
      </c>
      <c r="AA159" s="366"/>
      <c r="AB159" s="503"/>
      <c r="AC159" s="366"/>
      <c r="AD159" s="366"/>
      <c r="AE159" s="366"/>
      <c r="AF159" s="366"/>
      <c r="AG159" s="366"/>
      <c r="AH159" s="366"/>
      <c r="AI159" s="366"/>
      <c r="AJ159" s="366"/>
      <c r="AM159" s="76"/>
      <c r="AN159" s="76"/>
    </row>
    <row r="160" spans="1:40" ht="17.25" customHeight="1" x14ac:dyDescent="0.3">
      <c r="A160" s="366">
        <v>1</v>
      </c>
      <c r="B160" s="518" t="s">
        <v>568</v>
      </c>
      <c r="C160" s="365" t="s">
        <v>569</v>
      </c>
      <c r="D160" s="365"/>
      <c r="E160" s="468" t="s">
        <v>431</v>
      </c>
      <c r="F160" s="581">
        <v>571.97751124437787</v>
      </c>
      <c r="G160" s="470">
        <v>3000</v>
      </c>
      <c r="H160" s="494">
        <f t="shared" ref="H160:H164" si="131">G160-F160</f>
        <v>2428.0224887556224</v>
      </c>
      <c r="I160" s="471">
        <v>1400</v>
      </c>
      <c r="J160" s="424"/>
      <c r="K160" s="495">
        <f t="shared" ref="K160:K164" si="132">I160*F160</f>
        <v>800768.51574212906</v>
      </c>
      <c r="L160" s="495">
        <f t="shared" ref="L160:L164" si="133">I160*G160</f>
        <v>4200000</v>
      </c>
      <c r="M160" s="495">
        <f t="shared" ref="M160:M164" si="134">L160-K160</f>
        <v>3399231.4842578708</v>
      </c>
      <c r="N160" s="496">
        <f t="shared" si="127"/>
        <v>0.19065917041479263</v>
      </c>
      <c r="O160" s="497">
        <f t="shared" si="128"/>
        <v>5.4445543437821242E-3</v>
      </c>
      <c r="P160" s="497">
        <f t="shared" si="128"/>
        <v>6.6638803052215291E-3</v>
      </c>
      <c r="Q160" s="497">
        <f t="shared" si="129"/>
        <v>0.20384391380314501</v>
      </c>
      <c r="R160" s="498">
        <f t="shared" si="130"/>
        <v>70.993914807302232</v>
      </c>
      <c r="S160" s="545">
        <f t="shared" si="99"/>
        <v>208.955223880597</v>
      </c>
      <c r="T160" s="546">
        <f t="shared" si="100"/>
        <v>626865.67164179101</v>
      </c>
      <c r="U160" s="404"/>
      <c r="V160" s="476" t="str">
        <f t="shared" si="101"/>
        <v>High</v>
      </c>
      <c r="W160" s="476" t="str">
        <f t="shared" si="102"/>
        <v>Low</v>
      </c>
      <c r="X160" s="477" t="str">
        <f t="shared" si="103"/>
        <v>Horse</v>
      </c>
      <c r="AA160" s="366"/>
      <c r="AB160" s="503"/>
      <c r="AC160" s="366"/>
      <c r="AD160" s="366"/>
      <c r="AE160" s="366"/>
      <c r="AF160" s="366"/>
      <c r="AG160" s="366"/>
      <c r="AH160" s="366"/>
      <c r="AI160" s="366"/>
      <c r="AJ160" s="366"/>
      <c r="AM160" s="76"/>
      <c r="AN160" s="76"/>
    </row>
    <row r="161" spans="1:40" ht="17.25" customHeight="1" x14ac:dyDescent="0.3">
      <c r="A161" s="366">
        <f t="shared" ref="A161:A164" si="135">A160+1</f>
        <v>2</v>
      </c>
      <c r="B161" s="518" t="s">
        <v>516</v>
      </c>
      <c r="C161" s="365" t="s">
        <v>551</v>
      </c>
      <c r="D161" s="365"/>
      <c r="E161" s="468" t="s">
        <v>307</v>
      </c>
      <c r="F161" s="581"/>
      <c r="G161" s="470">
        <v>100000</v>
      </c>
      <c r="H161" s="494">
        <f t="shared" si="131"/>
        <v>100000</v>
      </c>
      <c r="I161" s="471">
        <v>0</v>
      </c>
      <c r="J161" s="424"/>
      <c r="K161" s="495">
        <f t="shared" si="132"/>
        <v>0</v>
      </c>
      <c r="L161" s="495">
        <f t="shared" si="133"/>
        <v>0</v>
      </c>
      <c r="M161" s="495">
        <f t="shared" si="134"/>
        <v>0</v>
      </c>
      <c r="N161" s="496" t="e">
        <f t="shared" si="127"/>
        <v>#DIV/0!</v>
      </c>
      <c r="O161" s="497">
        <f t="shared" si="128"/>
        <v>0</v>
      </c>
      <c r="P161" s="497">
        <f t="shared" si="128"/>
        <v>0</v>
      </c>
      <c r="Q161" s="497">
        <f t="shared" si="129"/>
        <v>0</v>
      </c>
      <c r="R161" s="498">
        <f t="shared" si="130"/>
        <v>0</v>
      </c>
      <c r="S161" s="545">
        <f t="shared" si="99"/>
        <v>0</v>
      </c>
      <c r="T161" s="546">
        <f t="shared" si="100"/>
        <v>0</v>
      </c>
      <c r="U161" s="404"/>
      <c r="V161" s="476" t="str">
        <f t="shared" si="101"/>
        <v>Low</v>
      </c>
      <c r="W161" s="476" t="str">
        <f t="shared" si="102"/>
        <v>Low</v>
      </c>
      <c r="X161" s="477" t="str">
        <f t="shared" si="103"/>
        <v>Dog</v>
      </c>
      <c r="AA161" s="366"/>
      <c r="AB161" s="503"/>
      <c r="AC161" s="366"/>
      <c r="AD161" s="366"/>
      <c r="AE161" s="366"/>
      <c r="AF161" s="366"/>
      <c r="AG161" s="366"/>
      <c r="AH161" s="366"/>
      <c r="AI161" s="366"/>
      <c r="AJ161" s="366"/>
      <c r="AM161" s="76"/>
      <c r="AN161" s="76"/>
    </row>
    <row r="162" spans="1:40" ht="17.25" customHeight="1" x14ac:dyDescent="0.3">
      <c r="A162" s="366">
        <f t="shared" si="135"/>
        <v>3</v>
      </c>
      <c r="B162" s="518" t="s">
        <v>517</v>
      </c>
      <c r="C162" s="365" t="s">
        <v>552</v>
      </c>
      <c r="D162" s="365"/>
      <c r="E162" s="468" t="s">
        <v>553</v>
      </c>
      <c r="F162" s="478"/>
      <c r="G162" s="470">
        <v>150000</v>
      </c>
      <c r="H162" s="494">
        <f t="shared" si="131"/>
        <v>150000</v>
      </c>
      <c r="I162" s="471">
        <v>1</v>
      </c>
      <c r="J162" s="424"/>
      <c r="K162" s="495">
        <f t="shared" si="132"/>
        <v>0</v>
      </c>
      <c r="L162" s="495">
        <f t="shared" si="133"/>
        <v>150000</v>
      </c>
      <c r="M162" s="495">
        <f t="shared" si="134"/>
        <v>150000</v>
      </c>
      <c r="N162" s="496">
        <f t="shared" si="127"/>
        <v>0</v>
      </c>
      <c r="O162" s="497">
        <f t="shared" si="128"/>
        <v>1.9444836942079016E-4</v>
      </c>
      <c r="P162" s="497">
        <f t="shared" si="128"/>
        <v>2.9406118718668572E-4</v>
      </c>
      <c r="Q162" s="497">
        <f t="shared" si="129"/>
        <v>1.4560279557367502E-4</v>
      </c>
      <c r="R162" s="498">
        <f t="shared" si="130"/>
        <v>5.0709939148073022E-2</v>
      </c>
      <c r="S162" s="545">
        <f t="shared" si="99"/>
        <v>0.14925373134328357</v>
      </c>
      <c r="T162" s="546">
        <f t="shared" si="100"/>
        <v>22388.059701492537</v>
      </c>
      <c r="U162" s="404"/>
      <c r="V162" s="476" t="str">
        <f t="shared" si="101"/>
        <v>Low</v>
      </c>
      <c r="W162" s="476" t="str">
        <f t="shared" si="102"/>
        <v>Low</v>
      </c>
      <c r="X162" s="477" t="str">
        <f t="shared" si="103"/>
        <v>Dog</v>
      </c>
      <c r="Y162" s="488"/>
      <c r="Z162" s="465"/>
      <c r="AA162" s="366"/>
      <c r="AB162" s="503"/>
      <c r="AC162" s="366"/>
      <c r="AD162" s="366"/>
      <c r="AE162" s="366"/>
      <c r="AF162" s="366"/>
      <c r="AG162" s="366"/>
      <c r="AH162" s="366"/>
      <c r="AI162" s="366"/>
      <c r="AJ162" s="366"/>
      <c r="AM162" s="76"/>
      <c r="AN162" s="76"/>
    </row>
    <row r="163" spans="1:40" ht="17.25" customHeight="1" x14ac:dyDescent="0.3">
      <c r="A163" s="366">
        <f t="shared" si="135"/>
        <v>4</v>
      </c>
      <c r="B163" s="518" t="s">
        <v>518</v>
      </c>
      <c r="C163" s="365" t="s">
        <v>554</v>
      </c>
      <c r="D163" s="365"/>
      <c r="E163" s="468" t="s">
        <v>415</v>
      </c>
      <c r="F163" s="478"/>
      <c r="G163" s="470">
        <v>50000</v>
      </c>
      <c r="H163" s="494">
        <f t="shared" si="131"/>
        <v>50000</v>
      </c>
      <c r="I163" s="471">
        <v>0</v>
      </c>
      <c r="J163" s="424"/>
      <c r="K163" s="495">
        <f t="shared" si="132"/>
        <v>0</v>
      </c>
      <c r="L163" s="495">
        <f t="shared" si="133"/>
        <v>0</v>
      </c>
      <c r="M163" s="495">
        <f t="shared" si="134"/>
        <v>0</v>
      </c>
      <c r="N163" s="496" t="e">
        <f t="shared" si="127"/>
        <v>#DIV/0!</v>
      </c>
      <c r="O163" s="497">
        <f t="shared" si="128"/>
        <v>0</v>
      </c>
      <c r="P163" s="497">
        <f t="shared" si="128"/>
        <v>0</v>
      </c>
      <c r="Q163" s="497">
        <f t="shared" si="129"/>
        <v>0</v>
      </c>
      <c r="R163" s="498">
        <f t="shared" si="130"/>
        <v>0</v>
      </c>
      <c r="S163" s="545">
        <f t="shared" si="99"/>
        <v>0</v>
      </c>
      <c r="T163" s="546">
        <f t="shared" si="100"/>
        <v>0</v>
      </c>
      <c r="U163" s="404"/>
      <c r="V163" s="476" t="str">
        <f t="shared" si="101"/>
        <v>Low</v>
      </c>
      <c r="W163" s="476" t="str">
        <f t="shared" si="102"/>
        <v>Low</v>
      </c>
      <c r="X163" s="477" t="str">
        <f t="shared" si="103"/>
        <v>Dog</v>
      </c>
      <c r="Y163" s="571"/>
      <c r="AA163" s="366"/>
      <c r="AB163" s="503"/>
      <c r="AC163" s="366"/>
      <c r="AD163" s="366"/>
      <c r="AE163" s="366"/>
      <c r="AF163" s="366"/>
      <c r="AG163" s="366"/>
      <c r="AH163" s="366"/>
      <c r="AI163" s="366"/>
      <c r="AJ163" s="366"/>
      <c r="AM163" s="76"/>
      <c r="AN163" s="76"/>
    </row>
    <row r="164" spans="1:40" ht="17.25" customHeight="1" x14ac:dyDescent="0.3">
      <c r="A164" s="366">
        <f t="shared" si="135"/>
        <v>5</v>
      </c>
      <c r="B164" s="518" t="s">
        <v>519</v>
      </c>
      <c r="C164" s="365" t="s">
        <v>441</v>
      </c>
      <c r="D164" s="365"/>
      <c r="E164" s="468" t="s">
        <v>38</v>
      </c>
      <c r="F164" s="478"/>
      <c r="G164" s="470">
        <v>80000</v>
      </c>
      <c r="H164" s="494">
        <f t="shared" si="131"/>
        <v>80000</v>
      </c>
      <c r="I164" s="471">
        <v>0</v>
      </c>
      <c r="J164" s="424"/>
      <c r="K164" s="495">
        <f t="shared" si="132"/>
        <v>0</v>
      </c>
      <c r="L164" s="495">
        <f t="shared" si="133"/>
        <v>0</v>
      </c>
      <c r="M164" s="495">
        <f t="shared" si="134"/>
        <v>0</v>
      </c>
      <c r="N164" s="496" t="e">
        <f t="shared" si="127"/>
        <v>#DIV/0!</v>
      </c>
      <c r="O164" s="497">
        <f t="shared" si="128"/>
        <v>0</v>
      </c>
      <c r="P164" s="497">
        <f t="shared" si="128"/>
        <v>0</v>
      </c>
      <c r="Q164" s="497">
        <f t="shared" si="129"/>
        <v>0</v>
      </c>
      <c r="R164" s="498">
        <f t="shared" si="130"/>
        <v>0</v>
      </c>
      <c r="S164" s="545">
        <f t="shared" si="99"/>
        <v>0</v>
      </c>
      <c r="T164" s="546">
        <f t="shared" si="100"/>
        <v>0</v>
      </c>
      <c r="U164" s="404"/>
      <c r="V164" s="476" t="str">
        <f t="shared" si="101"/>
        <v>Low</v>
      </c>
      <c r="W164" s="476" t="str">
        <f t="shared" si="102"/>
        <v>Low</v>
      </c>
      <c r="X164" s="477" t="str">
        <f t="shared" si="103"/>
        <v>Dog</v>
      </c>
      <c r="Y164" s="571"/>
      <c r="AM164" s="76"/>
      <c r="AN164" s="76"/>
    </row>
    <row r="165" spans="1:40" ht="17.25" customHeight="1" x14ac:dyDescent="0.3">
      <c r="A165" s="366"/>
      <c r="B165" s="519"/>
      <c r="C165" s="520"/>
      <c r="D165" s="520"/>
      <c r="E165" s="521"/>
      <c r="F165" s="522"/>
      <c r="G165" s="523"/>
      <c r="H165" s="524"/>
      <c r="I165" s="525"/>
      <c r="J165" s="499"/>
      <c r="K165" s="526"/>
      <c r="L165" s="526"/>
      <c r="M165" s="526"/>
      <c r="N165" s="527"/>
      <c r="O165" s="528"/>
      <c r="P165" s="528"/>
      <c r="Q165" s="528"/>
      <c r="R165" s="529"/>
      <c r="S165" s="549">
        <f t="shared" si="99"/>
        <v>0</v>
      </c>
      <c r="T165" s="550">
        <f t="shared" si="100"/>
        <v>0</v>
      </c>
      <c r="U165" s="404"/>
      <c r="V165" s="476" t="str">
        <f t="shared" si="101"/>
        <v/>
      </c>
      <c r="W165" s="476" t="str">
        <f t="shared" si="102"/>
        <v/>
      </c>
      <c r="X165" s="477" t="str">
        <f t="shared" si="103"/>
        <v/>
      </c>
      <c r="Y165" s="571"/>
      <c r="AM165" s="76"/>
      <c r="AN165" s="76"/>
    </row>
    <row r="166" spans="1:40" ht="17.25" customHeight="1" x14ac:dyDescent="0.3">
      <c r="U166" s="465"/>
      <c r="V166" s="571" t="str">
        <f t="shared" si="101"/>
        <v/>
      </c>
      <c r="W166" s="571" t="str">
        <f t="shared" si="102"/>
        <v/>
      </c>
      <c r="X166" s="571" t="str">
        <f t="shared" si="103"/>
        <v/>
      </c>
      <c r="AM166" s="76"/>
      <c r="AN166" s="76"/>
    </row>
    <row r="167" spans="1:40" s="148" customFormat="1" ht="17.25" customHeight="1" x14ac:dyDescent="0.3">
      <c r="A167" s="571"/>
      <c r="B167" s="571"/>
      <c r="C167" s="571"/>
      <c r="D167" s="571"/>
      <c r="E167" s="530"/>
      <c r="F167" s="503"/>
      <c r="G167" s="571"/>
      <c r="H167" s="571"/>
      <c r="I167" s="401"/>
      <c r="J167" s="571"/>
      <c r="K167" s="571"/>
      <c r="L167" s="571"/>
      <c r="M167" s="571"/>
      <c r="N167" s="571"/>
      <c r="O167" s="571"/>
      <c r="P167" s="571"/>
      <c r="Q167" s="571"/>
      <c r="R167" s="571"/>
      <c r="S167" s="571"/>
      <c r="T167" s="571"/>
      <c r="U167" s="465"/>
      <c r="V167" s="571" t="str">
        <f t="shared" si="101"/>
        <v/>
      </c>
      <c r="W167" s="571" t="str">
        <f t="shared" si="102"/>
        <v/>
      </c>
      <c r="X167" s="571" t="str">
        <f t="shared" si="103"/>
        <v/>
      </c>
      <c r="Y167" s="374"/>
      <c r="Z167" s="571"/>
      <c r="AA167" s="571"/>
      <c r="AB167" s="571"/>
      <c r="AC167" s="571"/>
      <c r="AD167" s="571"/>
      <c r="AE167" s="571"/>
      <c r="AF167" s="571"/>
      <c r="AG167" s="571"/>
      <c r="AH167" s="571"/>
      <c r="AI167" s="571"/>
      <c r="AJ167" s="571"/>
      <c r="AK167" s="375"/>
      <c r="AL167" s="376"/>
      <c r="AM167" s="138"/>
      <c r="AN167" s="138"/>
    </row>
    <row r="168" spans="1:40" ht="17.25" customHeight="1" x14ac:dyDescent="0.3">
      <c r="V168" s="571"/>
      <c r="W168" s="571"/>
      <c r="X168" s="571"/>
      <c r="AM168" s="76"/>
      <c r="AN168" s="76"/>
    </row>
    <row r="169" spans="1:40" ht="17.25" customHeight="1" x14ac:dyDescent="0.3">
      <c r="AM169" s="76"/>
      <c r="AN169" s="76"/>
    </row>
    <row r="170" spans="1:40" ht="17.25" customHeight="1" x14ac:dyDescent="0.3">
      <c r="AM170" s="76"/>
      <c r="AN170" s="76"/>
    </row>
    <row r="171" spans="1:40" ht="17.25" customHeight="1" x14ac:dyDescent="0.3">
      <c r="AM171" s="76"/>
      <c r="AN171" s="76"/>
    </row>
    <row r="172" spans="1:40" s="148" customFormat="1" ht="17.25" customHeight="1" x14ac:dyDescent="0.3">
      <c r="A172" s="571"/>
      <c r="B172" s="571"/>
      <c r="C172" s="571"/>
      <c r="D172" s="571"/>
      <c r="E172" s="530"/>
      <c r="F172" s="503"/>
      <c r="G172" s="571"/>
      <c r="H172" s="571"/>
      <c r="I172" s="401"/>
      <c r="J172" s="571"/>
      <c r="K172" s="571"/>
      <c r="L172" s="571"/>
      <c r="M172" s="571"/>
      <c r="N172" s="571"/>
      <c r="O172" s="571"/>
      <c r="P172" s="571"/>
      <c r="Q172" s="571"/>
      <c r="R172" s="571"/>
      <c r="S172" s="571"/>
      <c r="T172" s="571"/>
      <c r="U172" s="571"/>
      <c r="V172" s="374"/>
      <c r="W172" s="374"/>
      <c r="X172" s="374"/>
      <c r="Y172" s="374"/>
      <c r="Z172" s="571"/>
      <c r="AA172" s="571"/>
      <c r="AB172" s="571"/>
      <c r="AC172" s="571"/>
      <c r="AD172" s="571"/>
      <c r="AE172" s="571"/>
      <c r="AF172" s="571"/>
      <c r="AG172" s="571"/>
      <c r="AH172" s="571"/>
      <c r="AI172" s="571"/>
      <c r="AJ172" s="571"/>
      <c r="AK172" s="375"/>
      <c r="AL172" s="376"/>
      <c r="AM172" s="138"/>
      <c r="AN172" s="138"/>
    </row>
    <row r="173" spans="1:40" ht="17.25" customHeight="1" x14ac:dyDescent="0.3">
      <c r="AM173" s="76"/>
      <c r="AN173" s="76"/>
    </row>
    <row r="174" spans="1:40" ht="17.25" customHeight="1" x14ac:dyDescent="0.3">
      <c r="AM174" s="76"/>
      <c r="AN174" s="76"/>
    </row>
    <row r="175" spans="1:40" ht="17.25" customHeight="1" x14ac:dyDescent="0.3">
      <c r="AM175" s="76"/>
      <c r="AN175" s="76"/>
    </row>
    <row r="176" spans="1:40" ht="17.25" customHeight="1" x14ac:dyDescent="0.3">
      <c r="AM176" s="76"/>
      <c r="AN176" s="76"/>
    </row>
    <row r="177" spans="1:40" ht="17.25" customHeight="1" x14ac:dyDescent="0.3">
      <c r="AM177" s="76"/>
      <c r="AN177" s="76"/>
    </row>
    <row r="178" spans="1:40" ht="17.25" customHeight="1" x14ac:dyDescent="0.3">
      <c r="AM178" s="76"/>
      <c r="AN178" s="76"/>
    </row>
    <row r="179" spans="1:40" ht="17.25" customHeight="1" x14ac:dyDescent="0.3">
      <c r="AM179" s="76"/>
      <c r="AN179" s="76"/>
    </row>
    <row r="180" spans="1:40" ht="17.25" customHeight="1" x14ac:dyDescent="0.3">
      <c r="AM180" s="76"/>
      <c r="AN180" s="76"/>
    </row>
    <row r="181" spans="1:40" ht="17.25" customHeight="1" x14ac:dyDescent="0.3">
      <c r="AM181" s="76"/>
      <c r="AN181" s="76"/>
    </row>
    <row r="182" spans="1:40" ht="17.25" customHeight="1" x14ac:dyDescent="0.3">
      <c r="AM182" s="76"/>
      <c r="AN182" s="76"/>
    </row>
    <row r="183" spans="1:40" ht="17.25" customHeight="1" x14ac:dyDescent="0.3">
      <c r="AM183" s="76"/>
      <c r="AN183" s="76"/>
    </row>
    <row r="184" spans="1:40" ht="17.25" customHeight="1" x14ac:dyDescent="0.3">
      <c r="AM184" s="76"/>
      <c r="AN184" s="76"/>
    </row>
    <row r="185" spans="1:40" ht="17.25" customHeight="1" x14ac:dyDescent="0.3">
      <c r="AM185" s="76"/>
      <c r="AN185" s="76"/>
    </row>
    <row r="186" spans="1:40" ht="17.25" customHeight="1" x14ac:dyDescent="0.3">
      <c r="AM186" s="76"/>
      <c r="AN186" s="76"/>
    </row>
    <row r="187" spans="1:40" ht="17.25" customHeight="1" x14ac:dyDescent="0.3">
      <c r="AM187" s="76"/>
      <c r="AN187" s="76"/>
    </row>
    <row r="188" spans="1:40" ht="17.25" customHeight="1" x14ac:dyDescent="0.3">
      <c r="AM188" s="76"/>
      <c r="AN188" s="76"/>
    </row>
    <row r="189" spans="1:40" ht="17.25" customHeight="1" x14ac:dyDescent="0.3">
      <c r="AM189" s="76"/>
      <c r="AN189" s="76"/>
    </row>
    <row r="190" spans="1:40" ht="17.25" customHeight="1" x14ac:dyDescent="0.3">
      <c r="AM190" s="76"/>
      <c r="AN190" s="76"/>
    </row>
    <row r="191" spans="1:40" s="148" customFormat="1" ht="17.25" customHeight="1" x14ac:dyDescent="0.3">
      <c r="A191" s="571"/>
      <c r="B191" s="571"/>
      <c r="C191" s="571"/>
      <c r="D191" s="571"/>
      <c r="E191" s="530"/>
      <c r="F191" s="503"/>
      <c r="G191" s="571"/>
      <c r="H191" s="571"/>
      <c r="I191" s="401"/>
      <c r="J191" s="571"/>
      <c r="K191" s="571"/>
      <c r="L191" s="571"/>
      <c r="M191" s="571"/>
      <c r="N191" s="571"/>
      <c r="O191" s="571"/>
      <c r="P191" s="571"/>
      <c r="Q191" s="571"/>
      <c r="R191" s="571"/>
      <c r="S191" s="571"/>
      <c r="T191" s="571"/>
      <c r="U191" s="571"/>
      <c r="V191" s="374"/>
      <c r="W191" s="374"/>
      <c r="X191" s="374"/>
      <c r="Y191" s="374"/>
      <c r="Z191" s="571"/>
      <c r="AA191" s="571"/>
      <c r="AB191" s="571"/>
      <c r="AC191" s="571"/>
      <c r="AD191" s="571"/>
      <c r="AE191" s="571"/>
      <c r="AF191" s="571"/>
      <c r="AG191" s="571"/>
      <c r="AH191" s="571"/>
      <c r="AI191" s="571"/>
      <c r="AJ191" s="571"/>
      <c r="AK191" s="375"/>
      <c r="AL191" s="376"/>
      <c r="AM191" s="138"/>
      <c r="AN191" s="138"/>
    </row>
    <row r="192" spans="1:40" ht="17.25" customHeight="1" x14ac:dyDescent="0.3">
      <c r="AM192" s="76"/>
      <c r="AN192" s="76"/>
    </row>
    <row r="193" spans="1:40" ht="17.25" customHeight="1" x14ac:dyDescent="0.3">
      <c r="AM193" s="76"/>
      <c r="AN193" s="76"/>
    </row>
    <row r="194" spans="1:40" ht="17.25" customHeight="1" x14ac:dyDescent="0.3">
      <c r="AM194" s="76"/>
      <c r="AN194" s="76"/>
    </row>
    <row r="195" spans="1:40" s="148" customFormat="1" ht="17.25" customHeight="1" x14ac:dyDescent="0.3">
      <c r="A195" s="571"/>
      <c r="B195" s="571"/>
      <c r="C195" s="571"/>
      <c r="D195" s="571"/>
      <c r="E195" s="530"/>
      <c r="F195" s="503"/>
      <c r="G195" s="571"/>
      <c r="H195" s="571"/>
      <c r="I195" s="401"/>
      <c r="J195" s="571"/>
      <c r="K195" s="571"/>
      <c r="L195" s="571"/>
      <c r="M195" s="571"/>
      <c r="N195" s="571"/>
      <c r="O195" s="571"/>
      <c r="P195" s="571"/>
      <c r="Q195" s="571"/>
      <c r="R195" s="571"/>
      <c r="S195" s="571"/>
      <c r="T195" s="571"/>
      <c r="U195" s="571"/>
      <c r="V195" s="374"/>
      <c r="W195" s="374"/>
      <c r="X195" s="374"/>
      <c r="Y195" s="374"/>
      <c r="Z195" s="571"/>
      <c r="AA195" s="571"/>
      <c r="AB195" s="571"/>
      <c r="AC195" s="571"/>
      <c r="AD195" s="571"/>
      <c r="AE195" s="571"/>
      <c r="AF195" s="571"/>
      <c r="AG195" s="571"/>
      <c r="AH195" s="571"/>
      <c r="AI195" s="571"/>
      <c r="AJ195" s="571"/>
      <c r="AK195" s="375"/>
      <c r="AL195" s="376"/>
      <c r="AM195" s="138"/>
      <c r="AN195" s="138"/>
    </row>
    <row r="196" spans="1:40" ht="17.25" customHeight="1" x14ac:dyDescent="0.3">
      <c r="AM196" s="76"/>
      <c r="AN196" s="76"/>
    </row>
    <row r="197" spans="1:40" ht="17.25" customHeight="1" x14ac:dyDescent="0.3">
      <c r="AM197" s="76"/>
      <c r="AN197" s="76"/>
    </row>
    <row r="198" spans="1:40" ht="17.25" customHeight="1" x14ac:dyDescent="0.3">
      <c r="AM198" s="76"/>
      <c r="AN198" s="76"/>
    </row>
    <row r="199" spans="1:40" ht="17.25" customHeight="1" x14ac:dyDescent="0.3">
      <c r="AM199" s="76"/>
      <c r="AN199" s="76"/>
    </row>
    <row r="200" spans="1:40" ht="17.25" customHeight="1" x14ac:dyDescent="0.3">
      <c r="AM200" s="76"/>
      <c r="AN200" s="76"/>
    </row>
    <row r="201" spans="1:40" ht="17.25" customHeight="1" x14ac:dyDescent="0.3">
      <c r="AM201" s="76"/>
      <c r="AN201" s="76"/>
    </row>
    <row r="202" spans="1:40" ht="17.25" customHeight="1" x14ac:dyDescent="0.3">
      <c r="AM202" s="76"/>
      <c r="AN202" s="76"/>
    </row>
    <row r="203" spans="1:40" ht="17.25" customHeight="1" x14ac:dyDescent="0.3">
      <c r="AM203" s="76"/>
      <c r="AN203" s="76"/>
    </row>
    <row r="204" spans="1:40" ht="17.25" customHeight="1" x14ac:dyDescent="0.3">
      <c r="AM204" s="76"/>
      <c r="AN204" s="76"/>
    </row>
    <row r="205" spans="1:40" ht="17.25" customHeight="1" x14ac:dyDescent="0.3">
      <c r="AM205" s="76"/>
      <c r="AN205" s="76"/>
    </row>
    <row r="206" spans="1:40" ht="17.25" customHeight="1" x14ac:dyDescent="0.3">
      <c r="AM206" s="76"/>
      <c r="AN206" s="76"/>
    </row>
    <row r="207" spans="1:40" ht="17.25" customHeight="1" x14ac:dyDescent="0.3">
      <c r="AM207" s="76"/>
      <c r="AN207" s="76"/>
    </row>
    <row r="208" spans="1:40" ht="17.25" customHeight="1" x14ac:dyDescent="0.3">
      <c r="AM208" s="76"/>
      <c r="AN208" s="76"/>
    </row>
    <row r="209" spans="1:40" ht="17.25" customHeight="1" x14ac:dyDescent="0.3">
      <c r="AM209" s="76"/>
      <c r="AN209" s="76"/>
    </row>
    <row r="210" spans="1:40" ht="17.25" customHeight="1" x14ac:dyDescent="0.3">
      <c r="AM210" s="76"/>
      <c r="AN210" s="76"/>
    </row>
    <row r="211" spans="1:40" ht="17.25" customHeight="1" x14ac:dyDescent="0.3">
      <c r="AM211" s="76"/>
      <c r="AN211" s="76"/>
    </row>
    <row r="212" spans="1:40" ht="17.25" customHeight="1" x14ac:dyDescent="0.3">
      <c r="AM212" s="76"/>
      <c r="AN212" s="76"/>
    </row>
    <row r="213" spans="1:40" ht="17.25" customHeight="1" x14ac:dyDescent="0.3">
      <c r="AM213" s="76"/>
      <c r="AN213" s="76"/>
    </row>
    <row r="214" spans="1:40" s="148" customFormat="1" ht="17.25" customHeight="1" x14ac:dyDescent="0.3">
      <c r="A214" s="571"/>
      <c r="B214" s="571"/>
      <c r="C214" s="571"/>
      <c r="D214" s="571"/>
      <c r="E214" s="530"/>
      <c r="F214" s="503"/>
      <c r="G214" s="571"/>
      <c r="H214" s="571"/>
      <c r="I214" s="401"/>
      <c r="J214" s="571"/>
      <c r="K214" s="571"/>
      <c r="L214" s="571"/>
      <c r="M214" s="571"/>
      <c r="N214" s="571"/>
      <c r="O214" s="571"/>
      <c r="P214" s="571"/>
      <c r="Q214" s="571"/>
      <c r="R214" s="571"/>
      <c r="S214" s="571"/>
      <c r="T214" s="571"/>
      <c r="U214" s="571"/>
      <c r="V214" s="374"/>
      <c r="W214" s="374"/>
      <c r="X214" s="374"/>
      <c r="Y214" s="374"/>
      <c r="Z214" s="571"/>
      <c r="AA214" s="571"/>
      <c r="AB214" s="571"/>
      <c r="AC214" s="571"/>
      <c r="AD214" s="571"/>
      <c r="AE214" s="571"/>
      <c r="AF214" s="571"/>
      <c r="AG214" s="571"/>
      <c r="AH214" s="571"/>
      <c r="AI214" s="571"/>
      <c r="AJ214" s="571"/>
      <c r="AK214" s="375"/>
      <c r="AL214" s="376"/>
      <c r="AM214" s="138"/>
      <c r="AN214" s="138"/>
    </row>
    <row r="215" spans="1:40" ht="17.25" customHeight="1" x14ac:dyDescent="0.3">
      <c r="AM215" s="76"/>
      <c r="AN215" s="76"/>
    </row>
    <row r="216" spans="1:40" ht="17.25" customHeight="1" x14ac:dyDescent="0.3">
      <c r="AM216" s="76"/>
      <c r="AN216" s="76"/>
    </row>
    <row r="217" spans="1:40" ht="17.25" customHeight="1" x14ac:dyDescent="0.3">
      <c r="AM217" s="76"/>
      <c r="AN217" s="76"/>
    </row>
    <row r="218" spans="1:40" ht="17.25" customHeight="1" x14ac:dyDescent="0.3">
      <c r="AM218" s="76"/>
      <c r="AN218" s="76"/>
    </row>
    <row r="219" spans="1:40" ht="17.25" customHeight="1" x14ac:dyDescent="0.3">
      <c r="AM219" s="76"/>
      <c r="AN219" s="76"/>
    </row>
    <row r="220" spans="1:40" ht="17.25" customHeight="1" x14ac:dyDescent="0.3">
      <c r="AM220" s="76"/>
      <c r="AN220" s="76"/>
    </row>
    <row r="221" spans="1:40" ht="17.25" customHeight="1" x14ac:dyDescent="0.3">
      <c r="AM221" s="76"/>
      <c r="AN221" s="76"/>
    </row>
    <row r="222" spans="1:40" ht="17.25" customHeight="1" x14ac:dyDescent="0.3">
      <c r="AM222" s="76"/>
      <c r="AN222" s="76"/>
    </row>
    <row r="223" spans="1:40" ht="17.25" customHeight="1" x14ac:dyDescent="0.3">
      <c r="AM223" s="76"/>
      <c r="AN223" s="76"/>
    </row>
    <row r="224" spans="1:40" ht="17.25" customHeight="1" x14ac:dyDescent="0.3">
      <c r="AM224" s="76"/>
      <c r="AN224" s="76"/>
    </row>
    <row r="225" spans="39:40" ht="17.25" customHeight="1" x14ac:dyDescent="0.3">
      <c r="AM225" s="76"/>
      <c r="AN225" s="76"/>
    </row>
    <row r="226" spans="39:40" ht="17.25" customHeight="1" x14ac:dyDescent="0.3">
      <c r="AM226" s="76"/>
      <c r="AN226" s="76"/>
    </row>
    <row r="227" spans="39:40" ht="17.25" customHeight="1" x14ac:dyDescent="0.3">
      <c r="AM227" s="76"/>
      <c r="AN227" s="76"/>
    </row>
    <row r="228" spans="39:40" ht="17.25" customHeight="1" x14ac:dyDescent="0.3">
      <c r="AM228" s="76"/>
      <c r="AN228" s="76"/>
    </row>
    <row r="229" spans="39:40" ht="17.25" customHeight="1" x14ac:dyDescent="0.3">
      <c r="AM229" s="76"/>
      <c r="AN229" s="76"/>
    </row>
    <row r="230" spans="39:40" ht="17.25" customHeight="1" x14ac:dyDescent="0.3">
      <c r="AM230" s="76"/>
      <c r="AN230" s="76"/>
    </row>
    <row r="231" spans="39:40" ht="17.25" customHeight="1" x14ac:dyDescent="0.3">
      <c r="AM231" s="76"/>
      <c r="AN231" s="76"/>
    </row>
    <row r="232" spans="39:40" ht="17.25" customHeight="1" x14ac:dyDescent="0.3">
      <c r="AM232" s="76"/>
      <c r="AN232" s="76"/>
    </row>
    <row r="233" spans="39:40" ht="17.25" customHeight="1" x14ac:dyDescent="0.3">
      <c r="AM233" s="76"/>
      <c r="AN233" s="76"/>
    </row>
    <row r="234" spans="39:40" ht="17.25" customHeight="1" x14ac:dyDescent="0.3">
      <c r="AM234" s="76"/>
      <c r="AN234" s="76"/>
    </row>
    <row r="235" spans="39:40" ht="17.25" customHeight="1" x14ac:dyDescent="0.3">
      <c r="AM235" s="76"/>
      <c r="AN235" s="76"/>
    </row>
    <row r="236" spans="39:40" ht="17.25" customHeight="1" x14ac:dyDescent="0.3">
      <c r="AM236" s="76"/>
      <c r="AN236" s="76"/>
    </row>
    <row r="237" spans="39:40" ht="17.25" customHeight="1" x14ac:dyDescent="0.3">
      <c r="AM237" s="76"/>
      <c r="AN237" s="76"/>
    </row>
    <row r="238" spans="39:40" ht="17.25" customHeight="1" x14ac:dyDescent="0.3">
      <c r="AM238" s="76"/>
      <c r="AN238" s="76"/>
    </row>
    <row r="239" spans="39:40" ht="17.25" customHeight="1" x14ac:dyDescent="0.3">
      <c r="AM239" s="76"/>
      <c r="AN239" s="76"/>
    </row>
    <row r="240" spans="39:40" ht="17.25" customHeight="1" x14ac:dyDescent="0.3">
      <c r="AM240" s="76"/>
      <c r="AN240" s="76"/>
    </row>
    <row r="241" spans="1:40" ht="17.25" customHeight="1" x14ac:dyDescent="0.3">
      <c r="AM241" s="76"/>
      <c r="AN241" s="76"/>
    </row>
    <row r="242" spans="1:40" ht="17.25" customHeight="1" x14ac:dyDescent="0.3">
      <c r="AM242" s="76"/>
      <c r="AN242" s="76"/>
    </row>
    <row r="243" spans="1:40" ht="17.25" customHeight="1" x14ac:dyDescent="0.3">
      <c r="AM243" s="76"/>
      <c r="AN243" s="76"/>
    </row>
    <row r="244" spans="1:40" ht="17.25" customHeight="1" x14ac:dyDescent="0.3">
      <c r="AM244" s="76"/>
      <c r="AN244" s="76"/>
    </row>
    <row r="245" spans="1:40" ht="17.25" customHeight="1" x14ac:dyDescent="0.3">
      <c r="AM245" s="76"/>
      <c r="AN245" s="76"/>
    </row>
    <row r="246" spans="1:40" ht="17.25" customHeight="1" x14ac:dyDescent="0.3">
      <c r="AM246" s="76"/>
      <c r="AN246" s="76"/>
    </row>
    <row r="247" spans="1:40" s="189" customFormat="1" ht="17.25" customHeight="1" x14ac:dyDescent="0.3">
      <c r="A247" s="571"/>
      <c r="B247" s="571"/>
      <c r="C247" s="571"/>
      <c r="D247" s="571"/>
      <c r="E247" s="530"/>
      <c r="F247" s="503"/>
      <c r="G247" s="571"/>
      <c r="H247" s="571"/>
      <c r="I247" s="401"/>
      <c r="J247" s="571"/>
      <c r="K247" s="571"/>
      <c r="L247" s="571"/>
      <c r="M247" s="571"/>
      <c r="N247" s="571"/>
      <c r="O247" s="571"/>
      <c r="P247" s="571"/>
      <c r="Q247" s="571"/>
      <c r="R247" s="571"/>
      <c r="S247" s="571"/>
      <c r="T247" s="571"/>
      <c r="U247" s="571"/>
      <c r="V247" s="374"/>
      <c r="W247" s="374"/>
      <c r="X247" s="374"/>
      <c r="Y247" s="374"/>
      <c r="Z247" s="571"/>
      <c r="AA247" s="571"/>
      <c r="AB247" s="571"/>
      <c r="AC247" s="571"/>
      <c r="AD247" s="571"/>
      <c r="AE247" s="571"/>
      <c r="AF247" s="571"/>
      <c r="AG247" s="571"/>
      <c r="AH247" s="571"/>
      <c r="AI247" s="571"/>
      <c r="AJ247" s="571"/>
      <c r="AK247" s="375"/>
      <c r="AL247" s="376"/>
      <c r="AM247" s="100"/>
      <c r="AN247" s="100"/>
    </row>
    <row r="248" spans="1:40" s="148" customFormat="1" ht="17.25" customHeight="1" x14ac:dyDescent="0.3">
      <c r="A248" s="571"/>
      <c r="B248" s="571"/>
      <c r="C248" s="571"/>
      <c r="D248" s="571"/>
      <c r="E248" s="530"/>
      <c r="F248" s="503"/>
      <c r="G248" s="571"/>
      <c r="H248" s="571"/>
      <c r="I248" s="401"/>
      <c r="J248" s="571"/>
      <c r="K248" s="571"/>
      <c r="L248" s="571"/>
      <c r="M248" s="571"/>
      <c r="N248" s="571"/>
      <c r="O248" s="571"/>
      <c r="P248" s="571"/>
      <c r="Q248" s="571"/>
      <c r="R248" s="571"/>
      <c r="S248" s="571"/>
      <c r="T248" s="571"/>
      <c r="U248" s="571"/>
      <c r="V248" s="374"/>
      <c r="W248" s="374"/>
      <c r="X248" s="374"/>
      <c r="Y248" s="374"/>
      <c r="Z248" s="571"/>
      <c r="AA248" s="571"/>
      <c r="AB248" s="571"/>
      <c r="AC248" s="571"/>
      <c r="AD248" s="571"/>
      <c r="AE248" s="571"/>
      <c r="AF248" s="571"/>
      <c r="AG248" s="571"/>
      <c r="AH248" s="571"/>
      <c r="AI248" s="571"/>
      <c r="AJ248" s="571"/>
      <c r="AK248" s="375"/>
      <c r="AL248" s="376"/>
      <c r="AM248" s="138"/>
      <c r="AN248" s="138"/>
    </row>
    <row r="249" spans="1:40" ht="17.25" customHeight="1" x14ac:dyDescent="0.3">
      <c r="AM249" s="76"/>
      <c r="AN249" s="76"/>
    </row>
    <row r="250" spans="1:40" ht="17.25" customHeight="1" x14ac:dyDescent="0.3">
      <c r="AM250" s="76"/>
      <c r="AN250" s="76"/>
    </row>
    <row r="251" spans="1:40" ht="27.75" customHeight="1" x14ac:dyDescent="0.3">
      <c r="AM251" s="76"/>
      <c r="AN251" s="76"/>
    </row>
    <row r="252" spans="1:40" ht="17.25" customHeight="1" x14ac:dyDescent="0.3">
      <c r="AM252" s="76"/>
      <c r="AN252" s="76"/>
    </row>
    <row r="253" spans="1:40" ht="17.25" customHeight="1" x14ac:dyDescent="0.3">
      <c r="AM253" s="76"/>
      <c r="AN253" s="76"/>
    </row>
    <row r="254" spans="1:40" ht="17.25" customHeight="1" x14ac:dyDescent="0.3">
      <c r="AM254" s="76"/>
      <c r="AN254" s="76"/>
    </row>
    <row r="255" spans="1:40" ht="17.25" customHeight="1" x14ac:dyDescent="0.3">
      <c r="AM255" s="76"/>
      <c r="AN255" s="76"/>
    </row>
    <row r="256" spans="1:40" s="148" customFormat="1" ht="17.25" customHeight="1" x14ac:dyDescent="0.3">
      <c r="A256" s="571"/>
      <c r="B256" s="571"/>
      <c r="C256" s="571"/>
      <c r="D256" s="571"/>
      <c r="E256" s="530"/>
      <c r="F256" s="503"/>
      <c r="G256" s="571"/>
      <c r="H256" s="571"/>
      <c r="I256" s="401"/>
      <c r="J256" s="571"/>
      <c r="K256" s="571"/>
      <c r="L256" s="571"/>
      <c r="M256" s="571"/>
      <c r="N256" s="571"/>
      <c r="O256" s="571"/>
      <c r="P256" s="571"/>
      <c r="Q256" s="571"/>
      <c r="R256" s="571"/>
      <c r="S256" s="571"/>
      <c r="T256" s="571"/>
      <c r="U256" s="571"/>
      <c r="V256" s="374"/>
      <c r="W256" s="374"/>
      <c r="X256" s="374"/>
      <c r="Y256" s="374"/>
      <c r="Z256" s="571"/>
      <c r="AA256" s="571"/>
      <c r="AB256" s="571"/>
      <c r="AC256" s="571"/>
      <c r="AD256" s="571"/>
      <c r="AE256" s="571"/>
      <c r="AF256" s="571"/>
      <c r="AG256" s="571"/>
      <c r="AH256" s="571"/>
      <c r="AI256" s="571"/>
      <c r="AJ256" s="571"/>
      <c r="AK256" s="375"/>
      <c r="AL256" s="376"/>
      <c r="AM256" s="138"/>
      <c r="AN256" s="138"/>
    </row>
    <row r="257" spans="39:40" ht="17.25" customHeight="1" x14ac:dyDescent="0.3">
      <c r="AM257" s="76"/>
      <c r="AN257" s="76"/>
    </row>
    <row r="258" spans="39:40" ht="17.25" customHeight="1" x14ac:dyDescent="0.3">
      <c r="AM258" s="76"/>
      <c r="AN258" s="76"/>
    </row>
    <row r="259" spans="39:40" ht="17.25" customHeight="1" x14ac:dyDescent="0.3">
      <c r="AM259" s="76"/>
      <c r="AN259" s="76"/>
    </row>
    <row r="260" spans="39:40" ht="17.25" customHeight="1" x14ac:dyDescent="0.3">
      <c r="AM260" s="76"/>
      <c r="AN260" s="76"/>
    </row>
    <row r="261" spans="39:40" ht="17.25" customHeight="1" x14ac:dyDescent="0.3">
      <c r="AM261" s="76"/>
      <c r="AN261" s="76"/>
    </row>
    <row r="262" spans="39:40" ht="17.25" customHeight="1" x14ac:dyDescent="0.3">
      <c r="AM262" s="76"/>
      <c r="AN262" s="76"/>
    </row>
    <row r="263" spans="39:40" ht="17.25" customHeight="1" x14ac:dyDescent="0.3">
      <c r="AM263" s="76"/>
      <c r="AN263" s="76"/>
    </row>
    <row r="264" spans="39:40" ht="27" customHeight="1" x14ac:dyDescent="0.3">
      <c r="AM264" s="76"/>
      <c r="AN264" s="76"/>
    </row>
    <row r="265" spans="39:40" ht="17.25" customHeight="1" x14ac:dyDescent="0.3">
      <c r="AM265" s="76"/>
      <c r="AN265" s="76"/>
    </row>
    <row r="266" spans="39:40" ht="17.25" customHeight="1" x14ac:dyDescent="0.3">
      <c r="AM266" s="76"/>
      <c r="AN266" s="76"/>
    </row>
    <row r="267" spans="39:40" ht="17.25" customHeight="1" x14ac:dyDescent="0.3">
      <c r="AM267" s="76"/>
      <c r="AN267" s="76"/>
    </row>
    <row r="268" spans="39:40" ht="17.25" customHeight="1" x14ac:dyDescent="0.3">
      <c r="AM268" s="76"/>
      <c r="AN268" s="76"/>
    </row>
    <row r="269" spans="39:40" ht="17.25" customHeight="1" x14ac:dyDescent="0.3">
      <c r="AM269" s="76"/>
      <c r="AN269" s="76"/>
    </row>
    <row r="270" spans="39:40" ht="17.25" customHeight="1" x14ac:dyDescent="0.3">
      <c r="AM270" s="76"/>
      <c r="AN270" s="76"/>
    </row>
    <row r="271" spans="39:40" ht="17.25" customHeight="1" x14ac:dyDescent="0.3">
      <c r="AM271" s="76"/>
      <c r="AN271" s="76"/>
    </row>
    <row r="272" spans="39:40" ht="17.25" customHeight="1" x14ac:dyDescent="0.3">
      <c r="AM272" s="76"/>
      <c r="AN272" s="76"/>
    </row>
    <row r="273" spans="1:40" ht="17.25" customHeight="1" x14ac:dyDescent="0.3">
      <c r="AM273" s="76"/>
      <c r="AN273" s="76"/>
    </row>
    <row r="274" spans="1:40" ht="17.25" customHeight="1" x14ac:dyDescent="0.3">
      <c r="AM274" s="76"/>
      <c r="AN274" s="76"/>
    </row>
    <row r="275" spans="1:40" ht="27" customHeight="1" x14ac:dyDescent="0.3">
      <c r="AM275" s="76"/>
      <c r="AN275" s="76"/>
    </row>
    <row r="276" spans="1:40" ht="17.25" customHeight="1" x14ac:dyDescent="0.3">
      <c r="AM276" s="76"/>
      <c r="AN276" s="76"/>
    </row>
    <row r="277" spans="1:40" s="148" customFormat="1" ht="17.25" customHeight="1" x14ac:dyDescent="0.3">
      <c r="A277" s="571"/>
      <c r="B277" s="571"/>
      <c r="C277" s="571"/>
      <c r="D277" s="571"/>
      <c r="E277" s="530"/>
      <c r="F277" s="503"/>
      <c r="G277" s="571"/>
      <c r="H277" s="571"/>
      <c r="I277" s="401"/>
      <c r="J277" s="571"/>
      <c r="K277" s="571"/>
      <c r="L277" s="571"/>
      <c r="M277" s="571"/>
      <c r="N277" s="571"/>
      <c r="O277" s="571"/>
      <c r="P277" s="571"/>
      <c r="Q277" s="571"/>
      <c r="R277" s="571"/>
      <c r="S277" s="571"/>
      <c r="T277" s="571"/>
      <c r="U277" s="571"/>
      <c r="V277" s="374"/>
      <c r="W277" s="374"/>
      <c r="X277" s="374"/>
      <c r="Y277" s="374"/>
      <c r="Z277" s="571"/>
      <c r="AA277" s="571"/>
      <c r="AB277" s="571"/>
      <c r="AC277" s="571"/>
      <c r="AD277" s="571"/>
      <c r="AE277" s="571"/>
      <c r="AF277" s="571"/>
      <c r="AG277" s="571"/>
      <c r="AH277" s="571"/>
      <c r="AI277" s="571"/>
      <c r="AJ277" s="571"/>
      <c r="AK277" s="375"/>
      <c r="AL277" s="376"/>
      <c r="AM277" s="138"/>
      <c r="AN277" s="138"/>
    </row>
    <row r="278" spans="1:40" ht="17.25" customHeight="1" x14ac:dyDescent="0.3">
      <c r="AM278" s="76"/>
      <c r="AN278" s="76"/>
    </row>
    <row r="279" spans="1:40" ht="17.25" customHeight="1" x14ac:dyDescent="0.3">
      <c r="AM279" s="76"/>
      <c r="AN279" s="76"/>
    </row>
    <row r="280" spans="1:40" ht="17.25" customHeight="1" x14ac:dyDescent="0.3">
      <c r="AM280" s="76"/>
      <c r="AN280" s="76"/>
    </row>
    <row r="281" spans="1:40" ht="17.25" customHeight="1" x14ac:dyDescent="0.3">
      <c r="AM281" s="76"/>
      <c r="AN281" s="76"/>
    </row>
    <row r="282" spans="1:40" ht="17.25" customHeight="1" x14ac:dyDescent="0.3">
      <c r="AM282" s="76"/>
      <c r="AN282" s="76"/>
    </row>
    <row r="283" spans="1:40" ht="17.25" customHeight="1" x14ac:dyDescent="0.3">
      <c r="AM283" s="76"/>
      <c r="AN283" s="76"/>
    </row>
    <row r="284" spans="1:40" s="148" customFormat="1" ht="17.25" customHeight="1" x14ac:dyDescent="0.3">
      <c r="A284" s="571"/>
      <c r="B284" s="571"/>
      <c r="C284" s="571"/>
      <c r="D284" s="571"/>
      <c r="E284" s="530"/>
      <c r="F284" s="503"/>
      <c r="G284" s="571"/>
      <c r="H284" s="571"/>
      <c r="I284" s="401"/>
      <c r="J284" s="571"/>
      <c r="K284" s="571"/>
      <c r="L284" s="571"/>
      <c r="M284" s="571"/>
      <c r="N284" s="571"/>
      <c r="O284" s="571"/>
      <c r="P284" s="571"/>
      <c r="Q284" s="571"/>
      <c r="R284" s="571"/>
      <c r="S284" s="571"/>
      <c r="T284" s="571"/>
      <c r="U284" s="571"/>
      <c r="V284" s="374"/>
      <c r="W284" s="374"/>
      <c r="X284" s="374"/>
      <c r="Y284" s="374"/>
      <c r="Z284" s="571"/>
      <c r="AA284" s="571"/>
      <c r="AB284" s="571"/>
      <c r="AC284" s="571"/>
      <c r="AD284" s="571"/>
      <c r="AE284" s="571"/>
      <c r="AF284" s="571"/>
      <c r="AG284" s="571"/>
      <c r="AH284" s="571"/>
      <c r="AI284" s="571"/>
      <c r="AJ284" s="571"/>
      <c r="AK284" s="375"/>
      <c r="AL284" s="376"/>
      <c r="AM284" s="138"/>
      <c r="AN284" s="138"/>
    </row>
    <row r="285" spans="1:40" ht="17.25" customHeight="1" x14ac:dyDescent="0.3">
      <c r="AM285" s="76"/>
      <c r="AN285" s="76"/>
    </row>
    <row r="286" spans="1:40" ht="17.25" customHeight="1" x14ac:dyDescent="0.3">
      <c r="AM286" s="76"/>
      <c r="AN286" s="76"/>
    </row>
    <row r="287" spans="1:40" ht="17.25" customHeight="1" x14ac:dyDescent="0.3">
      <c r="AM287" s="76"/>
      <c r="AN287" s="76"/>
    </row>
    <row r="288" spans="1:40" ht="17.25" customHeight="1" x14ac:dyDescent="0.3">
      <c r="AM288" s="76"/>
      <c r="AN288" s="76"/>
    </row>
    <row r="289" spans="1:40" ht="17.25" customHeight="1" x14ac:dyDescent="0.3">
      <c r="AM289" s="76"/>
      <c r="AN289" s="76"/>
    </row>
    <row r="290" spans="1:40" ht="17.25" customHeight="1" x14ac:dyDescent="0.3">
      <c r="AM290" s="76"/>
      <c r="AN290" s="76"/>
    </row>
    <row r="291" spans="1:40" ht="17.25" customHeight="1" x14ac:dyDescent="0.3">
      <c r="AM291" s="76"/>
      <c r="AN291" s="76"/>
    </row>
    <row r="292" spans="1:40" ht="17.25" customHeight="1" x14ac:dyDescent="0.3">
      <c r="AM292" s="76"/>
      <c r="AN292" s="76"/>
    </row>
    <row r="293" spans="1:40" ht="17.25" customHeight="1" x14ac:dyDescent="0.3">
      <c r="AM293" s="76"/>
      <c r="AN293" s="76"/>
    </row>
    <row r="294" spans="1:40" ht="17.25" customHeight="1" x14ac:dyDescent="0.3">
      <c r="AM294" s="76"/>
      <c r="AN294" s="76"/>
    </row>
    <row r="295" spans="1:40" ht="17.25" customHeight="1" x14ac:dyDescent="0.3">
      <c r="AM295" s="76"/>
      <c r="AN295" s="76"/>
    </row>
    <row r="296" spans="1:40" ht="17.25" customHeight="1" x14ac:dyDescent="0.3">
      <c r="AM296" s="76"/>
      <c r="AN296" s="76"/>
    </row>
    <row r="297" spans="1:40" ht="17.25" customHeight="1" x14ac:dyDescent="0.3">
      <c r="AM297" s="76"/>
      <c r="AN297" s="76"/>
    </row>
    <row r="298" spans="1:40" ht="17.25" customHeight="1" x14ac:dyDescent="0.3">
      <c r="AM298" s="76"/>
      <c r="AN298" s="76"/>
    </row>
    <row r="299" spans="1:40" s="148" customFormat="1" ht="17.25" customHeight="1" x14ac:dyDescent="0.3">
      <c r="A299" s="571"/>
      <c r="B299" s="571"/>
      <c r="C299" s="571"/>
      <c r="D299" s="571"/>
      <c r="E299" s="530"/>
      <c r="F299" s="503"/>
      <c r="G299" s="571"/>
      <c r="H299" s="571"/>
      <c r="I299" s="401"/>
      <c r="J299" s="571"/>
      <c r="K299" s="571"/>
      <c r="L299" s="571"/>
      <c r="M299" s="571"/>
      <c r="N299" s="571"/>
      <c r="O299" s="571"/>
      <c r="P299" s="571"/>
      <c r="Q299" s="571"/>
      <c r="R299" s="571"/>
      <c r="S299" s="571"/>
      <c r="T299" s="571"/>
      <c r="U299" s="571"/>
      <c r="V299" s="374"/>
      <c r="W299" s="374"/>
      <c r="X299" s="374"/>
      <c r="Y299" s="374"/>
      <c r="Z299" s="571"/>
      <c r="AA299" s="571"/>
      <c r="AB299" s="571"/>
      <c r="AC299" s="571"/>
      <c r="AD299" s="571"/>
      <c r="AE299" s="571"/>
      <c r="AF299" s="571"/>
      <c r="AG299" s="571"/>
      <c r="AH299" s="571"/>
      <c r="AI299" s="571"/>
      <c r="AJ299" s="571"/>
      <c r="AK299" s="375"/>
      <c r="AL299" s="376"/>
      <c r="AM299" s="138"/>
      <c r="AN299" s="138"/>
    </row>
    <row r="300" spans="1:40" ht="17.25" customHeight="1" x14ac:dyDescent="0.3">
      <c r="AM300" s="76"/>
      <c r="AN300" s="76"/>
    </row>
    <row r="301" spans="1:40" ht="17.25" customHeight="1" x14ac:dyDescent="0.3">
      <c r="AM301" s="76"/>
      <c r="AN301" s="76"/>
    </row>
    <row r="302" spans="1:40" ht="17.25" customHeight="1" x14ac:dyDescent="0.3">
      <c r="AM302" s="76"/>
      <c r="AN302" s="76"/>
    </row>
    <row r="303" spans="1:40" s="148" customFormat="1" ht="17.25" customHeight="1" x14ac:dyDescent="0.3">
      <c r="A303" s="571"/>
      <c r="B303" s="571"/>
      <c r="C303" s="571"/>
      <c r="D303" s="571"/>
      <c r="E303" s="530"/>
      <c r="F303" s="503"/>
      <c r="G303" s="571"/>
      <c r="H303" s="571"/>
      <c r="I303" s="401"/>
      <c r="J303" s="571"/>
      <c r="K303" s="571"/>
      <c r="L303" s="571"/>
      <c r="M303" s="571"/>
      <c r="N303" s="571"/>
      <c r="O303" s="571"/>
      <c r="P303" s="571"/>
      <c r="Q303" s="571"/>
      <c r="R303" s="571"/>
      <c r="S303" s="571"/>
      <c r="T303" s="571"/>
      <c r="U303" s="571"/>
      <c r="V303" s="374"/>
      <c r="W303" s="374"/>
      <c r="X303" s="374"/>
      <c r="Y303" s="374"/>
      <c r="Z303" s="571"/>
      <c r="AA303" s="571"/>
      <c r="AB303" s="571"/>
      <c r="AC303" s="571"/>
      <c r="AD303" s="571"/>
      <c r="AE303" s="571"/>
      <c r="AF303" s="571"/>
      <c r="AG303" s="571"/>
      <c r="AH303" s="571"/>
      <c r="AI303" s="571"/>
      <c r="AJ303" s="571"/>
      <c r="AK303" s="375"/>
      <c r="AL303" s="376"/>
      <c r="AM303" s="138"/>
      <c r="AN303" s="138"/>
    </row>
    <row r="304" spans="1:40" ht="29.25" customHeight="1" x14ac:dyDescent="0.3">
      <c r="AM304" s="76"/>
      <c r="AN304" s="76"/>
    </row>
    <row r="305" spans="1:40" ht="17.25" customHeight="1" x14ac:dyDescent="0.3">
      <c r="AM305" s="76"/>
      <c r="AN305" s="76"/>
    </row>
    <row r="306" spans="1:40" ht="17.25" customHeight="1" x14ac:dyDescent="0.3">
      <c r="AM306" s="76"/>
      <c r="AN306" s="76"/>
    </row>
    <row r="307" spans="1:40" s="148" customFormat="1" ht="17.25" customHeight="1" x14ac:dyDescent="0.3">
      <c r="A307" s="571"/>
      <c r="B307" s="571"/>
      <c r="C307" s="571"/>
      <c r="D307" s="571"/>
      <c r="E307" s="530"/>
      <c r="F307" s="503"/>
      <c r="G307" s="571"/>
      <c r="H307" s="571"/>
      <c r="I307" s="401"/>
      <c r="J307" s="571"/>
      <c r="K307" s="571"/>
      <c r="L307" s="571"/>
      <c r="M307" s="571"/>
      <c r="N307" s="571"/>
      <c r="O307" s="571"/>
      <c r="P307" s="571"/>
      <c r="Q307" s="571"/>
      <c r="R307" s="571"/>
      <c r="S307" s="571"/>
      <c r="T307" s="571"/>
      <c r="U307" s="571"/>
      <c r="V307" s="374"/>
      <c r="W307" s="374"/>
      <c r="X307" s="374"/>
      <c r="Y307" s="374"/>
      <c r="Z307" s="571"/>
      <c r="AA307" s="571"/>
      <c r="AB307" s="571"/>
      <c r="AC307" s="571"/>
      <c r="AD307" s="571"/>
      <c r="AE307" s="571"/>
      <c r="AF307" s="571"/>
      <c r="AG307" s="571"/>
      <c r="AH307" s="571"/>
      <c r="AI307" s="571"/>
      <c r="AJ307" s="571"/>
      <c r="AK307" s="375"/>
      <c r="AL307" s="376"/>
      <c r="AM307" s="138"/>
      <c r="AN307" s="138"/>
    </row>
    <row r="308" spans="1:40" ht="17.25" customHeight="1" x14ac:dyDescent="0.3">
      <c r="AM308" s="76"/>
      <c r="AN308" s="76"/>
    </row>
    <row r="309" spans="1:40" ht="17.25" customHeight="1" x14ac:dyDescent="0.3">
      <c r="AM309" s="76"/>
      <c r="AN309" s="76"/>
    </row>
    <row r="310" spans="1:40" ht="17.25" customHeight="1" x14ac:dyDescent="0.3">
      <c r="AM310" s="76"/>
      <c r="AN310" s="76"/>
    </row>
    <row r="311" spans="1:40" ht="17.25" customHeight="1" x14ac:dyDescent="0.3">
      <c r="AM311" s="76"/>
      <c r="AN311" s="76"/>
    </row>
    <row r="312" spans="1:40" ht="17.25" customHeight="1" x14ac:dyDescent="0.3">
      <c r="AM312" s="76"/>
      <c r="AN312" s="76"/>
    </row>
    <row r="313" spans="1:40" ht="17.25" customHeight="1" x14ac:dyDescent="0.3"/>
    <row r="314" spans="1:40" ht="17.25" customHeight="1" x14ac:dyDescent="0.3"/>
    <row r="315" spans="1:40" ht="17.25" customHeight="1" x14ac:dyDescent="0.3"/>
    <row r="316" spans="1:40" ht="15" customHeight="1" x14ac:dyDescent="0.3"/>
    <row r="317" spans="1:40" ht="15" customHeight="1" x14ac:dyDescent="0.3"/>
    <row r="318" spans="1:40" ht="15" customHeight="1" x14ac:dyDescent="0.3"/>
    <row r="319" spans="1:40" ht="15" customHeight="1" x14ac:dyDescent="0.3"/>
    <row r="320" spans="1:4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sheetData>
  <autoFilter ref="A10:X198"/>
  <mergeCells count="3">
    <mergeCell ref="AC6:AF6"/>
    <mergeCell ref="AG6:AJ6"/>
    <mergeCell ref="C5:D5"/>
  </mergeCells>
  <conditionalFormatting sqref="B15">
    <cfRule type="duplicateValues" dxfId="519" priority="2"/>
    <cfRule type="duplicateValues" dxfId="518" priority="3"/>
  </conditionalFormatting>
  <conditionalFormatting sqref="B95:B101">
    <cfRule type="duplicateValues" dxfId="517" priority="20"/>
  </conditionalFormatting>
  <conditionalFormatting sqref="B155:B157">
    <cfRule type="duplicateValues" dxfId="516" priority="4"/>
    <cfRule type="duplicateValues" dxfId="515" priority="5"/>
  </conditionalFormatting>
  <conditionalFormatting sqref="B158:B1048576 B1:B14 B16:B94 B102:B154">
    <cfRule type="duplicateValues" dxfId="514" priority="14"/>
  </conditionalFormatting>
  <conditionalFormatting sqref="B16:C16 C15">
    <cfRule type="duplicateValues" dxfId="513" priority="12"/>
  </conditionalFormatting>
  <conditionalFormatting sqref="B95:C95 B96:B101">
    <cfRule type="duplicateValues" dxfId="512" priority="21"/>
  </conditionalFormatting>
  <conditionalFormatting sqref="B158:C158">
    <cfRule type="duplicateValues" dxfId="511" priority="7"/>
  </conditionalFormatting>
  <conditionalFormatting sqref="B159:C164 B18:C32 B34:C94 C96:C101 B102:C153">
    <cfRule type="duplicateValues" dxfId="510" priority="22"/>
  </conditionalFormatting>
  <conditionalFormatting sqref="C155">
    <cfRule type="duplicateValues" dxfId="509" priority="6"/>
  </conditionalFormatting>
  <conditionalFormatting sqref="C156:C157">
    <cfRule type="duplicateValues" dxfId="508" priority="1"/>
  </conditionalFormatting>
  <conditionalFormatting sqref="J2:J3 J7:J165">
    <cfRule type="cellIs" dxfId="507" priority="19" operator="equal">
      <formula>"Disc"</formula>
    </cfRule>
  </conditionalFormatting>
  <conditionalFormatting sqref="V2:V5">
    <cfRule type="containsText" dxfId="506" priority="15" operator="containsText" text="dog">
      <formula>NOT(ISERROR(SEARCH("dog",V2)))</formula>
    </cfRule>
    <cfRule type="containsText" dxfId="505" priority="16" operator="containsText" text="star">
      <formula>NOT(ISERROR(SEARCH("star",V2)))</formula>
    </cfRule>
    <cfRule type="containsText" dxfId="504" priority="17" operator="containsText" text="PUZZLE">
      <formula>NOT(ISERROR(SEARCH("PUZZLE",V2)))</formula>
    </cfRule>
    <cfRule type="containsText" dxfId="503" priority="18" operator="containsText" text="HORSE">
      <formula>NOT(ISERROR(SEARCH("HORSE",V2)))</formula>
    </cfRule>
  </conditionalFormatting>
  <conditionalFormatting sqref="X15:X165">
    <cfRule type="containsText" dxfId="502" priority="8" operator="containsText" text="star">
      <formula>NOT(ISERROR(SEARCH("star",X15)))</formula>
    </cfRule>
    <cfRule type="containsText" dxfId="501" priority="9" operator="containsText" text="dog">
      <formula>NOT(ISERROR(SEARCH("dog",X15)))</formula>
    </cfRule>
    <cfRule type="containsText" dxfId="500" priority="10" operator="containsText" text="puzzle">
      <formula>NOT(ISERROR(SEARCH("puzzle",X15)))</formula>
    </cfRule>
    <cfRule type="containsText" dxfId="499" priority="11" operator="containsText" text="horse">
      <formula>NOT(ISERROR(SEARCH("horse",X15)))</formula>
    </cfRule>
  </conditionalFormatting>
  <conditionalFormatting sqref="AA7:AA8">
    <cfRule type="duplicateValues" dxfId="498" priority="1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W321"/>
  <sheetViews>
    <sheetView zoomScale="85" zoomScaleNormal="85" workbookViewId="0">
      <pane ySplit="10" topLeftCell="A11" activePane="bottomLeft" state="frozen"/>
      <selection sqref="A1:XFD1048576"/>
      <selection pane="bottomLeft" sqref="A1:XFD1048576"/>
    </sheetView>
  </sheetViews>
  <sheetFormatPr defaultColWidth="12.54296875" defaultRowHeight="13" outlineLevelCol="1" x14ac:dyDescent="0.3"/>
  <cols>
    <col min="1" max="1" width="5.54296875" style="571" customWidth="1"/>
    <col min="2" max="2" width="15.81640625" style="571" customWidth="1"/>
    <col min="3" max="3" width="48.453125" style="571" customWidth="1"/>
    <col min="4" max="4" width="9.54296875" style="571" customWidth="1"/>
    <col min="5" max="5" width="10.179687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39" width="7.54296875" style="84" customWidth="1"/>
    <col min="40" max="40" width="17.26953125" style="84" customWidth="1"/>
    <col min="41" max="16384" width="12.54296875" style="84"/>
  </cols>
  <sheetData>
    <row r="1" spans="1:49" ht="4.5" customHeight="1" x14ac:dyDescent="0.3">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76"/>
      <c r="AN1" s="76"/>
    </row>
    <row r="2" spans="1:49" ht="24.75" customHeight="1" x14ac:dyDescent="0.3">
      <c r="A2" s="377"/>
      <c r="B2" s="378" t="s">
        <v>695</v>
      </c>
      <c r="C2" s="377"/>
      <c r="D2" s="377"/>
      <c r="E2" s="369"/>
      <c r="F2" s="379"/>
      <c r="G2" s="380"/>
      <c r="H2" s="380"/>
      <c r="I2" s="377"/>
      <c r="J2" s="377"/>
      <c r="K2" s="377"/>
      <c r="L2" s="377"/>
      <c r="M2" s="377"/>
      <c r="N2" s="369"/>
      <c r="O2" s="371"/>
      <c r="P2" s="371"/>
      <c r="Q2" s="371"/>
      <c r="R2" s="372"/>
      <c r="S2" s="372"/>
      <c r="T2" s="381"/>
      <c r="U2" s="381"/>
      <c r="V2" s="382" t="s">
        <v>353</v>
      </c>
      <c r="W2" s="383" t="s">
        <v>354</v>
      </c>
      <c r="X2" s="383"/>
      <c r="Y2" s="383"/>
      <c r="AA2" s="377"/>
      <c r="AB2" s="377"/>
      <c r="AC2" s="377"/>
      <c r="AD2" s="377"/>
      <c r="AE2" s="377"/>
      <c r="AF2" s="377"/>
      <c r="AG2" s="377"/>
      <c r="AH2" s="377"/>
      <c r="AI2" s="377"/>
      <c r="AJ2" s="377"/>
      <c r="AK2" s="384"/>
      <c r="AL2" s="385"/>
      <c r="AM2" s="85"/>
      <c r="AN2" s="85"/>
    </row>
    <row r="3" spans="1:49" ht="34.5" customHeight="1" x14ac:dyDescent="0.3">
      <c r="A3" s="366"/>
      <c r="B3" s="378" t="s">
        <v>0</v>
      </c>
      <c r="C3" s="366"/>
      <c r="D3" s="366"/>
      <c r="E3" s="367"/>
      <c r="F3" s="368"/>
      <c r="G3" s="367"/>
      <c r="H3" s="367"/>
      <c r="I3" s="369"/>
      <c r="J3" s="366"/>
      <c r="K3" s="386"/>
      <c r="L3" s="387"/>
      <c r="M3" s="388"/>
      <c r="N3" s="389"/>
      <c r="O3" s="390"/>
      <c r="P3" s="371"/>
      <c r="Q3" s="371"/>
      <c r="R3" s="372"/>
      <c r="S3" s="372"/>
      <c r="T3" s="373"/>
      <c r="U3" s="373"/>
      <c r="V3" s="382" t="s">
        <v>355</v>
      </c>
      <c r="W3" s="391" t="s">
        <v>356</v>
      </c>
      <c r="X3" s="391"/>
      <c r="Y3" s="391"/>
      <c r="AA3" s="366"/>
      <c r="AB3" s="366"/>
      <c r="AC3" s="366"/>
      <c r="AD3" s="366"/>
      <c r="AE3" s="366"/>
      <c r="AF3" s="366"/>
      <c r="AG3" s="366"/>
      <c r="AH3" s="366"/>
      <c r="AI3" s="366"/>
      <c r="AJ3" s="366"/>
      <c r="AM3" s="76"/>
      <c r="AN3" s="76"/>
    </row>
    <row r="4" spans="1:49" ht="30" customHeight="1" thickBot="1" x14ac:dyDescent="0.35">
      <c r="A4" s="366"/>
      <c r="B4" s="392" t="s">
        <v>1</v>
      </c>
      <c r="C4" s="663" t="s">
        <v>696</v>
      </c>
      <c r="D4" s="664"/>
      <c r="E4" s="393"/>
      <c r="F4" s="368"/>
      <c r="G4" s="367"/>
      <c r="H4" s="367"/>
      <c r="I4" s="369"/>
      <c r="J4" s="366"/>
      <c r="K4" s="570" t="s">
        <v>18</v>
      </c>
      <c r="L4" s="669" t="s">
        <v>19</v>
      </c>
      <c r="M4" s="669"/>
      <c r="N4" s="669" t="s">
        <v>20</v>
      </c>
      <c r="O4" s="669"/>
      <c r="P4" s="394" t="s">
        <v>21</v>
      </c>
      <c r="Q4" s="371"/>
      <c r="R4" s="372"/>
      <c r="S4" s="582" t="s">
        <v>464</v>
      </c>
      <c r="T4" s="583">
        <v>512</v>
      </c>
      <c r="U4" s="373"/>
      <c r="V4" s="382" t="s">
        <v>357</v>
      </c>
      <c r="W4" s="391" t="s">
        <v>358</v>
      </c>
      <c r="Y4" s="391"/>
      <c r="AA4" s="366"/>
      <c r="AB4" s="366"/>
      <c r="AC4" s="366"/>
      <c r="AD4" s="366"/>
      <c r="AE4" s="366"/>
      <c r="AF4" s="366"/>
      <c r="AG4" s="366"/>
      <c r="AH4" s="366"/>
      <c r="AI4" s="366"/>
      <c r="AJ4" s="366"/>
      <c r="AM4" s="76"/>
      <c r="AN4" s="76"/>
    </row>
    <row r="5" spans="1:49" ht="30" customHeight="1" thickBot="1" x14ac:dyDescent="0.35">
      <c r="A5" s="366"/>
      <c r="B5" s="392" t="s">
        <v>2</v>
      </c>
      <c r="C5" s="663" t="s">
        <v>754</v>
      </c>
      <c r="D5" s="664"/>
      <c r="E5" s="393"/>
      <c r="F5" s="368"/>
      <c r="G5" s="367"/>
      <c r="H5" s="367"/>
      <c r="I5" s="369"/>
      <c r="J5" s="366"/>
      <c r="K5" s="395">
        <v>1539</v>
      </c>
      <c r="L5" s="671">
        <f>L10</f>
        <v>606258000</v>
      </c>
      <c r="M5" s="671"/>
      <c r="N5" s="670">
        <f>L5/K5</f>
        <v>393929.82456140348</v>
      </c>
      <c r="O5" s="670"/>
      <c r="P5" s="396">
        <f>K10/L10</f>
        <v>0.34207859748040786</v>
      </c>
      <c r="Q5" s="371"/>
      <c r="R5" s="372"/>
      <c r="S5" s="537" t="s">
        <v>456</v>
      </c>
      <c r="T5" s="538">
        <f>K5/T4</f>
        <v>3.005859375</v>
      </c>
      <c r="U5" s="373"/>
      <c r="V5" s="382" t="s">
        <v>359</v>
      </c>
      <c r="W5" s="391" t="s">
        <v>360</v>
      </c>
      <c r="Y5" s="391"/>
      <c r="AA5" s="366"/>
      <c r="AB5" s="397" t="s">
        <v>18</v>
      </c>
      <c r="AC5" s="398"/>
      <c r="AD5" s="399">
        <f>K5</f>
        <v>1539</v>
      </c>
      <c r="AE5" s="400"/>
      <c r="AF5" s="366"/>
      <c r="AG5" s="398"/>
      <c r="AH5" s="399">
        <v>1457</v>
      </c>
      <c r="AI5" s="366"/>
      <c r="AJ5" s="366"/>
      <c r="AM5" s="76"/>
      <c r="AN5" s="76"/>
    </row>
    <row r="6" spans="1:49" ht="17.25" customHeight="1" x14ac:dyDescent="0.3">
      <c r="A6" s="366"/>
      <c r="B6" s="366">
        <v>1</v>
      </c>
      <c r="C6" s="366">
        <v>2</v>
      </c>
      <c r="D6" s="366">
        <v>3</v>
      </c>
      <c r="E6" s="367">
        <v>4</v>
      </c>
      <c r="F6" s="366">
        <v>5</v>
      </c>
      <c r="G6" s="366">
        <v>6</v>
      </c>
      <c r="H6" s="366">
        <v>7</v>
      </c>
      <c r="I6" s="401">
        <v>8</v>
      </c>
      <c r="J6" s="366">
        <v>9</v>
      </c>
      <c r="K6" s="366">
        <v>10</v>
      </c>
      <c r="L6" s="366">
        <v>11</v>
      </c>
      <c r="M6" s="366">
        <v>12</v>
      </c>
      <c r="N6" s="366">
        <v>13</v>
      </c>
      <c r="O6" s="366">
        <v>14</v>
      </c>
      <c r="P6" s="366">
        <v>15</v>
      </c>
      <c r="Q6" s="366">
        <v>16</v>
      </c>
      <c r="R6" s="366">
        <v>17</v>
      </c>
      <c r="S6" s="366">
        <v>18</v>
      </c>
      <c r="T6" s="366">
        <v>19</v>
      </c>
      <c r="U6" s="366"/>
      <c r="V6" s="366">
        <v>20</v>
      </c>
      <c r="W6" s="366">
        <v>21</v>
      </c>
      <c r="X6" s="366">
        <v>22</v>
      </c>
      <c r="AC6" s="660" t="str">
        <f>C5</f>
        <v>01.09.2026-&gt;30.09.2026</v>
      </c>
      <c r="AD6" s="660"/>
      <c r="AE6" s="660"/>
      <c r="AF6" s="660"/>
      <c r="AG6" s="660" t="s">
        <v>753</v>
      </c>
      <c r="AH6" s="660"/>
      <c r="AI6" s="660"/>
      <c r="AJ6" s="660"/>
    </row>
    <row r="7" spans="1:49" ht="25.9" customHeight="1" x14ac:dyDescent="0.3">
      <c r="A7" s="400"/>
      <c r="B7" s="678" t="s">
        <v>3</v>
      </c>
      <c r="C7" s="680" t="s">
        <v>4</v>
      </c>
      <c r="D7" s="680" t="s">
        <v>414</v>
      </c>
      <c r="E7" s="682" t="s">
        <v>5</v>
      </c>
      <c r="F7" s="402" t="s">
        <v>6</v>
      </c>
      <c r="G7" s="567" t="s">
        <v>7</v>
      </c>
      <c r="H7" s="567" t="s">
        <v>8</v>
      </c>
      <c r="I7" s="403" t="s">
        <v>9</v>
      </c>
      <c r="J7" s="567"/>
      <c r="K7" s="680" t="s">
        <v>10</v>
      </c>
      <c r="L7" s="680" t="s">
        <v>22</v>
      </c>
      <c r="M7" s="680" t="s">
        <v>23</v>
      </c>
      <c r="N7" s="684" t="s">
        <v>24</v>
      </c>
      <c r="O7" s="665" t="s">
        <v>25</v>
      </c>
      <c r="P7" s="665" t="s">
        <v>26</v>
      </c>
      <c r="Q7" s="665" t="s">
        <v>27</v>
      </c>
      <c r="R7" s="667" t="s">
        <v>11</v>
      </c>
      <c r="S7" s="672" t="s">
        <v>457</v>
      </c>
      <c r="T7" s="674" t="s">
        <v>458</v>
      </c>
      <c r="U7" s="404"/>
      <c r="V7" s="658" t="s">
        <v>361</v>
      </c>
      <c r="W7" s="658" t="s">
        <v>362</v>
      </c>
      <c r="X7" s="658" t="s">
        <v>363</v>
      </c>
      <c r="Y7" s="405"/>
      <c r="AA7" s="661" t="s">
        <v>442</v>
      </c>
      <c r="AB7" s="656" t="s">
        <v>443</v>
      </c>
      <c r="AC7" s="406" t="s">
        <v>22</v>
      </c>
      <c r="AD7" s="407" t="s">
        <v>20</v>
      </c>
      <c r="AE7" s="407" t="s">
        <v>15</v>
      </c>
      <c r="AF7" s="407" t="s">
        <v>11</v>
      </c>
      <c r="AG7" s="406" t="s">
        <v>22</v>
      </c>
      <c r="AH7" s="407" t="s">
        <v>20</v>
      </c>
      <c r="AI7" s="407" t="s">
        <v>15</v>
      </c>
      <c r="AJ7" s="407" t="s">
        <v>11</v>
      </c>
      <c r="AK7" s="408" t="s">
        <v>444</v>
      </c>
      <c r="AL7" s="409" t="s">
        <v>445</v>
      </c>
      <c r="AM7" s="100"/>
      <c r="AN7" s="100"/>
    </row>
    <row r="8" spans="1:49" ht="17.25" customHeight="1" x14ac:dyDescent="0.3">
      <c r="A8" s="410"/>
      <c r="B8" s="679"/>
      <c r="C8" s="681"/>
      <c r="D8" s="681"/>
      <c r="E8" s="683"/>
      <c r="F8" s="411" t="s">
        <v>12</v>
      </c>
      <c r="G8" s="568" t="s">
        <v>13</v>
      </c>
      <c r="H8" s="568" t="s">
        <v>14</v>
      </c>
      <c r="I8" s="412" t="s">
        <v>15</v>
      </c>
      <c r="J8" s="413"/>
      <c r="K8" s="681"/>
      <c r="L8" s="681"/>
      <c r="M8" s="681"/>
      <c r="N8" s="685"/>
      <c r="O8" s="666"/>
      <c r="P8" s="666"/>
      <c r="Q8" s="666"/>
      <c r="R8" s="668"/>
      <c r="S8" s="673"/>
      <c r="T8" s="675"/>
      <c r="U8" s="404"/>
      <c r="V8" s="659"/>
      <c r="W8" s="659"/>
      <c r="X8" s="659"/>
      <c r="Y8" s="415"/>
      <c r="AA8" s="662"/>
      <c r="AB8" s="657"/>
      <c r="AC8" s="573">
        <f t="shared" ref="AC8:AJ8" si="0">SUM(AC9:AC20)</f>
        <v>576577000</v>
      </c>
      <c r="AD8" s="573">
        <f t="shared" si="0"/>
        <v>374643.92462638079</v>
      </c>
      <c r="AE8" s="573">
        <f t="shared" si="0"/>
        <v>4463</v>
      </c>
      <c r="AF8" s="573">
        <f t="shared" si="0"/>
        <v>289.99350227420405</v>
      </c>
      <c r="AG8" s="573">
        <f t="shared" si="0"/>
        <v>545139000</v>
      </c>
      <c r="AH8" s="573">
        <f t="shared" si="0"/>
        <v>374151.68153740565</v>
      </c>
      <c r="AI8" s="573">
        <f t="shared" si="0"/>
        <v>4219</v>
      </c>
      <c r="AJ8" s="573">
        <f t="shared" si="0"/>
        <v>289.56760466712421</v>
      </c>
      <c r="AK8" s="573">
        <f>SUM(AK9:AK34)</f>
        <v>492.2430889751314</v>
      </c>
      <c r="AL8" s="573">
        <f>SUM(AL9:AL34)</f>
        <v>0.42589760707977664</v>
      </c>
      <c r="AM8" s="115"/>
      <c r="AN8" s="100"/>
    </row>
    <row r="9" spans="1:49" ht="17.25" customHeight="1" x14ac:dyDescent="0.3">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584" t="s">
        <v>446</v>
      </c>
      <c r="AB9" s="574" t="s">
        <v>447</v>
      </c>
      <c r="AC9" s="575">
        <f t="shared" ref="AC9:AC20" si="1">VLOOKUP(AA9,$B:$M,11,0)</f>
        <v>0</v>
      </c>
      <c r="AD9" s="575">
        <f>AC9/$AD$5</f>
        <v>0</v>
      </c>
      <c r="AE9" s="575">
        <f t="shared" ref="AE9:AE20" si="2">VLOOKUP(AA9,$B:$M,8,0)</f>
        <v>1</v>
      </c>
      <c r="AF9" s="576">
        <f>AE9/$AD$5*100</f>
        <v>6.4977257959714096E-2</v>
      </c>
      <c r="AG9" s="575">
        <v>0</v>
      </c>
      <c r="AH9" s="575">
        <v>0</v>
      </c>
      <c r="AI9" s="575">
        <v>1</v>
      </c>
      <c r="AJ9" s="576">
        <v>6.8634179821551136E-2</v>
      </c>
      <c r="AK9" s="577">
        <f>AD9-AH9</f>
        <v>0</v>
      </c>
      <c r="AL9" s="578">
        <f>AF9-AJ9</f>
        <v>-3.6569218618370397E-3</v>
      </c>
      <c r="AM9" s="100"/>
      <c r="AN9" s="100"/>
    </row>
    <row r="10" spans="1:49" ht="17.25" customHeight="1" x14ac:dyDescent="0.3">
      <c r="A10" s="400"/>
      <c r="B10" s="429" t="s">
        <v>16</v>
      </c>
      <c r="C10" s="430"/>
      <c r="D10" s="429"/>
      <c r="E10" s="431"/>
      <c r="F10" s="432"/>
      <c r="G10" s="433"/>
      <c r="H10" s="433"/>
      <c r="I10" s="434">
        <f>SUBTOTAL(9,I12:I166)</f>
        <v>5251</v>
      </c>
      <c r="J10" s="420"/>
      <c r="K10" s="420">
        <f>SUBTOTAL(9,K12:K166)</f>
        <v>207387886.35127711</v>
      </c>
      <c r="L10" s="420">
        <f>SUBTOTAL(9,L12:L166)</f>
        <v>606258000</v>
      </c>
      <c r="M10" s="420">
        <f>SUBTOTAL(9,M12:M166)</f>
        <v>398870113.64872301</v>
      </c>
      <c r="N10" s="569">
        <f>K10/L10</f>
        <v>0.34207859748040786</v>
      </c>
      <c r="O10" s="421">
        <f>L10/L$10</f>
        <v>1</v>
      </c>
      <c r="P10" s="421">
        <f>M10/M$10</f>
        <v>1</v>
      </c>
      <c r="Q10" s="421">
        <f>I10/I$10</f>
        <v>1</v>
      </c>
      <c r="R10" s="422">
        <f>I10/$K$5*100</f>
        <v>341.1955815464587</v>
      </c>
      <c r="S10" s="541">
        <f>R10*T$5</f>
        <v>1025.5859374999998</v>
      </c>
      <c r="T10" s="542">
        <f>SUBTOTAL(9,T12:T354)</f>
        <v>118409765.625</v>
      </c>
      <c r="U10" s="404"/>
      <c r="V10" s="676" t="s">
        <v>364</v>
      </c>
      <c r="W10" s="677"/>
      <c r="X10" s="435">
        <v>10</v>
      </c>
      <c r="Y10" s="423"/>
      <c r="Z10" s="436"/>
      <c r="AA10" s="585" t="s">
        <v>474</v>
      </c>
      <c r="AB10" s="579" t="s">
        <v>466</v>
      </c>
      <c r="AC10" s="424">
        <f t="shared" si="1"/>
        <v>11501000</v>
      </c>
      <c r="AD10" s="424">
        <f>AC10/$AD$5</f>
        <v>7473.0344379467188</v>
      </c>
      <c r="AE10" s="424">
        <f t="shared" si="2"/>
        <v>138</v>
      </c>
      <c r="AF10" s="426">
        <f>AE10/$AD$5*100</f>
        <v>8.9668615984405449</v>
      </c>
      <c r="AG10" s="424">
        <v>10876000</v>
      </c>
      <c r="AH10" s="424">
        <v>7464.6533973919013</v>
      </c>
      <c r="AI10" s="424">
        <v>130</v>
      </c>
      <c r="AJ10" s="426">
        <v>8.9224433768016471</v>
      </c>
      <c r="AK10" s="427">
        <f>AD10-AH10</f>
        <v>8.3810405548174458</v>
      </c>
      <c r="AL10" s="428">
        <f>AF10-AJ10</f>
        <v>4.4418221638897748E-2</v>
      </c>
      <c r="AM10" s="121"/>
      <c r="AN10" s="100"/>
    </row>
    <row r="11" spans="1:49" ht="17.25" customHeight="1" x14ac:dyDescent="0.3">
      <c r="A11" s="400"/>
      <c r="B11" s="420"/>
      <c r="C11" s="438"/>
      <c r="D11" s="420"/>
      <c r="E11" s="567"/>
      <c r="F11" s="439"/>
      <c r="G11" s="440"/>
      <c r="H11" s="440"/>
      <c r="I11" s="441"/>
      <c r="J11" s="420"/>
      <c r="K11" s="420"/>
      <c r="L11" s="420"/>
      <c r="M11" s="420"/>
      <c r="N11" s="569"/>
      <c r="O11" s="421"/>
      <c r="P11" s="421"/>
      <c r="Q11" s="421"/>
      <c r="R11" s="422"/>
      <c r="S11" s="422">
        <f t="shared" ref="S11" si="3">R11*T$5</f>
        <v>0</v>
      </c>
      <c r="T11" s="422">
        <f t="shared" ref="T11" si="4">IFERROR(S11*G11,0)</f>
        <v>0</v>
      </c>
      <c r="U11" s="404"/>
      <c r="V11" s="423"/>
      <c r="W11" s="423"/>
      <c r="X11" s="442"/>
      <c r="Y11" s="423"/>
      <c r="AA11" s="585" t="s">
        <v>475</v>
      </c>
      <c r="AB11" s="579" t="s">
        <v>476</v>
      </c>
      <c r="AC11" s="424">
        <f t="shared" si="1"/>
        <v>2995000</v>
      </c>
      <c r="AD11" s="424">
        <f>AC11/$AD$5</f>
        <v>1946.0688758934373</v>
      </c>
      <c r="AE11" s="424">
        <f t="shared" si="2"/>
        <v>169</v>
      </c>
      <c r="AF11" s="426">
        <f>AE11/$AD$5*100</f>
        <v>10.981156595191683</v>
      </c>
      <c r="AG11" s="424">
        <v>2801000</v>
      </c>
      <c r="AH11" s="424">
        <v>1922.4433768016472</v>
      </c>
      <c r="AI11" s="424">
        <v>157</v>
      </c>
      <c r="AJ11" s="426">
        <v>10.775566231983527</v>
      </c>
      <c r="AK11" s="427">
        <f t="shared" ref="AK11:AK18" si="5">AD11-AH11</f>
        <v>23.625499091790061</v>
      </c>
      <c r="AL11" s="428">
        <f>AF11-AJ11</f>
        <v>0.20559036320815594</v>
      </c>
      <c r="AM11" s="121"/>
      <c r="AN11" s="100"/>
    </row>
    <row r="12" spans="1:49" ht="17.25" customHeight="1" x14ac:dyDescent="0.3">
      <c r="A12" s="400"/>
      <c r="B12" s="444" t="s">
        <v>28</v>
      </c>
      <c r="C12" s="445"/>
      <c r="D12" s="445"/>
      <c r="E12" s="446"/>
      <c r="F12" s="447"/>
      <c r="G12" s="448"/>
      <c r="H12" s="446"/>
      <c r="I12" s="434">
        <f>SUBTOTAL(9,I14:I121)</f>
        <v>2179</v>
      </c>
      <c r="J12" s="449"/>
      <c r="K12" s="434">
        <f>SUBTOTAL(9,K14:K121)</f>
        <v>183932432.94377887</v>
      </c>
      <c r="L12" s="434">
        <f>SUBTOTAL(9,L14:L121)</f>
        <v>550511000</v>
      </c>
      <c r="M12" s="434">
        <f>SUBTOTAL(9,M14:M121)</f>
        <v>366578567.05622113</v>
      </c>
      <c r="N12" s="450">
        <f>K12/L12</f>
        <v>0.3341121847588493</v>
      </c>
      <c r="O12" s="451">
        <f>L12/L$10</f>
        <v>0.90804739896215803</v>
      </c>
      <c r="P12" s="451">
        <f>M12/M$10</f>
        <v>0.91904245144588492</v>
      </c>
      <c r="Q12" s="451">
        <f>I12/I$10</f>
        <v>0.41496857741382592</v>
      </c>
      <c r="R12" s="452">
        <f>I12/$K$5*100</f>
        <v>141.58544509421702</v>
      </c>
      <c r="S12" s="452">
        <f>R12*T$5</f>
        <v>425.5859375</v>
      </c>
      <c r="T12" s="452">
        <f>IFERROR(S12*G12,0)</f>
        <v>0</v>
      </c>
      <c r="U12" s="404"/>
      <c r="V12" s="676" t="s">
        <v>365</v>
      </c>
      <c r="W12" s="677"/>
      <c r="X12" s="435">
        <v>10000000</v>
      </c>
      <c r="Y12" s="423"/>
      <c r="AA12" s="585" t="s">
        <v>477</v>
      </c>
      <c r="AB12" s="579" t="s">
        <v>478</v>
      </c>
      <c r="AC12" s="424">
        <f t="shared" si="1"/>
        <v>18399000</v>
      </c>
      <c r="AD12" s="424">
        <f>AC12/$AD$5</f>
        <v>11955.165692007797</v>
      </c>
      <c r="AE12" s="424">
        <f t="shared" si="2"/>
        <v>430</v>
      </c>
      <c r="AF12" s="426">
        <f>AE12/$AD$5*100</f>
        <v>27.94022092267706</v>
      </c>
      <c r="AG12" s="424">
        <v>17899000</v>
      </c>
      <c r="AH12" s="424">
        <v>12284.831846259438</v>
      </c>
      <c r="AI12" s="424">
        <v>413</v>
      </c>
      <c r="AJ12" s="426">
        <v>28.34591626630062</v>
      </c>
      <c r="AK12" s="427">
        <f t="shared" si="5"/>
        <v>-329.66615425164127</v>
      </c>
      <c r="AL12" s="428">
        <f t="shared" ref="AL12:AL18" si="6">AF12-AJ12</f>
        <v>-0.40569534362355952</v>
      </c>
      <c r="AM12" s="100"/>
      <c r="AN12" s="100"/>
    </row>
    <row r="13" spans="1:49" ht="17.25" customHeight="1" x14ac:dyDescent="0.3">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585" t="s">
        <v>479</v>
      </c>
      <c r="AB13" s="579" t="s">
        <v>480</v>
      </c>
      <c r="AC13" s="424">
        <f t="shared" si="1"/>
        <v>79190000</v>
      </c>
      <c r="AD13" s="424">
        <f t="shared" ref="AD13:AD18" si="7">AC13/$AD$5</f>
        <v>51455.490578297598</v>
      </c>
      <c r="AE13" s="424">
        <f t="shared" si="2"/>
        <v>390</v>
      </c>
      <c r="AF13" s="426">
        <f t="shared" ref="AF13:AF18" si="8">AE13/$AD$5*100</f>
        <v>25.341130604288498</v>
      </c>
      <c r="AG13" s="424">
        <v>73497000</v>
      </c>
      <c r="AH13" s="424">
        <v>50444.063143445434</v>
      </c>
      <c r="AI13" s="424">
        <v>367</v>
      </c>
      <c r="AJ13" s="426">
        <v>25.188743994509267</v>
      </c>
      <c r="AK13" s="427">
        <f t="shared" si="5"/>
        <v>1011.4274348521649</v>
      </c>
      <c r="AL13" s="428">
        <f t="shared" si="6"/>
        <v>0.15238660977923146</v>
      </c>
      <c r="AM13" s="100"/>
      <c r="AN13" s="100"/>
    </row>
    <row r="14" spans="1:49" s="466" customFormat="1" ht="20.25" customHeight="1" x14ac:dyDescent="0.35">
      <c r="A14" s="453"/>
      <c r="B14" s="454" t="s">
        <v>446</v>
      </c>
      <c r="C14" s="455" t="s">
        <v>447</v>
      </c>
      <c r="D14" s="455"/>
      <c r="E14" s="456"/>
      <c r="F14" s="457"/>
      <c r="G14" s="456"/>
      <c r="H14" s="456"/>
      <c r="I14" s="458">
        <f>SUBTOTAL(9,I15:I16)</f>
        <v>1</v>
      </c>
      <c r="J14" s="459"/>
      <c r="K14" s="455">
        <f>SUBTOTAL(9,K15:K16)</f>
        <v>14418874.790414199</v>
      </c>
      <c r="L14" s="455">
        <f>SUBTOTAL(9,L15:L16)</f>
        <v>0</v>
      </c>
      <c r="M14" s="455">
        <f>SUBTOTAL(9,M15:M16)</f>
        <v>-14418874.790414199</v>
      </c>
      <c r="N14" s="460" t="e">
        <f>K14/L14</f>
        <v>#DIV/0!</v>
      </c>
      <c r="O14" s="461">
        <f>L14/L$10</f>
        <v>0</v>
      </c>
      <c r="P14" s="461">
        <f>M14/M$10</f>
        <v>-3.6149298473418884E-2</v>
      </c>
      <c r="Q14" s="461">
        <f>I14/I$10</f>
        <v>1.9043991620643687E-4</v>
      </c>
      <c r="R14" s="462">
        <f t="shared" ref="R14" si="9">I14/$K$5*100</f>
        <v>6.4977257959714096E-2</v>
      </c>
      <c r="S14" s="543">
        <f t="shared" ref="S14:S15" si="10">R14*T$5</f>
        <v>0.1953125</v>
      </c>
      <c r="T14" s="544">
        <f t="shared" ref="T14:T15" si="11">IFERROR(S14*G14,0)</f>
        <v>0</v>
      </c>
      <c r="U14" s="404"/>
      <c r="V14" s="463"/>
      <c r="W14" s="463"/>
      <c r="X14" s="463"/>
      <c r="Y14" s="464"/>
      <c r="Z14" s="465"/>
      <c r="AA14" s="585" t="s">
        <v>481</v>
      </c>
      <c r="AB14" s="579" t="s">
        <v>482</v>
      </c>
      <c r="AC14" s="424">
        <f t="shared" si="1"/>
        <v>15893000</v>
      </c>
      <c r="AD14" s="424">
        <f t="shared" si="7"/>
        <v>10326.835607537361</v>
      </c>
      <c r="AE14" s="424">
        <f t="shared" si="2"/>
        <v>157</v>
      </c>
      <c r="AF14" s="426">
        <f t="shared" si="8"/>
        <v>10.201429499675113</v>
      </c>
      <c r="AG14" s="424">
        <v>15299000</v>
      </c>
      <c r="AH14" s="424">
        <v>10500.343170899108</v>
      </c>
      <c r="AI14" s="424">
        <v>151</v>
      </c>
      <c r="AJ14" s="426">
        <v>10.363761153054222</v>
      </c>
      <c r="AK14" s="427">
        <f t="shared" si="5"/>
        <v>-173.50756336174709</v>
      </c>
      <c r="AL14" s="428">
        <f t="shared" si="6"/>
        <v>-0.16233165337910904</v>
      </c>
      <c r="AM14" s="400"/>
      <c r="AN14" s="400"/>
      <c r="AO14" s="465"/>
      <c r="AP14" s="465"/>
      <c r="AQ14" s="571"/>
      <c r="AR14" s="571"/>
      <c r="AS14" s="571"/>
      <c r="AT14" s="571"/>
      <c r="AU14" s="571"/>
      <c r="AV14" s="571"/>
      <c r="AW14" s="571"/>
    </row>
    <row r="15" spans="1:49" s="571" customFormat="1" ht="20.25" customHeight="1" x14ac:dyDescent="0.35">
      <c r="A15" s="366">
        <v>1</v>
      </c>
      <c r="B15" s="467" t="s">
        <v>452</v>
      </c>
      <c r="C15" s="365" t="s">
        <v>448</v>
      </c>
      <c r="D15" s="365"/>
      <c r="E15" s="468"/>
      <c r="F15" s="469">
        <v>9368.9894674556199</v>
      </c>
      <c r="G15" s="470">
        <v>0</v>
      </c>
      <c r="H15" s="470">
        <f>G15-F15</f>
        <v>-9368.9894674556199</v>
      </c>
      <c r="I15" s="471">
        <v>1</v>
      </c>
      <c r="J15" s="424"/>
      <c r="K15" s="472">
        <f>I15*F15*$K$5</f>
        <v>14418874.790414199</v>
      </c>
      <c r="L15" s="424">
        <f>I15*G15</f>
        <v>0</v>
      </c>
      <c r="M15" s="424">
        <f>L15-K15</f>
        <v>-14418874.790414199</v>
      </c>
      <c r="N15" s="473" t="e">
        <f>K15/L15</f>
        <v>#DIV/0!</v>
      </c>
      <c r="O15" s="474">
        <f>L15/L$10</f>
        <v>0</v>
      </c>
      <c r="P15" s="474">
        <f>M15/M$10</f>
        <v>-3.6149298473418884E-2</v>
      </c>
      <c r="Q15" s="474">
        <f>I15/I$10</f>
        <v>1.9043991620643687E-4</v>
      </c>
      <c r="R15" s="475">
        <f>I15/$K$5*100</f>
        <v>6.4977257959714096E-2</v>
      </c>
      <c r="S15" s="545">
        <f t="shared" si="10"/>
        <v>0.1953125</v>
      </c>
      <c r="T15" s="546">
        <f t="shared" si="11"/>
        <v>0</v>
      </c>
      <c r="U15" s="404"/>
      <c r="V15" s="476" t="str">
        <f t="shared" ref="V15:V123" si="12">IF(B15&lt;&gt;"",IFERROR(IF($I15&gt;=$X$10,"High","Low"),""),"")</f>
        <v>Low</v>
      </c>
      <c r="W15" s="476" t="str">
        <f t="shared" ref="W15:W123" si="13">IF(B15&lt;&gt;"",IFERROR(IF($L15&gt;=$X$12,"High","Low"),""),"")</f>
        <v>Low</v>
      </c>
      <c r="X15" s="477" t="str">
        <f t="shared" ref="X15:X123" si="14">IF(B15&lt;&gt;"",IFERROR(IF(AND(V15="high",W15="high"),"Star",IF(AND(V15="low",W15="high"),"Puzzle",(IF(AND(V15="high",W15="low"),"Horse","Dog")))),""),"")</f>
        <v>Dog</v>
      </c>
      <c r="Y15" s="374"/>
      <c r="AA15" s="585" t="s">
        <v>483</v>
      </c>
      <c r="AB15" s="579" t="s">
        <v>465</v>
      </c>
      <c r="AC15" s="424">
        <f t="shared" si="1"/>
        <v>20855000</v>
      </c>
      <c r="AD15" s="424">
        <f t="shared" si="7"/>
        <v>13551.007147498376</v>
      </c>
      <c r="AE15" s="424">
        <f t="shared" si="2"/>
        <v>161</v>
      </c>
      <c r="AF15" s="426">
        <f t="shared" si="8"/>
        <v>10.46133853151397</v>
      </c>
      <c r="AG15" s="424">
        <v>19265000</v>
      </c>
      <c r="AH15" s="424">
        <v>13222.374742621825</v>
      </c>
      <c r="AI15" s="424">
        <v>149</v>
      </c>
      <c r="AJ15" s="426">
        <v>10.226492793411118</v>
      </c>
      <c r="AK15" s="427">
        <f t="shared" si="5"/>
        <v>328.63240487655094</v>
      </c>
      <c r="AL15" s="428">
        <f t="shared" si="6"/>
        <v>0.2348457381028517</v>
      </c>
      <c r="AM15" s="366"/>
      <c r="AN15" s="366"/>
    </row>
    <row r="16" spans="1:49" s="571" customFormat="1"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t="str">
        <f t="shared" si="12"/>
        <v/>
      </c>
      <c r="W16" s="476" t="str">
        <f t="shared" si="13"/>
        <v/>
      </c>
      <c r="X16" s="477" t="str">
        <f t="shared" si="14"/>
        <v/>
      </c>
      <c r="Y16" s="374"/>
      <c r="AA16" s="585" t="s">
        <v>484</v>
      </c>
      <c r="AB16" s="579" t="s">
        <v>485</v>
      </c>
      <c r="AC16" s="424">
        <f t="shared" si="1"/>
        <v>25478000</v>
      </c>
      <c r="AD16" s="424">
        <f t="shared" si="7"/>
        <v>16554.905782975959</v>
      </c>
      <c r="AE16" s="424">
        <f t="shared" si="2"/>
        <v>341</v>
      </c>
      <c r="AF16" s="426">
        <f t="shared" si="8"/>
        <v>22.157244964262507</v>
      </c>
      <c r="AG16" s="424">
        <v>24203000</v>
      </c>
      <c r="AH16" s="424">
        <v>16611.530542210021</v>
      </c>
      <c r="AI16" s="424">
        <v>317</v>
      </c>
      <c r="AJ16" s="426">
        <v>21.75703500343171</v>
      </c>
      <c r="AK16" s="427">
        <f t="shared" si="5"/>
        <v>-56.624759234062367</v>
      </c>
      <c r="AL16" s="428">
        <f t="shared" si="6"/>
        <v>0.40020996083079652</v>
      </c>
      <c r="AM16" s="366"/>
      <c r="AN16" s="366"/>
    </row>
    <row r="17" spans="1:40" ht="17.25" customHeight="1" x14ac:dyDescent="0.3">
      <c r="A17" s="453"/>
      <c r="B17" s="479" t="s">
        <v>474</v>
      </c>
      <c r="C17" s="480" t="s">
        <v>466</v>
      </c>
      <c r="D17" s="480"/>
      <c r="E17" s="481"/>
      <c r="F17" s="482"/>
      <c r="G17" s="481"/>
      <c r="H17" s="481"/>
      <c r="I17" s="483">
        <f>SUBTOTAL(9,I18:I32)</f>
        <v>138</v>
      </c>
      <c r="J17" s="484"/>
      <c r="K17" s="480">
        <f>SUBTOTAL(9,K18:K32)</f>
        <v>3310751.1062287455</v>
      </c>
      <c r="L17" s="480">
        <f>SUBTOTAL(9,L18:L32)</f>
        <v>11501000</v>
      </c>
      <c r="M17" s="480">
        <f>SUBTOTAL(9,M18:M32)</f>
        <v>8190248.8937712554</v>
      </c>
      <c r="N17" s="485">
        <f t="shared" ref="N17:N31" si="15">K17/L17</f>
        <v>0.28786636868348364</v>
      </c>
      <c r="O17" s="486">
        <f t="shared" ref="O17:P31" si="16">L17/L$10</f>
        <v>1.8970471317491893E-2</v>
      </c>
      <c r="P17" s="486">
        <f t="shared" si="16"/>
        <v>2.0533623887861011E-2</v>
      </c>
      <c r="Q17" s="486">
        <f t="shared" ref="Q17:Q31" si="17">I17/I$10</f>
        <v>2.6280708436488286E-2</v>
      </c>
      <c r="R17" s="487">
        <f t="shared" ref="R17:R31" si="18">I17/$K$5*100</f>
        <v>8.9668615984405449</v>
      </c>
      <c r="S17" s="543">
        <f t="shared" ref="S17:S122" si="19">R17*T$5</f>
        <v>26.953124999999996</v>
      </c>
      <c r="T17" s="544">
        <f t="shared" ref="T17:T122" si="20">IFERROR(S17*G17,0)</f>
        <v>0</v>
      </c>
      <c r="U17" s="404"/>
      <c r="V17" s="476" t="str">
        <f t="shared" si="12"/>
        <v>High</v>
      </c>
      <c r="W17" s="476" t="str">
        <f t="shared" si="13"/>
        <v>High</v>
      </c>
      <c r="X17" s="477" t="str">
        <f t="shared" si="14"/>
        <v>Star</v>
      </c>
      <c r="Y17" s="464"/>
      <c r="Z17" s="465"/>
      <c r="AA17" s="585" t="s">
        <v>559</v>
      </c>
      <c r="AB17" s="579" t="s">
        <v>560</v>
      </c>
      <c r="AC17" s="424">
        <f t="shared" si="1"/>
        <v>376200000</v>
      </c>
      <c r="AD17" s="424">
        <f t="shared" si="7"/>
        <v>244444.44444444444</v>
      </c>
      <c r="AE17" s="424">
        <f t="shared" si="2"/>
        <v>392</v>
      </c>
      <c r="AF17" s="426">
        <f t="shared" si="8"/>
        <v>25.471085120207924</v>
      </c>
      <c r="AG17" s="424">
        <v>356767000</v>
      </c>
      <c r="AH17" s="424">
        <v>244864.10432395333</v>
      </c>
      <c r="AI17" s="424">
        <v>371</v>
      </c>
      <c r="AJ17" s="426">
        <v>25.463280713795474</v>
      </c>
      <c r="AK17" s="427">
        <f t="shared" si="5"/>
        <v>-419.65987950889394</v>
      </c>
      <c r="AL17" s="428">
        <f t="shared" si="6"/>
        <v>7.8044064124505041E-3</v>
      </c>
      <c r="AM17" s="100"/>
      <c r="AN17" s="100"/>
    </row>
    <row r="18" spans="1:40" ht="18" customHeight="1" x14ac:dyDescent="0.3">
      <c r="A18" s="366">
        <v>1</v>
      </c>
      <c r="B18" s="467" t="s">
        <v>490</v>
      </c>
      <c r="C18" s="365" t="s">
        <v>520</v>
      </c>
      <c r="D18" s="365"/>
      <c r="E18" s="468" t="s">
        <v>437</v>
      </c>
      <c r="F18" s="581">
        <v>15288.533333333333</v>
      </c>
      <c r="G18" s="470">
        <v>61250</v>
      </c>
      <c r="H18" s="470">
        <f t="shared" ref="H18:H31" si="21">G18-F18</f>
        <v>45961.466666666667</v>
      </c>
      <c r="I18" s="471">
        <v>16</v>
      </c>
      <c r="J18" s="424"/>
      <c r="K18" s="424">
        <f t="shared" ref="K18:K31" si="22">I18*F18</f>
        <v>244616.53333333333</v>
      </c>
      <c r="L18" s="424">
        <f t="shared" ref="L18:L31" si="23">I18*G18</f>
        <v>980000</v>
      </c>
      <c r="M18" s="424">
        <f t="shared" ref="M18:M31" si="24">L18-K18</f>
        <v>735383.46666666667</v>
      </c>
      <c r="N18" s="473">
        <f t="shared" si="15"/>
        <v>0.24960870748299319</v>
      </c>
      <c r="O18" s="474">
        <f t="shared" si="16"/>
        <v>1.6164735145763026E-3</v>
      </c>
      <c r="P18" s="474">
        <f t="shared" si="16"/>
        <v>1.8436665007053005E-3</v>
      </c>
      <c r="Q18" s="474">
        <f t="shared" si="17"/>
        <v>3.04703865930299E-3</v>
      </c>
      <c r="R18" s="475">
        <f t="shared" si="18"/>
        <v>1.0396361273554255</v>
      </c>
      <c r="S18" s="545">
        <f t="shared" si="19"/>
        <v>3.125</v>
      </c>
      <c r="T18" s="546">
        <f t="shared" si="20"/>
        <v>191406.25</v>
      </c>
      <c r="U18" s="404"/>
      <c r="V18" s="476" t="str">
        <f t="shared" si="12"/>
        <v>High</v>
      </c>
      <c r="W18" s="476" t="str">
        <f t="shared" si="13"/>
        <v>Low</v>
      </c>
      <c r="X18" s="477" t="str">
        <f t="shared" si="14"/>
        <v>Horse</v>
      </c>
      <c r="AA18" s="585" t="s">
        <v>486</v>
      </c>
      <c r="AB18" s="579" t="s">
        <v>487</v>
      </c>
      <c r="AC18" s="424">
        <f t="shared" si="1"/>
        <v>21080000</v>
      </c>
      <c r="AD18" s="424">
        <f t="shared" si="7"/>
        <v>13697.205977907732</v>
      </c>
      <c r="AE18" s="424">
        <f t="shared" si="2"/>
        <v>443</v>
      </c>
      <c r="AF18" s="426">
        <f t="shared" si="8"/>
        <v>28.784925276153345</v>
      </c>
      <c r="AG18" s="424">
        <v>19798000</v>
      </c>
      <c r="AH18" s="424">
        <v>13588.194921070693</v>
      </c>
      <c r="AI18" s="424">
        <v>415</v>
      </c>
      <c r="AJ18" s="426">
        <v>28.483184625943718</v>
      </c>
      <c r="AK18" s="427">
        <f t="shared" si="5"/>
        <v>109.01105683703827</v>
      </c>
      <c r="AL18" s="428">
        <f t="shared" si="6"/>
        <v>0.30174065020962715</v>
      </c>
      <c r="AM18" s="100"/>
      <c r="AN18" s="100"/>
    </row>
    <row r="19" spans="1:40" ht="18.75" customHeight="1" x14ac:dyDescent="0.3">
      <c r="A19" s="366">
        <f>A18+1</f>
        <v>2</v>
      </c>
      <c r="B19" s="467" t="s">
        <v>587</v>
      </c>
      <c r="C19" s="365" t="s">
        <v>644</v>
      </c>
      <c r="D19" s="365"/>
      <c r="E19" s="468" t="s">
        <v>437</v>
      </c>
      <c r="F19" s="581">
        <v>35570.36363636364</v>
      </c>
      <c r="G19" s="470">
        <v>121666.66666666667</v>
      </c>
      <c r="H19" s="470">
        <f t="shared" si="21"/>
        <v>86096.303030303039</v>
      </c>
      <c r="I19" s="471">
        <v>6</v>
      </c>
      <c r="J19" s="424"/>
      <c r="K19" s="424">
        <f t="shared" si="22"/>
        <v>213422.18181818182</v>
      </c>
      <c r="L19" s="424">
        <f t="shared" si="23"/>
        <v>730000</v>
      </c>
      <c r="M19" s="424">
        <f t="shared" si="24"/>
        <v>516577.81818181818</v>
      </c>
      <c r="N19" s="473">
        <f t="shared" si="15"/>
        <v>0.29235915317559152</v>
      </c>
      <c r="O19" s="474">
        <f t="shared" si="16"/>
        <v>1.2041078220823478E-3</v>
      </c>
      <c r="P19" s="474">
        <f t="shared" si="16"/>
        <v>1.2951028430191137E-3</v>
      </c>
      <c r="Q19" s="474">
        <f t="shared" si="17"/>
        <v>1.1426394972386211E-3</v>
      </c>
      <c r="R19" s="475">
        <f t="shared" si="18"/>
        <v>0.38986354775828458</v>
      </c>
      <c r="S19" s="545">
        <f t="shared" si="19"/>
        <v>1.171875</v>
      </c>
      <c r="T19" s="546">
        <f t="shared" si="20"/>
        <v>142578.125</v>
      </c>
      <c r="U19" s="404"/>
      <c r="V19" s="476" t="str">
        <f t="shared" si="12"/>
        <v>Low</v>
      </c>
      <c r="W19" s="476" t="str">
        <f t="shared" si="13"/>
        <v>Low</v>
      </c>
      <c r="X19" s="477" t="str">
        <f t="shared" si="14"/>
        <v>Dog</v>
      </c>
      <c r="AA19" s="586" t="s">
        <v>449</v>
      </c>
      <c r="AB19" s="443" t="s">
        <v>450</v>
      </c>
      <c r="AC19" s="424">
        <f t="shared" si="1"/>
        <v>1410000</v>
      </c>
      <c r="AD19" s="424">
        <f>AC19/$AD$5</f>
        <v>916.17933723196882</v>
      </c>
      <c r="AE19" s="424">
        <f t="shared" si="2"/>
        <v>649</v>
      </c>
      <c r="AF19" s="426">
        <f>AE19/$AD$5*100</f>
        <v>42.170240415854451</v>
      </c>
      <c r="AG19" s="424">
        <v>1320000</v>
      </c>
      <c r="AH19" s="424">
        <v>905.9711736444749</v>
      </c>
      <c r="AI19" s="424">
        <v>610</v>
      </c>
      <c r="AJ19" s="426">
        <v>41.866849691146193</v>
      </c>
      <c r="AK19" s="427">
        <f>AD19-AH19</f>
        <v>10.208163587493914</v>
      </c>
      <c r="AL19" s="428">
        <f>AF19-AJ19</f>
        <v>0.30339072470825812</v>
      </c>
      <c r="AM19" s="100"/>
      <c r="AN19" s="100"/>
    </row>
    <row r="20" spans="1:40" ht="18.75" customHeight="1" x14ac:dyDescent="0.3">
      <c r="A20" s="366">
        <f t="shared" ref="A20:A31" si="25">A19+1</f>
        <v>3</v>
      </c>
      <c r="B20" s="467" t="s">
        <v>588</v>
      </c>
      <c r="C20" s="365" t="s">
        <v>645</v>
      </c>
      <c r="D20" s="365"/>
      <c r="E20" s="468" t="s">
        <v>437</v>
      </c>
      <c r="F20" s="581">
        <v>28191.7</v>
      </c>
      <c r="G20" s="470">
        <v>83600</v>
      </c>
      <c r="H20" s="470">
        <f t="shared" si="21"/>
        <v>55408.3</v>
      </c>
      <c r="I20" s="471">
        <v>10</v>
      </c>
      <c r="J20" s="424"/>
      <c r="K20" s="424">
        <f t="shared" si="22"/>
        <v>281917</v>
      </c>
      <c r="L20" s="424">
        <f t="shared" si="23"/>
        <v>836000</v>
      </c>
      <c r="M20" s="424">
        <f t="shared" si="24"/>
        <v>554083</v>
      </c>
      <c r="N20" s="473">
        <f t="shared" si="15"/>
        <v>0.33722129186602873</v>
      </c>
      <c r="O20" s="474">
        <f t="shared" si="16"/>
        <v>1.3789508756997845E-3</v>
      </c>
      <c r="P20" s="474">
        <f t="shared" si="16"/>
        <v>1.3891314015267884E-3</v>
      </c>
      <c r="Q20" s="474">
        <f t="shared" si="17"/>
        <v>1.9043991620643686E-3</v>
      </c>
      <c r="R20" s="475">
        <f t="shared" si="18"/>
        <v>0.64977257959714096</v>
      </c>
      <c r="S20" s="545">
        <f t="shared" si="19"/>
        <v>1.953125</v>
      </c>
      <c r="T20" s="546">
        <f t="shared" si="20"/>
        <v>163281.25</v>
      </c>
      <c r="U20" s="404"/>
      <c r="V20" s="476" t="str">
        <f t="shared" si="12"/>
        <v>High</v>
      </c>
      <c r="W20" s="476" t="str">
        <f t="shared" si="13"/>
        <v>Low</v>
      </c>
      <c r="X20" s="477" t="str">
        <f t="shared" si="14"/>
        <v>Horse</v>
      </c>
      <c r="AA20" s="587" t="s">
        <v>493</v>
      </c>
      <c r="AB20" s="588" t="s">
        <v>440</v>
      </c>
      <c r="AC20" s="499">
        <f t="shared" si="1"/>
        <v>3576000</v>
      </c>
      <c r="AD20" s="499">
        <f>AC20/$AD$5</f>
        <v>2323.5867446393763</v>
      </c>
      <c r="AE20" s="499">
        <f t="shared" si="2"/>
        <v>1192</v>
      </c>
      <c r="AF20" s="500">
        <f>AE20/$AD$5*100</f>
        <v>77.452891487979201</v>
      </c>
      <c r="AG20" s="499">
        <v>3414000</v>
      </c>
      <c r="AH20" s="499">
        <v>2343.1708991077558</v>
      </c>
      <c r="AI20" s="499">
        <v>1138</v>
      </c>
      <c r="AJ20" s="500">
        <v>78.105696636925188</v>
      </c>
      <c r="AK20" s="501">
        <f>AD20-AH20</f>
        <v>-19.584154468379438</v>
      </c>
      <c r="AL20" s="502">
        <f>AF20-AJ20</f>
        <v>-0.65280514894598696</v>
      </c>
      <c r="AM20" s="100"/>
      <c r="AN20" s="100"/>
    </row>
    <row r="21" spans="1:40" ht="18.75" customHeight="1" x14ac:dyDescent="0.3">
      <c r="A21" s="366">
        <f t="shared" si="25"/>
        <v>4</v>
      </c>
      <c r="B21" s="467" t="s">
        <v>589</v>
      </c>
      <c r="C21" s="365" t="s">
        <v>646</v>
      </c>
      <c r="D21" s="365"/>
      <c r="E21" s="468" t="s">
        <v>437</v>
      </c>
      <c r="F21" s="581">
        <v>22995.888888888891</v>
      </c>
      <c r="G21" s="470">
        <v>82612.903225806454</v>
      </c>
      <c r="H21" s="470">
        <f t="shared" si="21"/>
        <v>59617.014336917564</v>
      </c>
      <c r="I21" s="471">
        <v>31</v>
      </c>
      <c r="J21" s="424"/>
      <c r="K21" s="424">
        <f t="shared" si="22"/>
        <v>712872.55555555562</v>
      </c>
      <c r="L21" s="424">
        <f t="shared" si="23"/>
        <v>2561000</v>
      </c>
      <c r="M21" s="424">
        <f t="shared" si="24"/>
        <v>1848127.4444444445</v>
      </c>
      <c r="N21" s="473">
        <f t="shared" si="15"/>
        <v>0.2783571087682763</v>
      </c>
      <c r="O21" s="474">
        <f t="shared" si="16"/>
        <v>4.2242741539080721E-3</v>
      </c>
      <c r="P21" s="474">
        <f t="shared" si="16"/>
        <v>4.6334066684977394E-3</v>
      </c>
      <c r="Q21" s="474">
        <f t="shared" si="17"/>
        <v>5.9036374023995431E-3</v>
      </c>
      <c r="R21" s="475">
        <f t="shared" si="18"/>
        <v>2.0142949967511372</v>
      </c>
      <c r="S21" s="545">
        <f t="shared" si="19"/>
        <v>6.0546875</v>
      </c>
      <c r="T21" s="546">
        <f t="shared" si="20"/>
        <v>500195.3125</v>
      </c>
      <c r="U21" s="404"/>
      <c r="V21" s="476" t="str">
        <f t="shared" si="12"/>
        <v>High</v>
      </c>
      <c r="W21" s="476" t="str">
        <f t="shared" si="13"/>
        <v>Low</v>
      </c>
      <c r="X21" s="477" t="str">
        <f t="shared" si="14"/>
        <v>Horse</v>
      </c>
      <c r="AA21" s="366"/>
      <c r="AB21" s="534"/>
      <c r="AC21" s="366"/>
      <c r="AD21" s="366"/>
      <c r="AE21" s="366"/>
      <c r="AF21" s="572"/>
      <c r="AG21" s="366"/>
      <c r="AH21" s="366"/>
      <c r="AI21" s="366"/>
      <c r="AJ21" s="572"/>
      <c r="AK21" s="535"/>
      <c r="AL21" s="536"/>
      <c r="AM21" s="100"/>
      <c r="AN21" s="100"/>
    </row>
    <row r="22" spans="1:40" ht="18.75" customHeight="1" x14ac:dyDescent="0.3">
      <c r="A22" s="366">
        <f t="shared" si="25"/>
        <v>5</v>
      </c>
      <c r="B22" s="467" t="s">
        <v>590</v>
      </c>
      <c r="C22" s="365" t="s">
        <v>647</v>
      </c>
      <c r="D22" s="365"/>
      <c r="E22" s="468" t="s">
        <v>437</v>
      </c>
      <c r="F22" s="581">
        <v>8153</v>
      </c>
      <c r="G22" s="470">
        <v>51250</v>
      </c>
      <c r="H22" s="470">
        <f t="shared" si="21"/>
        <v>43097</v>
      </c>
      <c r="I22" s="471">
        <v>4</v>
      </c>
      <c r="J22" s="424"/>
      <c r="K22" s="424">
        <f t="shared" si="22"/>
        <v>32612</v>
      </c>
      <c r="L22" s="424">
        <f t="shared" si="23"/>
        <v>205000</v>
      </c>
      <c r="M22" s="424">
        <f t="shared" si="24"/>
        <v>172388</v>
      </c>
      <c r="N22" s="473">
        <f t="shared" si="15"/>
        <v>0.15908292682926831</v>
      </c>
      <c r="O22" s="474">
        <f t="shared" si="16"/>
        <v>3.381398678450429E-4</v>
      </c>
      <c r="P22" s="474">
        <f t="shared" si="16"/>
        <v>4.3219081626110173E-4</v>
      </c>
      <c r="Q22" s="474">
        <f t="shared" si="17"/>
        <v>7.617596648257475E-4</v>
      </c>
      <c r="R22" s="475">
        <f t="shared" si="18"/>
        <v>0.25990903183885639</v>
      </c>
      <c r="S22" s="545">
        <f t="shared" si="19"/>
        <v>0.78125</v>
      </c>
      <c r="T22" s="546">
        <f t="shared" si="20"/>
        <v>40039.0625</v>
      </c>
      <c r="U22" s="404"/>
      <c r="V22" s="476" t="str">
        <f t="shared" si="12"/>
        <v>Low</v>
      </c>
      <c r="W22" s="476" t="str">
        <f t="shared" si="13"/>
        <v>Low</v>
      </c>
      <c r="X22" s="477" t="str">
        <f t="shared" si="14"/>
        <v>Dog</v>
      </c>
      <c r="AA22" s="366"/>
      <c r="AB22" s="534"/>
      <c r="AC22" s="366"/>
      <c r="AD22" s="366"/>
      <c r="AE22" s="366"/>
      <c r="AF22" s="572"/>
      <c r="AG22" s="366"/>
      <c r="AH22" s="366"/>
      <c r="AI22" s="366"/>
      <c r="AJ22" s="572"/>
      <c r="AK22" s="535"/>
      <c r="AL22" s="536"/>
      <c r="AM22" s="100"/>
      <c r="AN22" s="100"/>
    </row>
    <row r="23" spans="1:40" ht="18.75" customHeight="1" x14ac:dyDescent="0.3">
      <c r="A23" s="366">
        <f t="shared" si="25"/>
        <v>6</v>
      </c>
      <c r="B23" s="467" t="s">
        <v>591</v>
      </c>
      <c r="C23" s="365" t="s">
        <v>648</v>
      </c>
      <c r="D23" s="365"/>
      <c r="E23" s="468" t="s">
        <v>437</v>
      </c>
      <c r="F23" s="581">
        <v>12108</v>
      </c>
      <c r="G23" s="470">
        <v>40333.333333333336</v>
      </c>
      <c r="H23" s="470">
        <f t="shared" si="21"/>
        <v>28225.333333333336</v>
      </c>
      <c r="I23" s="471">
        <v>3</v>
      </c>
      <c r="J23" s="424"/>
      <c r="K23" s="424">
        <f t="shared" si="22"/>
        <v>36324</v>
      </c>
      <c r="L23" s="424">
        <f t="shared" si="23"/>
        <v>121000</v>
      </c>
      <c r="M23" s="424">
        <f t="shared" si="24"/>
        <v>84676</v>
      </c>
      <c r="N23" s="473">
        <f t="shared" si="15"/>
        <v>0.30019834710743803</v>
      </c>
      <c r="O23" s="474">
        <f t="shared" si="16"/>
        <v>1.9958499516707409E-4</v>
      </c>
      <c r="P23" s="474">
        <f t="shared" si="16"/>
        <v>2.1228965796763724E-4</v>
      </c>
      <c r="Q23" s="474">
        <f t="shared" si="17"/>
        <v>5.7131974861931057E-4</v>
      </c>
      <c r="R23" s="475">
        <f t="shared" si="18"/>
        <v>0.19493177387914229</v>
      </c>
      <c r="S23" s="545">
        <f t="shared" si="19"/>
        <v>0.5859375</v>
      </c>
      <c r="T23" s="546">
        <f t="shared" si="20"/>
        <v>23632.8125</v>
      </c>
      <c r="U23" s="404"/>
      <c r="V23" s="476" t="str">
        <f t="shared" si="12"/>
        <v>Low</v>
      </c>
      <c r="W23" s="476" t="str">
        <f t="shared" si="13"/>
        <v>Low</v>
      </c>
      <c r="X23" s="477" t="str">
        <f t="shared" si="14"/>
        <v>Dog</v>
      </c>
      <c r="AA23" s="366"/>
      <c r="AB23" s="534"/>
      <c r="AC23" s="366"/>
      <c r="AD23" s="366"/>
      <c r="AE23" s="366"/>
      <c r="AF23" s="572"/>
      <c r="AG23" s="366"/>
      <c r="AH23" s="366"/>
      <c r="AI23" s="366"/>
      <c r="AJ23" s="572"/>
      <c r="AK23" s="535"/>
      <c r="AL23" s="536"/>
      <c r="AM23" s="100"/>
      <c r="AN23" s="100"/>
    </row>
    <row r="24" spans="1:40" ht="18.75" customHeight="1" x14ac:dyDescent="0.3">
      <c r="A24" s="366">
        <f t="shared" si="25"/>
        <v>7</v>
      </c>
      <c r="B24" s="467" t="s">
        <v>592</v>
      </c>
      <c r="C24" s="365" t="s">
        <v>649</v>
      </c>
      <c r="D24" s="365"/>
      <c r="E24" s="468" t="s">
        <v>437</v>
      </c>
      <c r="F24" s="581"/>
      <c r="G24" s="470">
        <v>0</v>
      </c>
      <c r="H24" s="470">
        <f t="shared" si="21"/>
        <v>0</v>
      </c>
      <c r="I24" s="471">
        <v>0</v>
      </c>
      <c r="J24" s="424"/>
      <c r="K24" s="424">
        <f t="shared" si="22"/>
        <v>0</v>
      </c>
      <c r="L24" s="424">
        <f t="shared" si="23"/>
        <v>0</v>
      </c>
      <c r="M24" s="424">
        <f t="shared" si="24"/>
        <v>0</v>
      </c>
      <c r="N24" s="473" t="e">
        <f t="shared" si="15"/>
        <v>#DIV/0!</v>
      </c>
      <c r="O24" s="474">
        <f t="shared" si="16"/>
        <v>0</v>
      </c>
      <c r="P24" s="474">
        <f t="shared" si="16"/>
        <v>0</v>
      </c>
      <c r="Q24" s="474">
        <f t="shared" si="17"/>
        <v>0</v>
      </c>
      <c r="R24" s="475">
        <f t="shared" si="18"/>
        <v>0</v>
      </c>
      <c r="S24" s="545">
        <f t="shared" si="19"/>
        <v>0</v>
      </c>
      <c r="T24" s="546">
        <f t="shared" si="20"/>
        <v>0</v>
      </c>
      <c r="U24" s="404"/>
      <c r="V24" s="476" t="str">
        <f t="shared" si="12"/>
        <v>Low</v>
      </c>
      <c r="W24" s="476" t="str">
        <f t="shared" si="13"/>
        <v>Low</v>
      </c>
      <c r="X24" s="477" t="str">
        <f t="shared" si="14"/>
        <v>Dog</v>
      </c>
      <c r="AA24" s="366"/>
      <c r="AB24" s="534"/>
      <c r="AC24" s="366"/>
      <c r="AD24" s="366"/>
      <c r="AE24" s="366"/>
      <c r="AF24" s="572"/>
      <c r="AG24" s="366"/>
      <c r="AH24" s="366"/>
      <c r="AI24" s="366"/>
      <c r="AJ24" s="572"/>
      <c r="AK24" s="535"/>
      <c r="AL24" s="536"/>
      <c r="AM24" s="100"/>
      <c r="AN24" s="100"/>
    </row>
    <row r="25" spans="1:40" ht="18.75" customHeight="1" x14ac:dyDescent="0.3">
      <c r="A25" s="366">
        <f t="shared" si="25"/>
        <v>8</v>
      </c>
      <c r="B25" s="467" t="s">
        <v>593</v>
      </c>
      <c r="C25" s="365" t="s">
        <v>650</v>
      </c>
      <c r="D25" s="365"/>
      <c r="E25" s="468" t="s">
        <v>437</v>
      </c>
      <c r="F25" s="581"/>
      <c r="G25" s="470">
        <v>0</v>
      </c>
      <c r="H25" s="470">
        <f t="shared" si="21"/>
        <v>0</v>
      </c>
      <c r="I25" s="471">
        <v>0</v>
      </c>
      <c r="J25" s="424"/>
      <c r="K25" s="424">
        <f t="shared" si="22"/>
        <v>0</v>
      </c>
      <c r="L25" s="424">
        <f t="shared" si="23"/>
        <v>0</v>
      </c>
      <c r="M25" s="424">
        <f t="shared" si="24"/>
        <v>0</v>
      </c>
      <c r="N25" s="473" t="e">
        <f t="shared" si="15"/>
        <v>#DIV/0!</v>
      </c>
      <c r="O25" s="474">
        <f t="shared" si="16"/>
        <v>0</v>
      </c>
      <c r="P25" s="474">
        <f t="shared" si="16"/>
        <v>0</v>
      </c>
      <c r="Q25" s="474">
        <f t="shared" si="17"/>
        <v>0</v>
      </c>
      <c r="R25" s="475">
        <f t="shared" si="18"/>
        <v>0</v>
      </c>
      <c r="S25" s="545">
        <f t="shared" si="19"/>
        <v>0</v>
      </c>
      <c r="T25" s="546">
        <f t="shared" si="20"/>
        <v>0</v>
      </c>
      <c r="U25" s="404"/>
      <c r="V25" s="476" t="str">
        <f t="shared" si="12"/>
        <v>Low</v>
      </c>
      <c r="W25" s="476" t="str">
        <f t="shared" si="13"/>
        <v>Low</v>
      </c>
      <c r="X25" s="477" t="str">
        <f t="shared" si="14"/>
        <v>Dog</v>
      </c>
      <c r="AA25" s="366"/>
      <c r="AB25" s="534"/>
      <c r="AC25" s="366"/>
      <c r="AD25" s="366"/>
      <c r="AE25" s="366"/>
      <c r="AF25" s="572"/>
      <c r="AG25" s="366"/>
      <c r="AH25" s="366"/>
      <c r="AI25" s="366"/>
      <c r="AJ25" s="572"/>
      <c r="AK25" s="535"/>
      <c r="AL25" s="536"/>
      <c r="AM25" s="100"/>
      <c r="AN25" s="100"/>
    </row>
    <row r="26" spans="1:40" ht="18.75" customHeight="1" x14ac:dyDescent="0.3">
      <c r="A26" s="366">
        <f t="shared" si="25"/>
        <v>9</v>
      </c>
      <c r="B26" s="467" t="s">
        <v>594</v>
      </c>
      <c r="C26" s="365" t="s">
        <v>651</v>
      </c>
      <c r="D26" s="365"/>
      <c r="E26" s="468" t="s">
        <v>437</v>
      </c>
      <c r="F26" s="581">
        <v>14003</v>
      </c>
      <c r="G26" s="470">
        <v>70555.555555555562</v>
      </c>
      <c r="H26" s="470">
        <f t="shared" si="21"/>
        <v>56552.555555555562</v>
      </c>
      <c r="I26" s="471">
        <v>9</v>
      </c>
      <c r="J26" s="424"/>
      <c r="K26" s="424">
        <f t="shared" si="22"/>
        <v>126027</v>
      </c>
      <c r="L26" s="424">
        <f t="shared" si="23"/>
        <v>635000</v>
      </c>
      <c r="M26" s="424">
        <f t="shared" si="24"/>
        <v>508973</v>
      </c>
      <c r="N26" s="473">
        <f t="shared" si="15"/>
        <v>0.19846771653543308</v>
      </c>
      <c r="O26" s="474">
        <f t="shared" si="16"/>
        <v>1.0474088589346451E-3</v>
      </c>
      <c r="P26" s="474">
        <f t="shared" si="16"/>
        <v>1.2760369418106929E-3</v>
      </c>
      <c r="Q26" s="474">
        <f t="shared" si="17"/>
        <v>1.7139592458579318E-3</v>
      </c>
      <c r="R26" s="475">
        <f t="shared" si="18"/>
        <v>0.58479532163742687</v>
      </c>
      <c r="S26" s="545">
        <f t="shared" si="19"/>
        <v>1.7578125</v>
      </c>
      <c r="T26" s="546">
        <f t="shared" si="20"/>
        <v>124023.43750000001</v>
      </c>
      <c r="U26" s="404"/>
      <c r="V26" s="476" t="str">
        <f t="shared" si="12"/>
        <v>Low</v>
      </c>
      <c r="W26" s="476" t="str">
        <f t="shared" si="13"/>
        <v>Low</v>
      </c>
      <c r="X26" s="477" t="str">
        <f t="shared" si="14"/>
        <v>Dog</v>
      </c>
      <c r="AA26" s="366"/>
      <c r="AB26" s="534"/>
      <c r="AC26" s="366"/>
      <c r="AD26" s="366"/>
      <c r="AE26" s="366"/>
      <c r="AF26" s="572"/>
      <c r="AG26" s="366"/>
      <c r="AH26" s="366"/>
      <c r="AI26" s="366"/>
      <c r="AJ26" s="572"/>
      <c r="AK26" s="535"/>
      <c r="AL26" s="536"/>
      <c r="AM26" s="100"/>
      <c r="AN26" s="100"/>
    </row>
    <row r="27" spans="1:40" ht="18.75" customHeight="1" x14ac:dyDescent="0.3">
      <c r="A27" s="366">
        <f t="shared" si="25"/>
        <v>10</v>
      </c>
      <c r="B27" s="467" t="s">
        <v>595</v>
      </c>
      <c r="C27" s="365" t="s">
        <v>652</v>
      </c>
      <c r="D27" s="365"/>
      <c r="E27" s="468" t="s">
        <v>437</v>
      </c>
      <c r="F27" s="581">
        <v>41218.6</v>
      </c>
      <c r="G27" s="470">
        <v>120000</v>
      </c>
      <c r="H27" s="470">
        <f t="shared" si="21"/>
        <v>78781.399999999994</v>
      </c>
      <c r="I27" s="471">
        <v>11</v>
      </c>
      <c r="J27" s="424"/>
      <c r="K27" s="424">
        <f t="shared" si="22"/>
        <v>453404.6</v>
      </c>
      <c r="L27" s="424">
        <f t="shared" si="23"/>
        <v>1320000</v>
      </c>
      <c r="M27" s="424">
        <f t="shared" si="24"/>
        <v>866595.4</v>
      </c>
      <c r="N27" s="473">
        <f t="shared" si="15"/>
        <v>0.34348833333333334</v>
      </c>
      <c r="O27" s="474">
        <f t="shared" si="16"/>
        <v>2.1772908563680807E-3</v>
      </c>
      <c r="P27" s="474">
        <f t="shared" si="16"/>
        <v>2.1726255498881355E-3</v>
      </c>
      <c r="Q27" s="474">
        <f t="shared" si="17"/>
        <v>2.0948390782708055E-3</v>
      </c>
      <c r="R27" s="475">
        <f t="shared" si="18"/>
        <v>0.71474983755685506</v>
      </c>
      <c r="S27" s="545">
        <f t="shared" si="19"/>
        <v>2.1484375</v>
      </c>
      <c r="T27" s="546">
        <f t="shared" si="20"/>
        <v>257812.5</v>
      </c>
      <c r="U27" s="404"/>
      <c r="V27" s="476" t="str">
        <f t="shared" si="12"/>
        <v>High</v>
      </c>
      <c r="W27" s="476" t="str">
        <f t="shared" si="13"/>
        <v>Low</v>
      </c>
      <c r="X27" s="477" t="str">
        <f t="shared" si="14"/>
        <v>Horse</v>
      </c>
      <c r="AA27" s="366"/>
      <c r="AB27" s="534"/>
      <c r="AC27" s="366"/>
      <c r="AD27" s="366"/>
      <c r="AE27" s="366"/>
      <c r="AF27" s="572"/>
      <c r="AG27" s="366"/>
      <c r="AH27" s="366"/>
      <c r="AI27" s="366"/>
      <c r="AJ27" s="572"/>
      <c r="AK27" s="535"/>
      <c r="AL27" s="536"/>
      <c r="AM27" s="100"/>
      <c r="AN27" s="100"/>
    </row>
    <row r="28" spans="1:40" ht="18.75" customHeight="1" x14ac:dyDescent="0.3">
      <c r="A28" s="366">
        <f t="shared" si="25"/>
        <v>11</v>
      </c>
      <c r="B28" s="467" t="s">
        <v>596</v>
      </c>
      <c r="C28" s="365" t="s">
        <v>653</v>
      </c>
      <c r="D28" s="365"/>
      <c r="E28" s="468" t="s">
        <v>437</v>
      </c>
      <c r="F28" s="581">
        <v>27737.294117647059</v>
      </c>
      <c r="G28" s="470">
        <v>109615.38461538461</v>
      </c>
      <c r="H28" s="470">
        <f t="shared" si="21"/>
        <v>81878.090497737547</v>
      </c>
      <c r="I28" s="471">
        <v>13</v>
      </c>
      <c r="J28" s="424"/>
      <c r="K28" s="424">
        <f t="shared" si="22"/>
        <v>360584.82352941175</v>
      </c>
      <c r="L28" s="424">
        <f t="shared" si="23"/>
        <v>1425000</v>
      </c>
      <c r="M28" s="424">
        <f t="shared" si="24"/>
        <v>1064415.1764705882</v>
      </c>
      <c r="N28" s="473">
        <f t="shared" si="15"/>
        <v>0.25304198142414858</v>
      </c>
      <c r="O28" s="474">
        <f t="shared" si="16"/>
        <v>2.3504844472155418E-3</v>
      </c>
      <c r="P28" s="474">
        <f t="shared" si="16"/>
        <v>2.6685759099213872E-3</v>
      </c>
      <c r="Q28" s="474">
        <f t="shared" si="17"/>
        <v>2.4757189106836791E-3</v>
      </c>
      <c r="R28" s="475">
        <f t="shared" si="18"/>
        <v>0.84470435347628325</v>
      </c>
      <c r="S28" s="545">
        <f t="shared" si="19"/>
        <v>2.5390625</v>
      </c>
      <c r="T28" s="546">
        <f t="shared" si="20"/>
        <v>278320.3125</v>
      </c>
      <c r="U28" s="404"/>
      <c r="V28" s="476" t="str">
        <f t="shared" si="12"/>
        <v>High</v>
      </c>
      <c r="W28" s="476" t="str">
        <f t="shared" si="13"/>
        <v>Low</v>
      </c>
      <c r="X28" s="477" t="str">
        <f t="shared" si="14"/>
        <v>Horse</v>
      </c>
      <c r="AA28" s="366"/>
      <c r="AB28" s="534"/>
      <c r="AC28" s="366"/>
      <c r="AD28" s="366"/>
      <c r="AE28" s="366"/>
      <c r="AF28" s="572"/>
      <c r="AG28" s="366"/>
      <c r="AH28" s="366"/>
      <c r="AI28" s="366"/>
      <c r="AJ28" s="572"/>
      <c r="AK28" s="535"/>
      <c r="AL28" s="536"/>
      <c r="AM28" s="100"/>
      <c r="AN28" s="100"/>
    </row>
    <row r="29" spans="1:40" ht="18.75" customHeight="1" x14ac:dyDescent="0.3">
      <c r="A29" s="366">
        <f t="shared" si="25"/>
        <v>12</v>
      </c>
      <c r="B29" s="467" t="s">
        <v>597</v>
      </c>
      <c r="C29" s="365" t="s">
        <v>654</v>
      </c>
      <c r="D29" s="365"/>
      <c r="E29" s="468" t="s">
        <v>437</v>
      </c>
      <c r="F29" s="581">
        <v>35436.63636363636</v>
      </c>
      <c r="G29" s="470">
        <v>100428.57142857143</v>
      </c>
      <c r="H29" s="470">
        <f t="shared" si="21"/>
        <v>64991.935064935074</v>
      </c>
      <c r="I29" s="471">
        <v>7</v>
      </c>
      <c r="J29" s="424"/>
      <c r="K29" s="424">
        <f t="shared" si="22"/>
        <v>248056.45454545453</v>
      </c>
      <c r="L29" s="424">
        <f t="shared" si="23"/>
        <v>703000</v>
      </c>
      <c r="M29" s="424">
        <f t="shared" si="24"/>
        <v>454943.54545454547</v>
      </c>
      <c r="N29" s="473">
        <f t="shared" si="15"/>
        <v>0.3528541316436053</v>
      </c>
      <c r="O29" s="474">
        <f t="shared" si="16"/>
        <v>1.1595723272930006E-3</v>
      </c>
      <c r="P29" s="474">
        <f t="shared" si="16"/>
        <v>1.1405806799935009E-3</v>
      </c>
      <c r="Q29" s="474">
        <f t="shared" si="17"/>
        <v>1.3330794134450582E-3</v>
      </c>
      <c r="R29" s="475">
        <f t="shared" si="18"/>
        <v>0.45484080571799868</v>
      </c>
      <c r="S29" s="545">
        <f t="shared" si="19"/>
        <v>1.3671875</v>
      </c>
      <c r="T29" s="546">
        <f t="shared" si="20"/>
        <v>137304.6875</v>
      </c>
      <c r="U29" s="404"/>
      <c r="V29" s="476" t="str">
        <f t="shared" si="12"/>
        <v>Low</v>
      </c>
      <c r="W29" s="476" t="str">
        <f t="shared" si="13"/>
        <v>Low</v>
      </c>
      <c r="X29" s="477" t="str">
        <f t="shared" si="14"/>
        <v>Dog</v>
      </c>
      <c r="AA29" s="366"/>
      <c r="AB29" s="534"/>
      <c r="AC29" s="366"/>
      <c r="AD29" s="366"/>
      <c r="AE29" s="366"/>
      <c r="AF29" s="572"/>
      <c r="AG29" s="366"/>
      <c r="AH29" s="366"/>
      <c r="AI29" s="366"/>
      <c r="AJ29" s="572"/>
      <c r="AK29" s="535"/>
      <c r="AL29" s="536"/>
      <c r="AM29" s="100"/>
      <c r="AN29" s="100"/>
    </row>
    <row r="30" spans="1:40" ht="18.75" customHeight="1" x14ac:dyDescent="0.3">
      <c r="A30" s="366">
        <f t="shared" si="25"/>
        <v>13</v>
      </c>
      <c r="B30" s="467" t="s">
        <v>598</v>
      </c>
      <c r="C30" s="365" t="s">
        <v>655</v>
      </c>
      <c r="D30" s="365"/>
      <c r="E30" s="468" t="s">
        <v>437</v>
      </c>
      <c r="F30" s="581"/>
      <c r="G30" s="470">
        <v>0</v>
      </c>
      <c r="H30" s="470">
        <f t="shared" si="21"/>
        <v>0</v>
      </c>
      <c r="I30" s="471">
        <v>0</v>
      </c>
      <c r="J30" s="424"/>
      <c r="K30" s="424">
        <f t="shared" si="22"/>
        <v>0</v>
      </c>
      <c r="L30" s="424">
        <f t="shared" si="23"/>
        <v>0</v>
      </c>
      <c r="M30" s="424">
        <f t="shared" si="24"/>
        <v>0</v>
      </c>
      <c r="N30" s="473" t="e">
        <f t="shared" si="15"/>
        <v>#DIV/0!</v>
      </c>
      <c r="O30" s="474">
        <f t="shared" si="16"/>
        <v>0</v>
      </c>
      <c r="P30" s="474">
        <f t="shared" si="16"/>
        <v>0</v>
      </c>
      <c r="Q30" s="474">
        <f t="shared" si="17"/>
        <v>0</v>
      </c>
      <c r="R30" s="475">
        <f t="shared" si="18"/>
        <v>0</v>
      </c>
      <c r="S30" s="545">
        <f t="shared" si="19"/>
        <v>0</v>
      </c>
      <c r="T30" s="546">
        <f t="shared" si="20"/>
        <v>0</v>
      </c>
      <c r="U30" s="404"/>
      <c r="V30" s="476" t="str">
        <f t="shared" si="12"/>
        <v>Low</v>
      </c>
      <c r="W30" s="476" t="str">
        <f t="shared" si="13"/>
        <v>Low</v>
      </c>
      <c r="X30" s="477" t="str">
        <f t="shared" si="14"/>
        <v>Dog</v>
      </c>
      <c r="AA30" s="366"/>
      <c r="AB30" s="534"/>
      <c r="AC30" s="366"/>
      <c r="AD30" s="366"/>
      <c r="AE30" s="366"/>
      <c r="AF30" s="572"/>
      <c r="AG30" s="366"/>
      <c r="AH30" s="366"/>
      <c r="AI30" s="366"/>
      <c r="AJ30" s="572"/>
      <c r="AK30" s="535"/>
      <c r="AL30" s="536"/>
      <c r="AM30" s="100"/>
      <c r="AN30" s="100"/>
    </row>
    <row r="31" spans="1:40" ht="18.75" customHeight="1" x14ac:dyDescent="0.3">
      <c r="A31" s="366">
        <f t="shared" si="25"/>
        <v>14</v>
      </c>
      <c r="B31" s="467" t="s">
        <v>599</v>
      </c>
      <c r="C31" s="365" t="s">
        <v>567</v>
      </c>
      <c r="D31" s="365"/>
      <c r="E31" s="468" t="s">
        <v>437</v>
      </c>
      <c r="F31" s="581">
        <v>21461.212765957447</v>
      </c>
      <c r="G31" s="470">
        <v>70892.857142857145</v>
      </c>
      <c r="H31" s="470">
        <f t="shared" si="21"/>
        <v>49431.644376899698</v>
      </c>
      <c r="I31" s="471">
        <v>28</v>
      </c>
      <c r="J31" s="424"/>
      <c r="K31" s="424">
        <f t="shared" si="22"/>
        <v>600913.95744680846</v>
      </c>
      <c r="L31" s="424">
        <f t="shared" si="23"/>
        <v>1985000</v>
      </c>
      <c r="M31" s="424">
        <f t="shared" si="24"/>
        <v>1384086.0425531915</v>
      </c>
      <c r="N31" s="473">
        <f t="shared" si="15"/>
        <v>0.30272743448201939</v>
      </c>
      <c r="O31" s="474">
        <f t="shared" si="16"/>
        <v>3.2741835984020006E-3</v>
      </c>
      <c r="P31" s="474">
        <f t="shared" si="16"/>
        <v>3.4700169182696116E-3</v>
      </c>
      <c r="Q31" s="474">
        <f t="shared" si="17"/>
        <v>5.3323176537802327E-3</v>
      </c>
      <c r="R31" s="475">
        <f t="shared" si="18"/>
        <v>1.8193632228719947</v>
      </c>
      <c r="S31" s="545">
        <f t="shared" si="19"/>
        <v>5.46875</v>
      </c>
      <c r="T31" s="546">
        <f t="shared" si="20"/>
        <v>387695.3125</v>
      </c>
      <c r="U31" s="404"/>
      <c r="V31" s="476" t="str">
        <f t="shared" si="12"/>
        <v>High</v>
      </c>
      <c r="W31" s="476" t="str">
        <f t="shared" si="13"/>
        <v>Low</v>
      </c>
      <c r="X31" s="477" t="str">
        <f t="shared" si="14"/>
        <v>Horse</v>
      </c>
      <c r="AA31" s="366"/>
      <c r="AB31" s="534"/>
      <c r="AC31" s="366"/>
      <c r="AD31" s="366"/>
      <c r="AE31" s="366"/>
      <c r="AF31" s="572"/>
      <c r="AG31" s="366"/>
      <c r="AH31" s="366"/>
      <c r="AI31" s="366"/>
      <c r="AJ31" s="572"/>
      <c r="AK31" s="535"/>
      <c r="AL31" s="536"/>
      <c r="AM31" s="100"/>
      <c r="AN31" s="100"/>
    </row>
    <row r="32" spans="1:40" ht="18" customHeight="1" x14ac:dyDescent="0.3">
      <c r="A32" s="366"/>
      <c r="B32" s="467"/>
      <c r="C32" s="365"/>
      <c r="D32" s="365"/>
      <c r="E32" s="468"/>
      <c r="F32" s="478"/>
      <c r="G32" s="470"/>
      <c r="H32" s="470"/>
      <c r="I32" s="471"/>
      <c r="J32" s="424"/>
      <c r="K32" s="424"/>
      <c r="L32" s="424"/>
      <c r="M32" s="424"/>
      <c r="N32" s="473"/>
      <c r="O32" s="474"/>
      <c r="P32" s="474"/>
      <c r="Q32" s="474"/>
      <c r="R32" s="475"/>
      <c r="S32" s="545">
        <f t="shared" si="19"/>
        <v>0</v>
      </c>
      <c r="T32" s="546">
        <f t="shared" si="20"/>
        <v>0</v>
      </c>
      <c r="U32" s="404"/>
      <c r="V32" s="476" t="str">
        <f t="shared" si="12"/>
        <v/>
      </c>
      <c r="W32" s="476" t="str">
        <f t="shared" si="13"/>
        <v/>
      </c>
      <c r="X32" s="477" t="str">
        <f t="shared" si="14"/>
        <v/>
      </c>
      <c r="AA32" s="366"/>
      <c r="AB32" s="534"/>
      <c r="AC32" s="366"/>
      <c r="AD32" s="366"/>
      <c r="AE32" s="366"/>
      <c r="AF32" s="572"/>
      <c r="AG32" s="366"/>
      <c r="AH32" s="366"/>
      <c r="AI32" s="366"/>
      <c r="AJ32" s="572"/>
      <c r="AK32" s="535"/>
      <c r="AL32" s="536"/>
      <c r="AM32" s="100"/>
      <c r="AN32" s="100"/>
    </row>
    <row r="33" spans="1:49" ht="18" customHeight="1" x14ac:dyDescent="0.3">
      <c r="A33" s="453"/>
      <c r="B33" s="479" t="s">
        <v>475</v>
      </c>
      <c r="C33" s="480" t="s">
        <v>476</v>
      </c>
      <c r="D33" s="480"/>
      <c r="E33" s="480"/>
      <c r="F33" s="480"/>
      <c r="G33" s="481"/>
      <c r="H33" s="481"/>
      <c r="I33" s="483">
        <f>SUBTOTAL(9,I34:I43)</f>
        <v>169</v>
      </c>
      <c r="J33" s="484"/>
      <c r="K33" s="480">
        <f>SUBTOTAL(9,K34:K43)</f>
        <v>836799.64423076925</v>
      </c>
      <c r="L33" s="480">
        <f>SUBTOTAL(9,L34:L43)</f>
        <v>2995000</v>
      </c>
      <c r="M33" s="480">
        <f>SUBTOTAL(9,M34:M43)</f>
        <v>2158200.355769231</v>
      </c>
      <c r="N33" s="485">
        <f t="shared" ref="N33:N42" si="26">K33/L33</f>
        <v>0.27939887954282777</v>
      </c>
      <c r="O33" s="486">
        <f t="shared" ref="O33:P42" si="27">L33/L$10</f>
        <v>4.9401409960775772E-3</v>
      </c>
      <c r="P33" s="486">
        <f t="shared" si="27"/>
        <v>5.4107848192153979E-3</v>
      </c>
      <c r="Q33" s="486">
        <f t="shared" ref="Q33:Q42" si="28">I33/I$10</f>
        <v>3.218434583888783E-2</v>
      </c>
      <c r="R33" s="487">
        <f t="shared" ref="R33:R42" si="29">I33/$K$5*100</f>
        <v>10.981156595191683</v>
      </c>
      <c r="S33" s="487">
        <f t="shared" si="19"/>
        <v>33.0078125</v>
      </c>
      <c r="T33" s="487">
        <f t="shared" si="20"/>
        <v>0</v>
      </c>
      <c r="U33" s="404"/>
      <c r="V33" s="476" t="str">
        <f t="shared" si="12"/>
        <v>High</v>
      </c>
      <c r="W33" s="476" t="str">
        <f t="shared" si="13"/>
        <v>Low</v>
      </c>
      <c r="X33" s="477" t="str">
        <f t="shared" si="14"/>
        <v>Horse</v>
      </c>
      <c r="AC33" s="366"/>
      <c r="AD33" s="366"/>
      <c r="AE33" s="366"/>
      <c r="AF33" s="366"/>
      <c r="AG33" s="366"/>
      <c r="AH33" s="366"/>
      <c r="AI33" s="366"/>
      <c r="AJ33" s="366"/>
      <c r="AM33" s="100"/>
      <c r="AN33" s="100"/>
    </row>
    <row r="34" spans="1:49" ht="17.25" customHeight="1" x14ac:dyDescent="0.3">
      <c r="A34" s="366">
        <v>1</v>
      </c>
      <c r="B34" s="467" t="s">
        <v>600</v>
      </c>
      <c r="C34" s="365" t="s">
        <v>521</v>
      </c>
      <c r="D34" s="365"/>
      <c r="E34" s="468" t="s">
        <v>437</v>
      </c>
      <c r="F34" s="581">
        <v>2008.6666666666667</v>
      </c>
      <c r="G34" s="470">
        <v>15516.129032258064</v>
      </c>
      <c r="H34" s="470">
        <f t="shared" ref="H34:H42" si="30">G34-F34</f>
        <v>13507.462365591398</v>
      </c>
      <c r="I34" s="471">
        <v>31</v>
      </c>
      <c r="J34" s="424"/>
      <c r="K34" s="424">
        <f t="shared" ref="K34:K42" si="31">I34*F34</f>
        <v>62268.666666666672</v>
      </c>
      <c r="L34" s="424">
        <f t="shared" ref="L34:L42" si="32">I34*G34</f>
        <v>481000</v>
      </c>
      <c r="M34" s="424">
        <f t="shared" ref="M34:M42" si="33">L34-K34</f>
        <v>418731.33333333331</v>
      </c>
      <c r="N34" s="473">
        <f t="shared" si="26"/>
        <v>0.12945668745668748</v>
      </c>
      <c r="O34" s="474">
        <f t="shared" si="27"/>
        <v>7.9339159235836891E-4</v>
      </c>
      <c r="P34" s="474">
        <f t="shared" si="27"/>
        <v>1.0497937022729703E-3</v>
      </c>
      <c r="Q34" s="474">
        <f t="shared" si="28"/>
        <v>5.9036374023995431E-3</v>
      </c>
      <c r="R34" s="475">
        <f t="shared" si="29"/>
        <v>2.0142949967511372</v>
      </c>
      <c r="S34" s="545">
        <f t="shared" si="19"/>
        <v>6.0546875</v>
      </c>
      <c r="T34" s="546">
        <f t="shared" si="20"/>
        <v>93945.3125</v>
      </c>
      <c r="U34" s="404"/>
      <c r="V34" s="476" t="str">
        <f t="shared" si="12"/>
        <v>High</v>
      </c>
      <c r="W34" s="476" t="str">
        <f t="shared" si="13"/>
        <v>Low</v>
      </c>
      <c r="X34" s="477" t="str">
        <f t="shared" si="14"/>
        <v>Horse</v>
      </c>
      <c r="AC34" s="366"/>
      <c r="AD34" s="366"/>
      <c r="AE34" s="366"/>
      <c r="AF34" s="366"/>
      <c r="AG34" s="366"/>
      <c r="AH34" s="366"/>
      <c r="AI34" s="366"/>
      <c r="AJ34" s="366"/>
      <c r="AM34" s="100"/>
      <c r="AN34" s="100"/>
    </row>
    <row r="35" spans="1:49" ht="17.25" customHeight="1" x14ac:dyDescent="0.3">
      <c r="A35" s="366">
        <f>A34+1</f>
        <v>2</v>
      </c>
      <c r="B35" s="467" t="s">
        <v>601</v>
      </c>
      <c r="C35" s="365" t="s">
        <v>522</v>
      </c>
      <c r="D35" s="365"/>
      <c r="E35" s="468" t="s">
        <v>437</v>
      </c>
      <c r="F35" s="581">
        <v>2500</v>
      </c>
      <c r="G35" s="470">
        <v>15325.581395348838</v>
      </c>
      <c r="H35" s="470">
        <f t="shared" si="30"/>
        <v>12825.581395348838</v>
      </c>
      <c r="I35" s="471">
        <v>43</v>
      </c>
      <c r="J35" s="424"/>
      <c r="K35" s="424">
        <f t="shared" si="31"/>
        <v>107500</v>
      </c>
      <c r="L35" s="424">
        <f t="shared" si="32"/>
        <v>659000</v>
      </c>
      <c r="M35" s="424">
        <f t="shared" si="33"/>
        <v>551500</v>
      </c>
      <c r="N35" s="473">
        <f t="shared" si="26"/>
        <v>0.1631259484066768</v>
      </c>
      <c r="O35" s="474">
        <f t="shared" si="27"/>
        <v>1.0869959654140646E-3</v>
      </c>
      <c r="P35" s="474">
        <f t="shared" si="27"/>
        <v>1.3826556092535304E-3</v>
      </c>
      <c r="Q35" s="474">
        <f t="shared" si="28"/>
        <v>8.1889163968767859E-3</v>
      </c>
      <c r="R35" s="475">
        <f t="shared" si="29"/>
        <v>2.7940220922677064</v>
      </c>
      <c r="S35" s="545">
        <f t="shared" si="19"/>
        <v>8.3984375</v>
      </c>
      <c r="T35" s="546">
        <f t="shared" si="20"/>
        <v>128710.9375</v>
      </c>
      <c r="U35" s="404"/>
      <c r="V35" s="476" t="str">
        <f t="shared" si="12"/>
        <v>High</v>
      </c>
      <c r="W35" s="476" t="str">
        <f t="shared" si="13"/>
        <v>Low</v>
      </c>
      <c r="X35" s="477" t="str">
        <f t="shared" si="14"/>
        <v>Horse</v>
      </c>
      <c r="AC35" s="366"/>
      <c r="AD35" s="366"/>
      <c r="AE35" s="366"/>
      <c r="AF35" s="366"/>
      <c r="AG35" s="366"/>
      <c r="AH35" s="366"/>
      <c r="AI35" s="366"/>
      <c r="AJ35" s="366"/>
      <c r="AM35" s="100"/>
      <c r="AN35" s="100"/>
    </row>
    <row r="36" spans="1:49" ht="17.25" customHeight="1" x14ac:dyDescent="0.3">
      <c r="A36" s="366">
        <f t="shared" ref="A36:A42" si="34">A35+1</f>
        <v>3</v>
      </c>
      <c r="B36" s="467" t="s">
        <v>602</v>
      </c>
      <c r="C36" s="365" t="s">
        <v>523</v>
      </c>
      <c r="D36" s="365"/>
      <c r="E36" s="468" t="s">
        <v>437</v>
      </c>
      <c r="F36" s="581">
        <v>5486.166666666667</v>
      </c>
      <c r="G36" s="470">
        <v>15250</v>
      </c>
      <c r="H36" s="470">
        <f t="shared" si="30"/>
        <v>9763.8333333333321</v>
      </c>
      <c r="I36" s="471">
        <v>8</v>
      </c>
      <c r="J36" s="424"/>
      <c r="K36" s="424">
        <f t="shared" si="31"/>
        <v>43889.333333333336</v>
      </c>
      <c r="L36" s="424">
        <f t="shared" si="32"/>
        <v>122000</v>
      </c>
      <c r="M36" s="424">
        <f t="shared" si="33"/>
        <v>78110.666666666657</v>
      </c>
      <c r="N36" s="473">
        <f t="shared" si="26"/>
        <v>0.35974863387978145</v>
      </c>
      <c r="O36" s="474">
        <f t="shared" si="27"/>
        <v>2.0123445793704991E-4</v>
      </c>
      <c r="P36" s="474">
        <f t="shared" si="27"/>
        <v>1.9582983029773238E-4</v>
      </c>
      <c r="Q36" s="474">
        <f t="shared" si="28"/>
        <v>1.523519329651495E-3</v>
      </c>
      <c r="R36" s="475">
        <f t="shared" si="29"/>
        <v>0.51981806367771277</v>
      </c>
      <c r="S36" s="545">
        <f t="shared" si="19"/>
        <v>1.5625</v>
      </c>
      <c r="T36" s="546">
        <f t="shared" si="20"/>
        <v>23828.125</v>
      </c>
      <c r="U36" s="404"/>
      <c r="V36" s="476" t="str">
        <f t="shared" si="12"/>
        <v>Low</v>
      </c>
      <c r="W36" s="476" t="str">
        <f t="shared" si="13"/>
        <v>Low</v>
      </c>
      <c r="X36" s="477" t="str">
        <f t="shared" si="14"/>
        <v>Dog</v>
      </c>
      <c r="AC36" s="366"/>
      <c r="AD36" s="366"/>
      <c r="AE36" s="366"/>
      <c r="AF36" s="366"/>
      <c r="AG36" s="366"/>
      <c r="AH36" s="366"/>
      <c r="AI36" s="366"/>
      <c r="AJ36" s="366"/>
      <c r="AM36" s="100"/>
      <c r="AN36" s="100"/>
    </row>
    <row r="37" spans="1:49" ht="17.25" customHeight="1" x14ac:dyDescent="0.3">
      <c r="A37" s="366">
        <f t="shared" si="34"/>
        <v>4</v>
      </c>
      <c r="B37" s="467" t="s">
        <v>603</v>
      </c>
      <c r="C37" s="365" t="s">
        <v>524</v>
      </c>
      <c r="D37" s="365"/>
      <c r="E37" s="468" t="s">
        <v>437</v>
      </c>
      <c r="F37" s="581">
        <v>3131</v>
      </c>
      <c r="G37" s="470">
        <v>15363.636363636364</v>
      </c>
      <c r="H37" s="470">
        <f t="shared" si="30"/>
        <v>12232.636363636364</v>
      </c>
      <c r="I37" s="471">
        <v>11</v>
      </c>
      <c r="J37" s="424"/>
      <c r="K37" s="424">
        <f t="shared" si="31"/>
        <v>34441</v>
      </c>
      <c r="L37" s="424">
        <f t="shared" si="32"/>
        <v>169000</v>
      </c>
      <c r="M37" s="424">
        <f t="shared" si="33"/>
        <v>134559</v>
      </c>
      <c r="N37" s="473">
        <f t="shared" si="26"/>
        <v>0.20379289940828402</v>
      </c>
      <c r="O37" s="474">
        <f t="shared" si="27"/>
        <v>2.7875920812591337E-4</v>
      </c>
      <c r="P37" s="474">
        <f t="shared" si="27"/>
        <v>3.3735041908530513E-4</v>
      </c>
      <c r="Q37" s="474">
        <f t="shared" si="28"/>
        <v>2.0948390782708055E-3</v>
      </c>
      <c r="R37" s="475">
        <f t="shared" si="29"/>
        <v>0.71474983755685506</v>
      </c>
      <c r="S37" s="545">
        <f t="shared" si="19"/>
        <v>2.1484375</v>
      </c>
      <c r="T37" s="546">
        <f t="shared" si="20"/>
        <v>33007.8125</v>
      </c>
      <c r="U37" s="404"/>
      <c r="V37" s="476" t="str">
        <f t="shared" si="12"/>
        <v>High</v>
      </c>
      <c r="W37" s="476" t="str">
        <f t="shared" si="13"/>
        <v>Low</v>
      </c>
      <c r="X37" s="477" t="str">
        <f t="shared" si="14"/>
        <v>Horse</v>
      </c>
      <c r="AC37" s="366"/>
      <c r="AD37" s="366"/>
      <c r="AE37" s="366"/>
      <c r="AF37" s="366"/>
      <c r="AG37" s="366"/>
      <c r="AH37" s="366"/>
      <c r="AI37" s="366"/>
      <c r="AJ37" s="366"/>
      <c r="AM37" s="100"/>
      <c r="AN37" s="100"/>
    </row>
    <row r="38" spans="1:49" ht="17.25" customHeight="1" x14ac:dyDescent="0.3">
      <c r="A38" s="366">
        <f t="shared" si="34"/>
        <v>5</v>
      </c>
      <c r="B38" s="467" t="s">
        <v>604</v>
      </c>
      <c r="C38" s="365" t="s">
        <v>525</v>
      </c>
      <c r="D38" s="365"/>
      <c r="E38" s="468" t="s">
        <v>437</v>
      </c>
      <c r="F38" s="581">
        <v>2799</v>
      </c>
      <c r="G38" s="470">
        <v>15666.666666666666</v>
      </c>
      <c r="H38" s="470">
        <f t="shared" si="30"/>
        <v>12867.666666666666</v>
      </c>
      <c r="I38" s="471">
        <v>6</v>
      </c>
      <c r="J38" s="424"/>
      <c r="K38" s="424">
        <f t="shared" si="31"/>
        <v>16794</v>
      </c>
      <c r="L38" s="424">
        <f t="shared" si="32"/>
        <v>94000</v>
      </c>
      <c r="M38" s="424">
        <f t="shared" si="33"/>
        <v>77206</v>
      </c>
      <c r="N38" s="473">
        <f t="shared" si="26"/>
        <v>0.17865957446808511</v>
      </c>
      <c r="O38" s="474">
        <f t="shared" si="27"/>
        <v>1.5504950037772698E-4</v>
      </c>
      <c r="P38" s="474">
        <f t="shared" si="27"/>
        <v>1.9356175696831924E-4</v>
      </c>
      <c r="Q38" s="474">
        <f t="shared" si="28"/>
        <v>1.1426394972386211E-3</v>
      </c>
      <c r="R38" s="475">
        <f t="shared" si="29"/>
        <v>0.38986354775828458</v>
      </c>
      <c r="S38" s="545">
        <f t="shared" si="19"/>
        <v>1.171875</v>
      </c>
      <c r="T38" s="546">
        <f t="shared" si="20"/>
        <v>18359.375</v>
      </c>
      <c r="U38" s="404"/>
      <c r="V38" s="476" t="str">
        <f t="shared" si="12"/>
        <v>Low</v>
      </c>
      <c r="W38" s="476" t="str">
        <f t="shared" si="13"/>
        <v>Low</v>
      </c>
      <c r="X38" s="477" t="str">
        <f t="shared" si="14"/>
        <v>Dog</v>
      </c>
      <c r="AC38" s="366"/>
      <c r="AD38" s="366"/>
      <c r="AE38" s="366"/>
      <c r="AF38" s="366"/>
      <c r="AG38" s="366"/>
      <c r="AH38" s="366"/>
      <c r="AI38" s="366"/>
      <c r="AJ38" s="366"/>
      <c r="AM38" s="100"/>
      <c r="AN38" s="100"/>
    </row>
    <row r="39" spans="1:49" s="148" customFormat="1" ht="17.25" customHeight="1" x14ac:dyDescent="0.3">
      <c r="A39" s="366">
        <f t="shared" si="34"/>
        <v>6</v>
      </c>
      <c r="B39" s="467" t="s">
        <v>605</v>
      </c>
      <c r="C39" s="365" t="s">
        <v>526</v>
      </c>
      <c r="D39" s="365"/>
      <c r="E39" s="468" t="s">
        <v>437</v>
      </c>
      <c r="F39" s="581">
        <v>3287.875</v>
      </c>
      <c r="G39" s="470">
        <v>15470.588235294117</v>
      </c>
      <c r="H39" s="470">
        <f t="shared" si="30"/>
        <v>12182.713235294117</v>
      </c>
      <c r="I39" s="471">
        <v>17</v>
      </c>
      <c r="J39" s="424"/>
      <c r="K39" s="424">
        <f t="shared" si="31"/>
        <v>55893.875</v>
      </c>
      <c r="L39" s="424">
        <f t="shared" si="32"/>
        <v>263000</v>
      </c>
      <c r="M39" s="424">
        <f t="shared" si="33"/>
        <v>207106.125</v>
      </c>
      <c r="N39" s="473">
        <f t="shared" si="26"/>
        <v>0.21252423954372623</v>
      </c>
      <c r="O39" s="474">
        <f t="shared" si="27"/>
        <v>4.3380870850364035E-4</v>
      </c>
      <c r="P39" s="474">
        <f t="shared" si="27"/>
        <v>5.1923199536176392E-4</v>
      </c>
      <c r="Q39" s="474">
        <f t="shared" si="28"/>
        <v>3.2374785755094268E-3</v>
      </c>
      <c r="R39" s="475">
        <f t="shared" si="29"/>
        <v>1.1046133853151396</v>
      </c>
      <c r="S39" s="545">
        <f t="shared" si="19"/>
        <v>3.3203125</v>
      </c>
      <c r="T39" s="546">
        <f t="shared" si="20"/>
        <v>51367.1875</v>
      </c>
      <c r="U39" s="404"/>
      <c r="V39" s="476" t="str">
        <f t="shared" si="12"/>
        <v>High</v>
      </c>
      <c r="W39" s="476" t="str">
        <f t="shared" si="13"/>
        <v>Low</v>
      </c>
      <c r="X39" s="477" t="str">
        <f t="shared" si="14"/>
        <v>Horse</v>
      </c>
      <c r="Y39" s="374"/>
      <c r="Z39" s="571"/>
      <c r="AA39" s="571"/>
      <c r="AB39" s="571"/>
      <c r="AC39" s="366"/>
      <c r="AD39" s="366"/>
      <c r="AE39" s="366"/>
      <c r="AF39" s="366"/>
      <c r="AG39" s="366"/>
      <c r="AH39" s="366"/>
      <c r="AI39" s="366"/>
      <c r="AJ39" s="366"/>
      <c r="AK39" s="375"/>
      <c r="AL39" s="376"/>
      <c r="AM39" s="100"/>
      <c r="AN39" s="100"/>
      <c r="AO39" s="84"/>
      <c r="AP39" s="84"/>
      <c r="AQ39" s="84"/>
      <c r="AR39" s="84"/>
      <c r="AS39" s="84"/>
      <c r="AT39" s="84"/>
      <c r="AU39" s="84"/>
      <c r="AV39" s="84"/>
      <c r="AW39" s="84"/>
    </row>
    <row r="40" spans="1:49" s="148" customFormat="1" ht="17.25" customHeight="1" x14ac:dyDescent="0.3">
      <c r="A40" s="366">
        <f t="shared" si="34"/>
        <v>7</v>
      </c>
      <c r="B40" s="467" t="s">
        <v>606</v>
      </c>
      <c r="C40" s="365" t="s">
        <v>527</v>
      </c>
      <c r="D40" s="365"/>
      <c r="E40" s="468" t="s">
        <v>437</v>
      </c>
      <c r="F40" s="581">
        <v>3779.1538461538462</v>
      </c>
      <c r="G40" s="470">
        <v>15555.555555555555</v>
      </c>
      <c r="H40" s="470">
        <f t="shared" si="30"/>
        <v>11776.401709401709</v>
      </c>
      <c r="I40" s="471">
        <v>18</v>
      </c>
      <c r="J40" s="424"/>
      <c r="K40" s="424">
        <f t="shared" si="31"/>
        <v>68024.769230769234</v>
      </c>
      <c r="L40" s="424">
        <f t="shared" si="32"/>
        <v>280000</v>
      </c>
      <c r="M40" s="424">
        <f t="shared" si="33"/>
        <v>211975.23076923075</v>
      </c>
      <c r="N40" s="473">
        <f t="shared" si="26"/>
        <v>0.24294560439560442</v>
      </c>
      <c r="O40" s="474">
        <f t="shared" si="27"/>
        <v>4.6184957559322929E-4</v>
      </c>
      <c r="P40" s="474">
        <f t="shared" si="27"/>
        <v>5.3143924178764902E-4</v>
      </c>
      <c r="Q40" s="474">
        <f t="shared" si="28"/>
        <v>3.4279184917158636E-3</v>
      </c>
      <c r="R40" s="475">
        <f t="shared" si="29"/>
        <v>1.1695906432748537</v>
      </c>
      <c r="S40" s="545">
        <f t="shared" si="19"/>
        <v>3.515625</v>
      </c>
      <c r="T40" s="546">
        <f t="shared" si="20"/>
        <v>54687.5</v>
      </c>
      <c r="U40" s="404"/>
      <c r="V40" s="476" t="str">
        <f t="shared" si="12"/>
        <v>High</v>
      </c>
      <c r="W40" s="476" t="str">
        <f t="shared" si="13"/>
        <v>Low</v>
      </c>
      <c r="X40" s="477" t="str">
        <f t="shared" si="14"/>
        <v>Horse</v>
      </c>
      <c r="Y40" s="374"/>
      <c r="Z40" s="571"/>
      <c r="AA40" s="571"/>
      <c r="AB40" s="571"/>
      <c r="AC40" s="366"/>
      <c r="AD40" s="366"/>
      <c r="AE40" s="366"/>
      <c r="AF40" s="366"/>
      <c r="AG40" s="366"/>
      <c r="AH40" s="366"/>
      <c r="AI40" s="366"/>
      <c r="AJ40" s="366"/>
      <c r="AK40" s="375"/>
      <c r="AL40" s="376"/>
      <c r="AM40" s="100"/>
      <c r="AN40" s="100"/>
      <c r="AO40" s="84"/>
      <c r="AP40" s="84"/>
      <c r="AQ40" s="84"/>
      <c r="AR40" s="84"/>
      <c r="AS40" s="84"/>
      <c r="AT40" s="84"/>
      <c r="AU40" s="84"/>
      <c r="AV40" s="84"/>
      <c r="AW40" s="84"/>
    </row>
    <row r="41" spans="1:49" ht="17.25" customHeight="1" x14ac:dyDescent="0.3">
      <c r="A41" s="366">
        <f t="shared" si="34"/>
        <v>8</v>
      </c>
      <c r="B41" s="467" t="s">
        <v>607</v>
      </c>
      <c r="C41" s="365" t="s">
        <v>528</v>
      </c>
      <c r="D41" s="365"/>
      <c r="E41" s="468" t="s">
        <v>437</v>
      </c>
      <c r="F41" s="581">
        <v>15500</v>
      </c>
      <c r="G41" s="470">
        <v>29888.888888888891</v>
      </c>
      <c r="H41" s="470">
        <f t="shared" si="30"/>
        <v>14388.888888888891</v>
      </c>
      <c r="I41" s="471">
        <v>27</v>
      </c>
      <c r="J41" s="424"/>
      <c r="K41" s="424">
        <f t="shared" si="31"/>
        <v>418500</v>
      </c>
      <c r="L41" s="424">
        <f t="shared" si="32"/>
        <v>807000</v>
      </c>
      <c r="M41" s="424">
        <f t="shared" si="33"/>
        <v>388500</v>
      </c>
      <c r="N41" s="473">
        <f t="shared" si="26"/>
        <v>0.51858736059479549</v>
      </c>
      <c r="O41" s="474">
        <f t="shared" si="27"/>
        <v>1.3311164553704859E-3</v>
      </c>
      <c r="P41" s="474">
        <f t="shared" si="27"/>
        <v>9.7400127687216056E-4</v>
      </c>
      <c r="Q41" s="474">
        <f t="shared" si="28"/>
        <v>5.1418777375737959E-3</v>
      </c>
      <c r="R41" s="475">
        <f t="shared" si="29"/>
        <v>1.7543859649122806</v>
      </c>
      <c r="S41" s="545">
        <f t="shared" si="19"/>
        <v>5.2734375</v>
      </c>
      <c r="T41" s="546">
        <f t="shared" si="20"/>
        <v>157617.1875</v>
      </c>
      <c r="U41" s="404"/>
      <c r="V41" s="476" t="str">
        <f t="shared" si="12"/>
        <v>High</v>
      </c>
      <c r="W41" s="476" t="str">
        <f t="shared" si="13"/>
        <v>Low</v>
      </c>
      <c r="X41" s="477" t="str">
        <f t="shared" si="14"/>
        <v>Horse</v>
      </c>
      <c r="AC41" s="366"/>
      <c r="AD41" s="366"/>
      <c r="AE41" s="366"/>
      <c r="AF41" s="366"/>
      <c r="AG41" s="366"/>
      <c r="AH41" s="366"/>
      <c r="AI41" s="366"/>
      <c r="AJ41" s="366"/>
      <c r="AM41" s="100"/>
      <c r="AN41" s="100"/>
    </row>
    <row r="42" spans="1:49" ht="17.25" customHeight="1" x14ac:dyDescent="0.3">
      <c r="A42" s="366">
        <f t="shared" si="34"/>
        <v>9</v>
      </c>
      <c r="B42" s="467" t="s">
        <v>608</v>
      </c>
      <c r="C42" s="365" t="s">
        <v>656</v>
      </c>
      <c r="D42" s="365"/>
      <c r="E42" s="468" t="s">
        <v>437</v>
      </c>
      <c r="F42" s="581">
        <v>3686</v>
      </c>
      <c r="G42" s="470">
        <v>15000</v>
      </c>
      <c r="H42" s="470">
        <f t="shared" si="30"/>
        <v>11314</v>
      </c>
      <c r="I42" s="471">
        <v>8</v>
      </c>
      <c r="J42" s="424"/>
      <c r="K42" s="424">
        <f t="shared" si="31"/>
        <v>29488</v>
      </c>
      <c r="L42" s="424">
        <f t="shared" si="32"/>
        <v>120000</v>
      </c>
      <c r="M42" s="424">
        <f t="shared" si="33"/>
        <v>90512</v>
      </c>
      <c r="N42" s="473">
        <f t="shared" si="26"/>
        <v>0.24573333333333333</v>
      </c>
      <c r="O42" s="474">
        <f t="shared" si="27"/>
        <v>1.9793553239709827E-4</v>
      </c>
      <c r="P42" s="474">
        <f t="shared" si="27"/>
        <v>2.2692098731596653E-4</v>
      </c>
      <c r="Q42" s="474">
        <f t="shared" si="28"/>
        <v>1.523519329651495E-3</v>
      </c>
      <c r="R42" s="475">
        <f t="shared" si="29"/>
        <v>0.51981806367771277</v>
      </c>
      <c r="S42" s="545">
        <f t="shared" si="19"/>
        <v>1.5625</v>
      </c>
      <c r="T42" s="546">
        <f t="shared" si="20"/>
        <v>23437.5</v>
      </c>
      <c r="U42" s="404"/>
      <c r="V42" s="476" t="str">
        <f t="shared" si="12"/>
        <v>Low</v>
      </c>
      <c r="W42" s="476" t="str">
        <f t="shared" si="13"/>
        <v>Low</v>
      </c>
      <c r="X42" s="477" t="str">
        <f t="shared" si="14"/>
        <v>Dog</v>
      </c>
      <c r="AC42" s="366"/>
      <c r="AD42" s="366"/>
      <c r="AE42" s="366"/>
      <c r="AF42" s="366"/>
      <c r="AG42" s="366"/>
      <c r="AH42" s="366"/>
      <c r="AI42" s="366"/>
      <c r="AJ42" s="366"/>
      <c r="AM42" s="100"/>
      <c r="AN42" s="100"/>
    </row>
    <row r="43" spans="1:49" ht="17.25" customHeight="1" x14ac:dyDescent="0.3">
      <c r="A43" s="366"/>
      <c r="B43" s="467"/>
      <c r="C43" s="365"/>
      <c r="D43" s="365"/>
      <c r="E43" s="468"/>
      <c r="F43" s="478"/>
      <c r="G43" s="470"/>
      <c r="H43" s="470"/>
      <c r="I43" s="471"/>
      <c r="J43" s="424"/>
      <c r="K43" s="424"/>
      <c r="L43" s="424"/>
      <c r="M43" s="424"/>
      <c r="N43" s="473"/>
      <c r="O43" s="474"/>
      <c r="P43" s="474"/>
      <c r="Q43" s="474"/>
      <c r="R43" s="475"/>
      <c r="S43" s="545">
        <f t="shared" si="19"/>
        <v>0</v>
      </c>
      <c r="T43" s="546">
        <f t="shared" si="20"/>
        <v>0</v>
      </c>
      <c r="U43" s="404"/>
      <c r="V43" s="476" t="str">
        <f t="shared" si="12"/>
        <v/>
      </c>
      <c r="W43" s="476" t="str">
        <f t="shared" si="13"/>
        <v/>
      </c>
      <c r="X43" s="477" t="str">
        <f t="shared" si="14"/>
        <v/>
      </c>
      <c r="Y43" s="488"/>
      <c r="AC43" s="366"/>
      <c r="AD43" s="366"/>
      <c r="AE43" s="366"/>
      <c r="AF43" s="366"/>
      <c r="AG43" s="366"/>
      <c r="AH43" s="366"/>
      <c r="AI43" s="366"/>
      <c r="AJ43" s="366"/>
      <c r="AM43" s="76"/>
      <c r="AN43" s="76"/>
    </row>
    <row r="44" spans="1:49" ht="17.25" customHeight="1" x14ac:dyDescent="0.3">
      <c r="A44" s="453"/>
      <c r="B44" s="479" t="s">
        <v>477</v>
      </c>
      <c r="C44" s="484" t="s">
        <v>478</v>
      </c>
      <c r="D44" s="484"/>
      <c r="E44" s="484"/>
      <c r="F44" s="484"/>
      <c r="G44" s="489"/>
      <c r="H44" s="489"/>
      <c r="I44" s="489">
        <f>SUBTOTAL(9,I45:I71)</f>
        <v>430</v>
      </c>
      <c r="J44" s="484"/>
      <c r="K44" s="480">
        <f>SUBTOTAL(9,K45:K71)</f>
        <v>5499826.3055975726</v>
      </c>
      <c r="L44" s="480">
        <f>SUBTOTAL(9,L45:L71)</f>
        <v>18399000</v>
      </c>
      <c r="M44" s="480">
        <f>SUBTOTAL(9,M45:M71)</f>
        <v>12899173.694402426</v>
      </c>
      <c r="N44" s="491">
        <f t="shared" ref="N44:N70" si="35">K44/L44</f>
        <v>0.29891984920906423</v>
      </c>
      <c r="O44" s="492">
        <f t="shared" ref="O44:P70" si="36">L44/L$10</f>
        <v>3.034846550478509E-2</v>
      </c>
      <c r="P44" s="492">
        <f t="shared" si="36"/>
        <v>3.2339283523664733E-2</v>
      </c>
      <c r="Q44" s="492">
        <f t="shared" ref="Q44:Q70" si="37">I44/I$10</f>
        <v>8.1889163968767859E-2</v>
      </c>
      <c r="R44" s="493">
        <f t="shared" ref="R44:R70" si="38">I44/$K$5*100</f>
        <v>27.94022092267706</v>
      </c>
      <c r="S44" s="493">
        <f t="shared" si="19"/>
        <v>83.984374999999986</v>
      </c>
      <c r="T44" s="493">
        <f t="shared" si="20"/>
        <v>0</v>
      </c>
      <c r="U44" s="404"/>
      <c r="V44" s="476" t="str">
        <f t="shared" si="12"/>
        <v>High</v>
      </c>
      <c r="W44" s="476" t="str">
        <f t="shared" si="13"/>
        <v>High</v>
      </c>
      <c r="X44" s="477" t="str">
        <f t="shared" si="14"/>
        <v>Star</v>
      </c>
      <c r="AC44" s="366"/>
      <c r="AD44" s="366"/>
      <c r="AE44" s="366"/>
      <c r="AF44" s="366"/>
      <c r="AG44" s="366"/>
      <c r="AH44" s="366"/>
      <c r="AI44" s="366"/>
      <c r="AJ44" s="366"/>
      <c r="AM44" s="76"/>
      <c r="AN44" s="76"/>
    </row>
    <row r="45" spans="1:49" ht="17.25" customHeight="1" x14ac:dyDescent="0.3">
      <c r="A45" s="366">
        <f t="shared" ref="A45:A70" si="39">A44+1</f>
        <v>1</v>
      </c>
      <c r="B45" s="467" t="s">
        <v>609</v>
      </c>
      <c r="C45" s="365" t="s">
        <v>657</v>
      </c>
      <c r="D45" s="365"/>
      <c r="E45" s="468" t="s">
        <v>437</v>
      </c>
      <c r="F45" s="581">
        <v>49850</v>
      </c>
      <c r="G45" s="470">
        <v>168333.33333333334</v>
      </c>
      <c r="H45" s="494">
        <f t="shared" ref="H45:H70" si="40">G45-F45</f>
        <v>118483.33333333334</v>
      </c>
      <c r="I45" s="471">
        <v>9</v>
      </c>
      <c r="J45" s="424"/>
      <c r="K45" s="495">
        <f t="shared" ref="K45:K70" si="41">I45*F45</f>
        <v>448650</v>
      </c>
      <c r="L45" s="495">
        <f t="shared" ref="L45:L70" si="42">I45*G45</f>
        <v>1515000</v>
      </c>
      <c r="M45" s="495">
        <f t="shared" ref="M45:M70" si="43">L45-K45</f>
        <v>1066350</v>
      </c>
      <c r="N45" s="496">
        <f t="shared" si="35"/>
        <v>0.29613861386138612</v>
      </c>
      <c r="O45" s="497">
        <f t="shared" si="36"/>
        <v>2.4989360965133657E-3</v>
      </c>
      <c r="P45" s="497">
        <f t="shared" si="36"/>
        <v>2.6734266707660963E-3</v>
      </c>
      <c r="Q45" s="497">
        <f t="shared" si="37"/>
        <v>1.7139592458579318E-3</v>
      </c>
      <c r="R45" s="498">
        <f t="shared" si="38"/>
        <v>0.58479532163742687</v>
      </c>
      <c r="S45" s="545">
        <f t="shared" si="19"/>
        <v>1.7578125</v>
      </c>
      <c r="T45" s="546">
        <f t="shared" si="20"/>
        <v>295898.4375</v>
      </c>
      <c r="U45" s="404"/>
      <c r="V45" s="476" t="str">
        <f t="shared" si="12"/>
        <v>Low</v>
      </c>
      <c r="W45" s="476" t="str">
        <f t="shared" si="13"/>
        <v>Low</v>
      </c>
      <c r="X45" s="477" t="str">
        <f t="shared" si="14"/>
        <v>Dog</v>
      </c>
      <c r="AC45" s="366"/>
      <c r="AD45" s="366"/>
      <c r="AE45" s="366"/>
      <c r="AF45" s="366"/>
      <c r="AG45" s="366"/>
      <c r="AH45" s="366"/>
      <c r="AI45" s="366"/>
      <c r="AJ45" s="366"/>
      <c r="AM45" s="76"/>
      <c r="AN45" s="76"/>
    </row>
    <row r="46" spans="1:49" ht="17.25" customHeight="1" x14ac:dyDescent="0.3">
      <c r="A46" s="366">
        <f t="shared" si="39"/>
        <v>2</v>
      </c>
      <c r="B46" s="467" t="s">
        <v>610</v>
      </c>
      <c r="C46" s="365" t="s">
        <v>658</v>
      </c>
      <c r="D46" s="365"/>
      <c r="E46" s="468" t="s">
        <v>437</v>
      </c>
      <c r="F46" s="581">
        <v>46825.440000000002</v>
      </c>
      <c r="G46" s="470">
        <v>152500</v>
      </c>
      <c r="H46" s="494">
        <f t="shared" si="40"/>
        <v>105674.56</v>
      </c>
      <c r="I46" s="471">
        <v>18</v>
      </c>
      <c r="J46" s="424"/>
      <c r="K46" s="495">
        <f t="shared" si="41"/>
        <v>842857.92</v>
      </c>
      <c r="L46" s="495">
        <f t="shared" si="42"/>
        <v>2745000</v>
      </c>
      <c r="M46" s="495">
        <f t="shared" si="43"/>
        <v>1902142.08</v>
      </c>
      <c r="N46" s="496">
        <f t="shared" si="35"/>
        <v>0.30705206557377052</v>
      </c>
      <c r="O46" s="497">
        <f t="shared" si="36"/>
        <v>4.527775303583623E-3</v>
      </c>
      <c r="P46" s="497">
        <f t="shared" si="36"/>
        <v>4.7688257778951545E-3</v>
      </c>
      <c r="Q46" s="497">
        <f t="shared" si="37"/>
        <v>3.4279184917158636E-3</v>
      </c>
      <c r="R46" s="498">
        <f t="shared" si="38"/>
        <v>1.1695906432748537</v>
      </c>
      <c r="S46" s="545">
        <f t="shared" si="19"/>
        <v>3.515625</v>
      </c>
      <c r="T46" s="546">
        <f t="shared" si="20"/>
        <v>536132.8125</v>
      </c>
      <c r="U46" s="404"/>
      <c r="V46" s="476" t="str">
        <f t="shared" si="12"/>
        <v>High</v>
      </c>
      <c r="W46" s="476" t="str">
        <f t="shared" si="13"/>
        <v>Low</v>
      </c>
      <c r="X46" s="477" t="str">
        <f t="shared" si="14"/>
        <v>Horse</v>
      </c>
      <c r="AM46" s="76"/>
      <c r="AN46" s="76"/>
    </row>
    <row r="47" spans="1:49" ht="17.25" customHeight="1" x14ac:dyDescent="0.3">
      <c r="A47" s="366">
        <f t="shared" si="39"/>
        <v>3</v>
      </c>
      <c r="B47" s="467" t="s">
        <v>611</v>
      </c>
      <c r="C47" s="365" t="s">
        <v>659</v>
      </c>
      <c r="D47" s="365"/>
      <c r="E47" s="468" t="s">
        <v>437</v>
      </c>
      <c r="F47" s="581">
        <v>10008.166666666666</v>
      </c>
      <c r="G47" s="470">
        <v>24394.736842105263</v>
      </c>
      <c r="H47" s="494">
        <f t="shared" si="40"/>
        <v>14386.570175438597</v>
      </c>
      <c r="I47" s="471">
        <v>38</v>
      </c>
      <c r="J47" s="424"/>
      <c r="K47" s="495">
        <f t="shared" si="41"/>
        <v>380310.33333333331</v>
      </c>
      <c r="L47" s="495">
        <f t="shared" si="42"/>
        <v>927000</v>
      </c>
      <c r="M47" s="495">
        <f t="shared" si="43"/>
        <v>546689.66666666674</v>
      </c>
      <c r="N47" s="496">
        <f t="shared" si="35"/>
        <v>0.41025925925925921</v>
      </c>
      <c r="O47" s="497">
        <f t="shared" si="36"/>
        <v>1.5290519877675841E-3</v>
      </c>
      <c r="P47" s="497">
        <f t="shared" si="36"/>
        <v>1.3705957101316582E-3</v>
      </c>
      <c r="Q47" s="497">
        <f t="shared" si="37"/>
        <v>7.2367168158446009E-3</v>
      </c>
      <c r="R47" s="498">
        <f t="shared" si="38"/>
        <v>2.4691358024691357</v>
      </c>
      <c r="S47" s="545">
        <f t="shared" si="19"/>
        <v>7.421875</v>
      </c>
      <c r="T47" s="546">
        <f t="shared" si="20"/>
        <v>181054.6875</v>
      </c>
      <c r="U47" s="404"/>
      <c r="V47" s="476" t="str">
        <f t="shared" si="12"/>
        <v>High</v>
      </c>
      <c r="W47" s="476" t="str">
        <f t="shared" si="13"/>
        <v>Low</v>
      </c>
      <c r="X47" s="477" t="str">
        <f t="shared" si="14"/>
        <v>Horse</v>
      </c>
      <c r="AM47" s="76"/>
      <c r="AN47" s="76"/>
    </row>
    <row r="48" spans="1:49" ht="17.25" customHeight="1" x14ac:dyDescent="0.3">
      <c r="A48" s="366">
        <f t="shared" si="39"/>
        <v>4</v>
      </c>
      <c r="B48" s="467" t="s">
        <v>612</v>
      </c>
      <c r="C48" s="365" t="s">
        <v>660</v>
      </c>
      <c r="D48" s="365"/>
      <c r="E48" s="468" t="s">
        <v>437</v>
      </c>
      <c r="F48" s="581">
        <v>9804.7666666666664</v>
      </c>
      <c r="G48" s="470">
        <v>25818.18181818182</v>
      </c>
      <c r="H48" s="494">
        <f t="shared" si="40"/>
        <v>16013.415151515153</v>
      </c>
      <c r="I48" s="471">
        <v>44</v>
      </c>
      <c r="J48" s="424"/>
      <c r="K48" s="495">
        <f t="shared" si="41"/>
        <v>431409.73333333334</v>
      </c>
      <c r="L48" s="495">
        <f t="shared" si="42"/>
        <v>1136000</v>
      </c>
      <c r="M48" s="495">
        <f t="shared" si="43"/>
        <v>704590.2666666666</v>
      </c>
      <c r="N48" s="496">
        <f t="shared" si="35"/>
        <v>0.37976208920187793</v>
      </c>
      <c r="O48" s="497">
        <f t="shared" si="36"/>
        <v>1.8737897066925303E-3</v>
      </c>
      <c r="P48" s="497">
        <f t="shared" si="36"/>
        <v>1.7664654296139753E-3</v>
      </c>
      <c r="Q48" s="497">
        <f t="shared" si="37"/>
        <v>8.3793563130832218E-3</v>
      </c>
      <c r="R48" s="498">
        <f t="shared" si="38"/>
        <v>2.8589993502274202</v>
      </c>
      <c r="S48" s="545">
        <f t="shared" si="19"/>
        <v>8.59375</v>
      </c>
      <c r="T48" s="546">
        <f t="shared" si="20"/>
        <v>221875</v>
      </c>
      <c r="U48" s="404"/>
      <c r="V48" s="476" t="str">
        <f t="shared" si="12"/>
        <v>High</v>
      </c>
      <c r="W48" s="476" t="str">
        <f t="shared" si="13"/>
        <v>Low</v>
      </c>
      <c r="X48" s="477" t="str">
        <f t="shared" si="14"/>
        <v>Horse</v>
      </c>
      <c r="AM48" s="76"/>
      <c r="AN48" s="76"/>
    </row>
    <row r="49" spans="1:40" ht="17.25" customHeight="1" x14ac:dyDescent="0.3">
      <c r="A49" s="366">
        <f t="shared" si="39"/>
        <v>5</v>
      </c>
      <c r="B49" s="467" t="s">
        <v>613</v>
      </c>
      <c r="C49" s="365" t="s">
        <v>661</v>
      </c>
      <c r="D49" s="365"/>
      <c r="E49" s="468" t="s">
        <v>437</v>
      </c>
      <c r="F49" s="581">
        <v>12405.727272727272</v>
      </c>
      <c r="G49" s="470">
        <v>35571.428571428572</v>
      </c>
      <c r="H49" s="494">
        <f t="shared" si="40"/>
        <v>23165.7012987013</v>
      </c>
      <c r="I49" s="471">
        <v>21</v>
      </c>
      <c r="J49" s="424"/>
      <c r="K49" s="495">
        <f t="shared" si="41"/>
        <v>260520.27272727271</v>
      </c>
      <c r="L49" s="495">
        <f t="shared" si="42"/>
        <v>747000</v>
      </c>
      <c r="M49" s="495">
        <f t="shared" si="43"/>
        <v>486479.72727272729</v>
      </c>
      <c r="N49" s="496">
        <f t="shared" si="35"/>
        <v>0.34875538517707189</v>
      </c>
      <c r="O49" s="497">
        <f t="shared" si="36"/>
        <v>1.2321486891719367E-3</v>
      </c>
      <c r="P49" s="497">
        <f t="shared" si="36"/>
        <v>1.2196444672742774E-3</v>
      </c>
      <c r="Q49" s="497">
        <f t="shared" si="37"/>
        <v>3.9992382403351741E-3</v>
      </c>
      <c r="R49" s="498">
        <f t="shared" si="38"/>
        <v>1.364522417153996</v>
      </c>
      <c r="S49" s="545">
        <f t="shared" si="19"/>
        <v>4.1015625</v>
      </c>
      <c r="T49" s="546">
        <f t="shared" si="20"/>
        <v>145898.4375</v>
      </c>
      <c r="U49" s="404"/>
      <c r="V49" s="476" t="str">
        <f t="shared" si="12"/>
        <v>High</v>
      </c>
      <c r="W49" s="476" t="str">
        <f t="shared" si="13"/>
        <v>Low</v>
      </c>
      <c r="X49" s="477" t="str">
        <f t="shared" si="14"/>
        <v>Horse</v>
      </c>
      <c r="AM49" s="76"/>
      <c r="AN49" s="76"/>
    </row>
    <row r="50" spans="1:40" ht="17.25" customHeight="1" x14ac:dyDescent="0.3">
      <c r="A50" s="366">
        <f t="shared" si="39"/>
        <v>6</v>
      </c>
      <c r="B50" s="467" t="s">
        <v>614</v>
      </c>
      <c r="C50" s="365" t="s">
        <v>662</v>
      </c>
      <c r="D50" s="365"/>
      <c r="E50" s="468" t="s">
        <v>437</v>
      </c>
      <c r="F50" s="581">
        <v>12202.310344827587</v>
      </c>
      <c r="G50" s="470">
        <v>35869.565217391304</v>
      </c>
      <c r="H50" s="494">
        <f t="shared" si="40"/>
        <v>23667.254872563717</v>
      </c>
      <c r="I50" s="471">
        <v>23</v>
      </c>
      <c r="J50" s="424"/>
      <c r="K50" s="495">
        <f t="shared" si="41"/>
        <v>280653.13793103449</v>
      </c>
      <c r="L50" s="495">
        <f t="shared" si="42"/>
        <v>825000</v>
      </c>
      <c r="M50" s="495">
        <f t="shared" si="43"/>
        <v>544346.86206896557</v>
      </c>
      <c r="N50" s="496">
        <f t="shared" si="35"/>
        <v>0.34018562173458727</v>
      </c>
      <c r="O50" s="497">
        <f t="shared" si="36"/>
        <v>1.3608067852300505E-3</v>
      </c>
      <c r="P50" s="497">
        <f t="shared" si="36"/>
        <v>1.364722107378446E-3</v>
      </c>
      <c r="Q50" s="497">
        <f t="shared" si="37"/>
        <v>4.3801180727480477E-3</v>
      </c>
      <c r="R50" s="498">
        <f t="shared" si="38"/>
        <v>1.4944769330734242</v>
      </c>
      <c r="S50" s="545">
        <f t="shared" si="19"/>
        <v>4.4921875</v>
      </c>
      <c r="T50" s="546">
        <f t="shared" si="20"/>
        <v>161132.8125</v>
      </c>
      <c r="U50" s="404"/>
      <c r="V50" s="476" t="str">
        <f t="shared" si="12"/>
        <v>High</v>
      </c>
      <c r="W50" s="476" t="str">
        <f t="shared" si="13"/>
        <v>Low</v>
      </c>
      <c r="X50" s="477" t="str">
        <f t="shared" si="14"/>
        <v>Horse</v>
      </c>
      <c r="AM50" s="76"/>
      <c r="AN50" s="76"/>
    </row>
    <row r="51" spans="1:40" ht="17.25" customHeight="1" x14ac:dyDescent="0.3">
      <c r="A51" s="366">
        <f t="shared" si="39"/>
        <v>7</v>
      </c>
      <c r="B51" s="467" t="s">
        <v>749</v>
      </c>
      <c r="C51" s="365" t="s">
        <v>751</v>
      </c>
      <c r="D51" s="365"/>
      <c r="E51" s="468" t="s">
        <v>437</v>
      </c>
      <c r="F51" s="581"/>
      <c r="G51" s="470">
        <v>35000</v>
      </c>
      <c r="H51" s="494">
        <f t="shared" si="40"/>
        <v>35000</v>
      </c>
      <c r="I51" s="471">
        <v>0</v>
      </c>
      <c r="J51" s="424"/>
      <c r="K51" s="495">
        <f t="shared" si="41"/>
        <v>0</v>
      </c>
      <c r="L51" s="495">
        <f t="shared" si="42"/>
        <v>0</v>
      </c>
      <c r="M51" s="495">
        <f t="shared" si="43"/>
        <v>0</v>
      </c>
      <c r="N51" s="496" t="e">
        <f t="shared" si="35"/>
        <v>#DIV/0!</v>
      </c>
      <c r="O51" s="497">
        <f t="shared" si="36"/>
        <v>0</v>
      </c>
      <c r="P51" s="497">
        <f t="shared" si="36"/>
        <v>0</v>
      </c>
      <c r="Q51" s="497">
        <f t="shared" si="37"/>
        <v>0</v>
      </c>
      <c r="R51" s="498">
        <f t="shared" si="38"/>
        <v>0</v>
      </c>
      <c r="S51" s="545">
        <f t="shared" si="19"/>
        <v>0</v>
      </c>
      <c r="T51" s="546">
        <f t="shared" si="20"/>
        <v>0</v>
      </c>
      <c r="U51" s="404"/>
      <c r="V51" s="476" t="str">
        <f t="shared" si="12"/>
        <v>Low</v>
      </c>
      <c r="W51" s="476" t="str">
        <f t="shared" si="13"/>
        <v>Low</v>
      </c>
      <c r="X51" s="477" t="str">
        <f t="shared" si="14"/>
        <v>Dog</v>
      </c>
      <c r="AM51" s="76"/>
      <c r="AN51" s="76"/>
    </row>
    <row r="52" spans="1:40" ht="17.25" customHeight="1" x14ac:dyDescent="0.3">
      <c r="A52" s="366">
        <f t="shared" si="39"/>
        <v>8</v>
      </c>
      <c r="B52" s="467" t="s">
        <v>750</v>
      </c>
      <c r="C52" s="365" t="s">
        <v>752</v>
      </c>
      <c r="D52" s="365"/>
      <c r="E52" s="468" t="s">
        <v>437</v>
      </c>
      <c r="F52" s="581"/>
      <c r="G52" s="470">
        <v>35000</v>
      </c>
      <c r="H52" s="494">
        <f t="shared" si="40"/>
        <v>35000</v>
      </c>
      <c r="I52" s="471">
        <v>0</v>
      </c>
      <c r="J52" s="424"/>
      <c r="K52" s="495">
        <f t="shared" si="41"/>
        <v>0</v>
      </c>
      <c r="L52" s="495">
        <f t="shared" si="42"/>
        <v>0</v>
      </c>
      <c r="M52" s="495">
        <f t="shared" si="43"/>
        <v>0</v>
      </c>
      <c r="N52" s="496" t="e">
        <f t="shared" si="35"/>
        <v>#DIV/0!</v>
      </c>
      <c r="O52" s="497">
        <f t="shared" si="36"/>
        <v>0</v>
      </c>
      <c r="P52" s="497">
        <f t="shared" si="36"/>
        <v>0</v>
      </c>
      <c r="Q52" s="497">
        <f t="shared" si="37"/>
        <v>0</v>
      </c>
      <c r="R52" s="498">
        <f t="shared" si="38"/>
        <v>0</v>
      </c>
      <c r="S52" s="545">
        <f t="shared" si="19"/>
        <v>0</v>
      </c>
      <c r="T52" s="546">
        <f t="shared" si="20"/>
        <v>0</v>
      </c>
      <c r="U52" s="404"/>
      <c r="V52" s="476" t="str">
        <f t="shared" si="12"/>
        <v>Low</v>
      </c>
      <c r="W52" s="476" t="str">
        <f t="shared" si="13"/>
        <v>Low</v>
      </c>
      <c r="X52" s="477" t="str">
        <f t="shared" si="14"/>
        <v>Dog</v>
      </c>
      <c r="AM52" s="76"/>
      <c r="AN52" s="76"/>
    </row>
    <row r="53" spans="1:40" ht="17.25" customHeight="1" x14ac:dyDescent="0.3">
      <c r="A53" s="366">
        <f t="shared" si="39"/>
        <v>9</v>
      </c>
      <c r="B53" s="467" t="s">
        <v>615</v>
      </c>
      <c r="C53" s="365" t="s">
        <v>663</v>
      </c>
      <c r="D53" s="365"/>
      <c r="E53" s="468" t="s">
        <v>437</v>
      </c>
      <c r="F53" s="581">
        <v>11360.666666666666</v>
      </c>
      <c r="G53" s="470">
        <v>31181.81818181818</v>
      </c>
      <c r="H53" s="494">
        <f t="shared" si="40"/>
        <v>19821.151515151512</v>
      </c>
      <c r="I53" s="471">
        <v>22</v>
      </c>
      <c r="J53" s="424"/>
      <c r="K53" s="495">
        <f t="shared" si="41"/>
        <v>249934.66666666666</v>
      </c>
      <c r="L53" s="495">
        <f t="shared" si="42"/>
        <v>686000</v>
      </c>
      <c r="M53" s="495">
        <f t="shared" si="43"/>
        <v>436065.33333333337</v>
      </c>
      <c r="N53" s="496">
        <f t="shared" si="35"/>
        <v>0.36433624878522836</v>
      </c>
      <c r="O53" s="497">
        <f t="shared" si="36"/>
        <v>1.1315314602034117E-3</v>
      </c>
      <c r="P53" s="497">
        <f t="shared" si="36"/>
        <v>1.0932514580858457E-3</v>
      </c>
      <c r="Q53" s="497">
        <f t="shared" si="37"/>
        <v>4.1896781565416109E-3</v>
      </c>
      <c r="R53" s="498">
        <f t="shared" si="38"/>
        <v>1.4294996751137101</v>
      </c>
      <c r="S53" s="545">
        <f t="shared" si="19"/>
        <v>4.296875</v>
      </c>
      <c r="T53" s="546">
        <f t="shared" si="20"/>
        <v>133984.375</v>
      </c>
      <c r="U53" s="404"/>
      <c r="V53" s="476" t="str">
        <f t="shared" si="12"/>
        <v>High</v>
      </c>
      <c r="W53" s="476" t="str">
        <f t="shared" si="13"/>
        <v>Low</v>
      </c>
      <c r="X53" s="477" t="str">
        <f t="shared" si="14"/>
        <v>Horse</v>
      </c>
      <c r="AM53" s="76"/>
      <c r="AN53" s="76"/>
    </row>
    <row r="54" spans="1:40" ht="17.25" customHeight="1" x14ac:dyDescent="0.3">
      <c r="A54" s="366">
        <f t="shared" si="39"/>
        <v>10</v>
      </c>
      <c r="B54" s="467" t="s">
        <v>616</v>
      </c>
      <c r="C54" s="365" t="s">
        <v>664</v>
      </c>
      <c r="D54" s="365"/>
      <c r="E54" s="468" t="s">
        <v>437</v>
      </c>
      <c r="F54" s="581">
        <v>11157.411764705883</v>
      </c>
      <c r="G54" s="470">
        <v>29000</v>
      </c>
      <c r="H54" s="494">
        <f t="shared" si="40"/>
        <v>17842.588235294119</v>
      </c>
      <c r="I54" s="471">
        <v>9</v>
      </c>
      <c r="J54" s="424"/>
      <c r="K54" s="495">
        <f t="shared" si="41"/>
        <v>100416.70588235295</v>
      </c>
      <c r="L54" s="495">
        <f t="shared" si="42"/>
        <v>261000</v>
      </c>
      <c r="M54" s="495">
        <f t="shared" si="43"/>
        <v>160583.29411764705</v>
      </c>
      <c r="N54" s="496">
        <f t="shared" si="35"/>
        <v>0.38473833671399599</v>
      </c>
      <c r="O54" s="497">
        <f t="shared" si="36"/>
        <v>4.3050978296368871E-4</v>
      </c>
      <c r="P54" s="497">
        <f t="shared" si="36"/>
        <v>4.0259545306287243E-4</v>
      </c>
      <c r="Q54" s="497">
        <f t="shared" si="37"/>
        <v>1.7139592458579318E-3</v>
      </c>
      <c r="R54" s="498">
        <f t="shared" si="38"/>
        <v>0.58479532163742687</v>
      </c>
      <c r="S54" s="545">
        <f t="shared" si="19"/>
        <v>1.7578125</v>
      </c>
      <c r="T54" s="546">
        <f t="shared" si="20"/>
        <v>50976.5625</v>
      </c>
      <c r="U54" s="404"/>
      <c r="V54" s="476" t="str">
        <f t="shared" si="12"/>
        <v>Low</v>
      </c>
      <c r="W54" s="476" t="str">
        <f t="shared" si="13"/>
        <v>Low</v>
      </c>
      <c r="X54" s="477" t="str">
        <f t="shared" si="14"/>
        <v>Dog</v>
      </c>
      <c r="AM54" s="76"/>
      <c r="AN54" s="76"/>
    </row>
    <row r="55" spans="1:40" ht="17.25" customHeight="1" x14ac:dyDescent="0.3">
      <c r="A55" s="366">
        <f t="shared" si="39"/>
        <v>11</v>
      </c>
      <c r="B55" s="467" t="s">
        <v>617</v>
      </c>
      <c r="C55" s="365" t="s">
        <v>665</v>
      </c>
      <c r="D55" s="365"/>
      <c r="E55" s="468" t="s">
        <v>437</v>
      </c>
      <c r="F55" s="581">
        <v>9642.7272727272721</v>
      </c>
      <c r="G55" s="470">
        <v>30200</v>
      </c>
      <c r="H55" s="494">
        <f t="shared" si="40"/>
        <v>20557.272727272728</v>
      </c>
      <c r="I55" s="471">
        <v>25</v>
      </c>
      <c r="J55" s="424"/>
      <c r="K55" s="495">
        <f t="shared" si="41"/>
        <v>241068.18181818179</v>
      </c>
      <c r="L55" s="495">
        <f t="shared" si="42"/>
        <v>755000</v>
      </c>
      <c r="M55" s="495">
        <f t="shared" si="43"/>
        <v>513931.81818181823</v>
      </c>
      <c r="N55" s="496">
        <f t="shared" si="35"/>
        <v>0.31929560505719445</v>
      </c>
      <c r="O55" s="497">
        <f t="shared" si="36"/>
        <v>1.2453443913317433E-3</v>
      </c>
      <c r="P55" s="497">
        <f t="shared" si="36"/>
        <v>1.2884691045928496E-3</v>
      </c>
      <c r="Q55" s="497">
        <f t="shared" si="37"/>
        <v>4.7609979051609214E-3</v>
      </c>
      <c r="R55" s="498">
        <f t="shared" si="38"/>
        <v>1.6244314489928524</v>
      </c>
      <c r="S55" s="545">
        <f t="shared" si="19"/>
        <v>4.8828125</v>
      </c>
      <c r="T55" s="546">
        <f t="shared" si="20"/>
        <v>147460.9375</v>
      </c>
      <c r="U55" s="404"/>
      <c r="V55" s="476" t="str">
        <f t="shared" si="12"/>
        <v>High</v>
      </c>
      <c r="W55" s="476" t="str">
        <f t="shared" si="13"/>
        <v>Low</v>
      </c>
      <c r="X55" s="477" t="str">
        <f t="shared" si="14"/>
        <v>Horse</v>
      </c>
      <c r="AM55" s="76"/>
      <c r="AN55" s="76"/>
    </row>
    <row r="56" spans="1:40" ht="17.25" customHeight="1" x14ac:dyDescent="0.3">
      <c r="A56" s="366">
        <f t="shared" si="39"/>
        <v>12</v>
      </c>
      <c r="B56" s="467" t="s">
        <v>618</v>
      </c>
      <c r="C56" s="365" t="s">
        <v>666</v>
      </c>
      <c r="D56" s="365"/>
      <c r="E56" s="468" t="s">
        <v>437</v>
      </c>
      <c r="F56" s="581">
        <v>9439.2999999999993</v>
      </c>
      <c r="G56" s="470">
        <v>29250</v>
      </c>
      <c r="H56" s="494">
        <f t="shared" si="40"/>
        <v>19810.7</v>
      </c>
      <c r="I56" s="471">
        <v>24</v>
      </c>
      <c r="J56" s="424"/>
      <c r="K56" s="495">
        <f t="shared" si="41"/>
        <v>226543.19999999998</v>
      </c>
      <c r="L56" s="495">
        <f t="shared" si="42"/>
        <v>702000</v>
      </c>
      <c r="M56" s="495">
        <f t="shared" si="43"/>
        <v>475456.80000000005</v>
      </c>
      <c r="N56" s="496">
        <f t="shared" si="35"/>
        <v>0.32271111111111106</v>
      </c>
      <c r="O56" s="497">
        <f t="shared" si="36"/>
        <v>1.1579228645230248E-3</v>
      </c>
      <c r="P56" s="497">
        <f t="shared" si="36"/>
        <v>1.1920090869949845E-3</v>
      </c>
      <c r="Q56" s="497">
        <f t="shared" si="37"/>
        <v>4.5705579889544845E-3</v>
      </c>
      <c r="R56" s="498">
        <f t="shared" si="38"/>
        <v>1.5594541910331383</v>
      </c>
      <c r="S56" s="545">
        <f t="shared" si="19"/>
        <v>4.6875</v>
      </c>
      <c r="T56" s="546">
        <f t="shared" si="20"/>
        <v>137109.375</v>
      </c>
      <c r="U56" s="404"/>
      <c r="V56" s="476" t="str">
        <f t="shared" si="12"/>
        <v>High</v>
      </c>
      <c r="W56" s="476" t="str">
        <f t="shared" si="13"/>
        <v>Low</v>
      </c>
      <c r="X56" s="477" t="str">
        <f t="shared" si="14"/>
        <v>Horse</v>
      </c>
      <c r="AM56" s="76"/>
      <c r="AN56" s="76"/>
    </row>
    <row r="57" spans="1:40" ht="17.25" customHeight="1" x14ac:dyDescent="0.3">
      <c r="A57" s="366">
        <f t="shared" si="39"/>
        <v>13</v>
      </c>
      <c r="B57" s="467" t="s">
        <v>619</v>
      </c>
      <c r="C57" s="365" t="s">
        <v>667</v>
      </c>
      <c r="D57" s="365"/>
      <c r="E57" s="468" t="s">
        <v>437</v>
      </c>
      <c r="F57" s="581">
        <v>11001.764705882353</v>
      </c>
      <c r="G57" s="470">
        <v>39750</v>
      </c>
      <c r="H57" s="494">
        <f t="shared" si="40"/>
        <v>28748.235294117647</v>
      </c>
      <c r="I57" s="471">
        <v>8</v>
      </c>
      <c r="J57" s="424"/>
      <c r="K57" s="495">
        <f t="shared" si="41"/>
        <v>88014.117647058825</v>
      </c>
      <c r="L57" s="495">
        <f t="shared" si="42"/>
        <v>318000</v>
      </c>
      <c r="M57" s="495">
        <f t="shared" si="43"/>
        <v>229985.88235294117</v>
      </c>
      <c r="N57" s="496">
        <f t="shared" si="35"/>
        <v>0.27677395486496487</v>
      </c>
      <c r="O57" s="497">
        <f t="shared" si="36"/>
        <v>5.2452916085231045E-4</v>
      </c>
      <c r="P57" s="497">
        <f t="shared" si="36"/>
        <v>5.7659341846675726E-4</v>
      </c>
      <c r="Q57" s="497">
        <f t="shared" si="37"/>
        <v>1.523519329651495E-3</v>
      </c>
      <c r="R57" s="498">
        <f t="shared" si="38"/>
        <v>0.51981806367771277</v>
      </c>
      <c r="S57" s="545">
        <f t="shared" si="19"/>
        <v>1.5625</v>
      </c>
      <c r="T57" s="546">
        <f t="shared" si="20"/>
        <v>62109.375</v>
      </c>
      <c r="U57" s="404"/>
      <c r="V57" s="476" t="str">
        <f t="shared" si="12"/>
        <v>Low</v>
      </c>
      <c r="W57" s="476" t="str">
        <f t="shared" si="13"/>
        <v>Low</v>
      </c>
      <c r="X57" s="477" t="str">
        <f t="shared" si="14"/>
        <v>Dog</v>
      </c>
      <c r="AM57" s="76"/>
      <c r="AN57" s="76"/>
    </row>
    <row r="58" spans="1:40" ht="17.25" customHeight="1" x14ac:dyDescent="0.3">
      <c r="A58" s="366">
        <f t="shared" si="39"/>
        <v>14</v>
      </c>
      <c r="B58" s="467" t="s">
        <v>620</v>
      </c>
      <c r="C58" s="365" t="s">
        <v>668</v>
      </c>
      <c r="D58" s="365"/>
      <c r="E58" s="468" t="s">
        <v>437</v>
      </c>
      <c r="F58" s="581">
        <v>9936</v>
      </c>
      <c r="G58" s="470">
        <v>39000</v>
      </c>
      <c r="H58" s="494">
        <f t="shared" si="40"/>
        <v>29064</v>
      </c>
      <c r="I58" s="471">
        <v>5</v>
      </c>
      <c r="J58" s="424"/>
      <c r="K58" s="495">
        <f t="shared" si="41"/>
        <v>49680</v>
      </c>
      <c r="L58" s="495">
        <f t="shared" si="42"/>
        <v>195000</v>
      </c>
      <c r="M58" s="495">
        <f t="shared" si="43"/>
        <v>145320</v>
      </c>
      <c r="N58" s="496">
        <f t="shared" si="35"/>
        <v>0.25476923076923075</v>
      </c>
      <c r="O58" s="497">
        <f t="shared" si="36"/>
        <v>3.2164524014528469E-4</v>
      </c>
      <c r="P58" s="497">
        <f t="shared" si="36"/>
        <v>3.6432912626785683E-4</v>
      </c>
      <c r="Q58" s="497">
        <f t="shared" si="37"/>
        <v>9.5219958103218432E-4</v>
      </c>
      <c r="R58" s="498">
        <f t="shared" si="38"/>
        <v>0.32488628979857048</v>
      </c>
      <c r="S58" s="545">
        <f t="shared" si="19"/>
        <v>0.9765625</v>
      </c>
      <c r="T58" s="546">
        <f t="shared" si="20"/>
        <v>38085.9375</v>
      </c>
      <c r="U58" s="404"/>
      <c r="V58" s="476" t="str">
        <f t="shared" si="12"/>
        <v>Low</v>
      </c>
      <c r="W58" s="476" t="str">
        <f t="shared" si="13"/>
        <v>Low</v>
      </c>
      <c r="X58" s="477" t="str">
        <f t="shared" si="14"/>
        <v>Dog</v>
      </c>
      <c r="AM58" s="76"/>
      <c r="AN58" s="76"/>
    </row>
    <row r="59" spans="1:40" ht="17.25" customHeight="1" x14ac:dyDescent="0.3">
      <c r="A59" s="366">
        <f t="shared" si="39"/>
        <v>15</v>
      </c>
      <c r="B59" s="467" t="s">
        <v>621</v>
      </c>
      <c r="C59" s="365" t="s">
        <v>669</v>
      </c>
      <c r="D59" s="365"/>
      <c r="E59" s="468" t="s">
        <v>437</v>
      </c>
      <c r="F59" s="581">
        <v>15882.68</v>
      </c>
      <c r="G59" s="470">
        <v>40862.068965517239</v>
      </c>
      <c r="H59" s="494">
        <f t="shared" si="40"/>
        <v>24979.388965517239</v>
      </c>
      <c r="I59" s="471">
        <v>29</v>
      </c>
      <c r="J59" s="424"/>
      <c r="K59" s="495">
        <f t="shared" si="41"/>
        <v>460597.72000000003</v>
      </c>
      <c r="L59" s="495">
        <f t="shared" si="42"/>
        <v>1185000</v>
      </c>
      <c r="M59" s="495">
        <f t="shared" si="43"/>
        <v>724402.28</v>
      </c>
      <c r="N59" s="496">
        <f t="shared" si="35"/>
        <v>0.38869005907172999</v>
      </c>
      <c r="O59" s="497">
        <f t="shared" si="36"/>
        <v>1.9546133824213455E-3</v>
      </c>
      <c r="P59" s="497">
        <f t="shared" si="36"/>
        <v>1.8161357675395221E-3</v>
      </c>
      <c r="Q59" s="497">
        <f t="shared" si="37"/>
        <v>5.5227575699866695E-3</v>
      </c>
      <c r="R59" s="498">
        <f t="shared" si="38"/>
        <v>1.8843404808317088</v>
      </c>
      <c r="S59" s="545">
        <f t="shared" si="19"/>
        <v>5.6640625</v>
      </c>
      <c r="T59" s="546">
        <f t="shared" si="20"/>
        <v>231445.3125</v>
      </c>
      <c r="U59" s="404"/>
      <c r="V59" s="476" t="str">
        <f t="shared" si="12"/>
        <v>High</v>
      </c>
      <c r="W59" s="476" t="str">
        <f t="shared" si="13"/>
        <v>Low</v>
      </c>
      <c r="X59" s="477" t="str">
        <f t="shared" si="14"/>
        <v>Horse</v>
      </c>
      <c r="AC59" s="366"/>
      <c r="AD59" s="366"/>
      <c r="AE59" s="366"/>
      <c r="AF59" s="366"/>
      <c r="AG59" s="366"/>
      <c r="AH59" s="366"/>
      <c r="AI59" s="366"/>
      <c r="AJ59" s="366"/>
      <c r="AM59" s="76"/>
      <c r="AN59" s="76"/>
    </row>
    <row r="60" spans="1:40" ht="17.25" customHeight="1" x14ac:dyDescent="0.3">
      <c r="A60" s="366">
        <f t="shared" si="39"/>
        <v>16</v>
      </c>
      <c r="B60" s="467" t="s">
        <v>622</v>
      </c>
      <c r="C60" s="365" t="s">
        <v>670</v>
      </c>
      <c r="D60" s="365"/>
      <c r="E60" s="468" t="s">
        <v>437</v>
      </c>
      <c r="F60" s="581">
        <v>15679.333333333334</v>
      </c>
      <c r="G60" s="470">
        <v>39461.538461538461</v>
      </c>
      <c r="H60" s="494">
        <f t="shared" si="40"/>
        <v>23782.205128205125</v>
      </c>
      <c r="I60" s="471">
        <v>13</v>
      </c>
      <c r="J60" s="424"/>
      <c r="K60" s="495">
        <f t="shared" si="41"/>
        <v>203831.33333333334</v>
      </c>
      <c r="L60" s="495">
        <f t="shared" si="42"/>
        <v>513000</v>
      </c>
      <c r="M60" s="495">
        <f t="shared" si="43"/>
        <v>309168.66666666663</v>
      </c>
      <c r="N60" s="496">
        <f t="shared" si="35"/>
        <v>0.39733203378817417</v>
      </c>
      <c r="O60" s="497">
        <f t="shared" si="36"/>
        <v>8.4617440099759504E-4</v>
      </c>
      <c r="P60" s="497">
        <f t="shared" si="36"/>
        <v>7.7511113539818961E-4</v>
      </c>
      <c r="Q60" s="497">
        <f t="shared" si="37"/>
        <v>2.4757189106836791E-3</v>
      </c>
      <c r="R60" s="498">
        <f t="shared" si="38"/>
        <v>0.84470435347628325</v>
      </c>
      <c r="S60" s="545">
        <f t="shared" si="19"/>
        <v>2.5390625</v>
      </c>
      <c r="T60" s="546">
        <f t="shared" si="20"/>
        <v>100195.3125</v>
      </c>
      <c r="U60" s="404"/>
      <c r="V60" s="476" t="str">
        <f t="shared" si="12"/>
        <v>High</v>
      </c>
      <c r="W60" s="476" t="str">
        <f t="shared" si="13"/>
        <v>Low</v>
      </c>
      <c r="X60" s="477" t="str">
        <f t="shared" si="14"/>
        <v>Horse</v>
      </c>
      <c r="AC60" s="366"/>
      <c r="AD60" s="366"/>
      <c r="AE60" s="366"/>
      <c r="AF60" s="366"/>
      <c r="AG60" s="366"/>
      <c r="AH60" s="366"/>
      <c r="AI60" s="366"/>
      <c r="AJ60" s="366"/>
      <c r="AM60" s="76"/>
      <c r="AN60" s="76"/>
    </row>
    <row r="61" spans="1:40" ht="17.25" customHeight="1" x14ac:dyDescent="0.3">
      <c r="A61" s="366">
        <f t="shared" si="39"/>
        <v>17</v>
      </c>
      <c r="B61" s="467" t="s">
        <v>623</v>
      </c>
      <c r="C61" s="365" t="s">
        <v>671</v>
      </c>
      <c r="D61" s="365"/>
      <c r="E61" s="468" t="s">
        <v>437</v>
      </c>
      <c r="F61" s="581">
        <v>5775.625</v>
      </c>
      <c r="G61" s="470">
        <v>24000</v>
      </c>
      <c r="H61" s="494">
        <f t="shared" si="40"/>
        <v>18224.375</v>
      </c>
      <c r="I61" s="471">
        <v>8</v>
      </c>
      <c r="J61" s="424"/>
      <c r="K61" s="495">
        <f t="shared" si="41"/>
        <v>46205</v>
      </c>
      <c r="L61" s="495">
        <f t="shared" si="42"/>
        <v>192000</v>
      </c>
      <c r="M61" s="495">
        <f t="shared" si="43"/>
        <v>145795</v>
      </c>
      <c r="N61" s="496">
        <f t="shared" si="35"/>
        <v>0.24065104166666668</v>
      </c>
      <c r="O61" s="497">
        <f t="shared" si="36"/>
        <v>3.1669685183535723E-4</v>
      </c>
      <c r="P61" s="497">
        <f t="shared" si="36"/>
        <v>3.6551999011988839E-4</v>
      </c>
      <c r="Q61" s="497">
        <f t="shared" si="37"/>
        <v>1.523519329651495E-3</v>
      </c>
      <c r="R61" s="498">
        <f t="shared" si="38"/>
        <v>0.51981806367771277</v>
      </c>
      <c r="S61" s="545">
        <f t="shared" si="19"/>
        <v>1.5625</v>
      </c>
      <c r="T61" s="546">
        <f t="shared" si="20"/>
        <v>37500</v>
      </c>
      <c r="U61" s="404"/>
      <c r="V61" s="476" t="str">
        <f t="shared" si="12"/>
        <v>Low</v>
      </c>
      <c r="W61" s="476" t="str">
        <f t="shared" si="13"/>
        <v>Low</v>
      </c>
      <c r="X61" s="477" t="str">
        <f t="shared" si="14"/>
        <v>Dog</v>
      </c>
      <c r="AC61" s="366"/>
      <c r="AD61" s="366"/>
      <c r="AE61" s="366"/>
      <c r="AF61" s="366"/>
      <c r="AG61" s="366"/>
      <c r="AH61" s="366"/>
      <c r="AI61" s="366"/>
      <c r="AJ61" s="366"/>
      <c r="AM61" s="76"/>
      <c r="AN61" s="76"/>
    </row>
    <row r="62" spans="1:40" ht="17.25" customHeight="1" x14ac:dyDescent="0.3">
      <c r="A62" s="366">
        <f t="shared" si="39"/>
        <v>18</v>
      </c>
      <c r="B62" s="467" t="s">
        <v>624</v>
      </c>
      <c r="C62" s="365" t="s">
        <v>672</v>
      </c>
      <c r="D62" s="365"/>
      <c r="E62" s="468" t="s">
        <v>437</v>
      </c>
      <c r="F62" s="581">
        <v>5572.125</v>
      </c>
      <c r="G62" s="470">
        <v>24000</v>
      </c>
      <c r="H62" s="494">
        <f t="shared" si="40"/>
        <v>18427.875</v>
      </c>
      <c r="I62" s="471">
        <v>9</v>
      </c>
      <c r="J62" s="424"/>
      <c r="K62" s="495">
        <f t="shared" si="41"/>
        <v>50149.125</v>
      </c>
      <c r="L62" s="495">
        <f t="shared" si="42"/>
        <v>216000</v>
      </c>
      <c r="M62" s="495">
        <f t="shared" si="43"/>
        <v>165850.875</v>
      </c>
      <c r="N62" s="496">
        <f t="shared" si="35"/>
        <v>0.232171875</v>
      </c>
      <c r="O62" s="497">
        <f t="shared" si="36"/>
        <v>3.5628395831477686E-4</v>
      </c>
      <c r="P62" s="497">
        <f t="shared" si="36"/>
        <v>4.1580170919012892E-4</v>
      </c>
      <c r="Q62" s="497">
        <f t="shared" si="37"/>
        <v>1.7139592458579318E-3</v>
      </c>
      <c r="R62" s="498">
        <f t="shared" si="38"/>
        <v>0.58479532163742687</v>
      </c>
      <c r="S62" s="545">
        <f t="shared" si="19"/>
        <v>1.7578125</v>
      </c>
      <c r="T62" s="546">
        <f t="shared" si="20"/>
        <v>42187.5</v>
      </c>
      <c r="U62" s="404"/>
      <c r="V62" s="476" t="str">
        <f t="shared" si="12"/>
        <v>Low</v>
      </c>
      <c r="W62" s="476" t="str">
        <f t="shared" si="13"/>
        <v>Low</v>
      </c>
      <c r="X62" s="477" t="str">
        <f t="shared" si="14"/>
        <v>Dog</v>
      </c>
      <c r="AC62" s="366"/>
      <c r="AD62" s="366"/>
      <c r="AE62" s="366"/>
      <c r="AF62" s="366"/>
      <c r="AG62" s="366"/>
      <c r="AH62" s="366"/>
      <c r="AI62" s="366"/>
      <c r="AJ62" s="366"/>
      <c r="AM62" s="76"/>
      <c r="AN62" s="76"/>
    </row>
    <row r="63" spans="1:40" ht="17.25" customHeight="1" x14ac:dyDescent="0.3">
      <c r="A63" s="366">
        <f t="shared" si="39"/>
        <v>19</v>
      </c>
      <c r="B63" s="467" t="s">
        <v>625</v>
      </c>
      <c r="C63" s="365" t="s">
        <v>673</v>
      </c>
      <c r="D63" s="365"/>
      <c r="E63" s="468" t="s">
        <v>437</v>
      </c>
      <c r="F63" s="581">
        <v>6874.95</v>
      </c>
      <c r="G63" s="470">
        <v>24000</v>
      </c>
      <c r="H63" s="494">
        <f t="shared" si="40"/>
        <v>17125.05</v>
      </c>
      <c r="I63" s="471">
        <v>16</v>
      </c>
      <c r="J63" s="424"/>
      <c r="K63" s="495">
        <f t="shared" si="41"/>
        <v>109999.2</v>
      </c>
      <c r="L63" s="495">
        <f t="shared" si="42"/>
        <v>384000</v>
      </c>
      <c r="M63" s="495">
        <f t="shared" si="43"/>
        <v>274000.8</v>
      </c>
      <c r="N63" s="496">
        <f t="shared" si="35"/>
        <v>0.28645624999999997</v>
      </c>
      <c r="O63" s="497">
        <f t="shared" si="36"/>
        <v>6.3339370367071447E-4</v>
      </c>
      <c r="P63" s="497">
        <f t="shared" si="36"/>
        <v>6.8694241715313632E-4</v>
      </c>
      <c r="Q63" s="497">
        <f t="shared" si="37"/>
        <v>3.04703865930299E-3</v>
      </c>
      <c r="R63" s="498">
        <f t="shared" si="38"/>
        <v>1.0396361273554255</v>
      </c>
      <c r="S63" s="545">
        <f t="shared" si="19"/>
        <v>3.125</v>
      </c>
      <c r="T63" s="546">
        <f t="shared" si="20"/>
        <v>75000</v>
      </c>
      <c r="U63" s="404"/>
      <c r="V63" s="476" t="str">
        <f t="shared" si="12"/>
        <v>High</v>
      </c>
      <c r="W63" s="476" t="str">
        <f t="shared" si="13"/>
        <v>Low</v>
      </c>
      <c r="X63" s="477" t="str">
        <f t="shared" si="14"/>
        <v>Horse</v>
      </c>
      <c r="AC63" s="366"/>
      <c r="AD63" s="366"/>
      <c r="AE63" s="366"/>
      <c r="AF63" s="366"/>
      <c r="AG63" s="366"/>
      <c r="AH63" s="366"/>
      <c r="AI63" s="366"/>
      <c r="AJ63" s="366"/>
      <c r="AM63" s="76"/>
      <c r="AN63" s="76"/>
    </row>
    <row r="64" spans="1:40" ht="17.25" customHeight="1" x14ac:dyDescent="0.3">
      <c r="A64" s="366">
        <f t="shared" si="39"/>
        <v>20</v>
      </c>
      <c r="B64" s="467" t="s">
        <v>626</v>
      </c>
      <c r="C64" s="365" t="s">
        <v>674</v>
      </c>
      <c r="D64" s="365"/>
      <c r="E64" s="468" t="s">
        <v>437</v>
      </c>
      <c r="F64" s="581">
        <v>6671.608695652174</v>
      </c>
      <c r="G64" s="470">
        <v>24483.870967741936</v>
      </c>
      <c r="H64" s="494">
        <f t="shared" si="40"/>
        <v>17812.262272089763</v>
      </c>
      <c r="I64" s="471">
        <v>31</v>
      </c>
      <c r="J64" s="424"/>
      <c r="K64" s="495">
        <f t="shared" si="41"/>
        <v>206819.86956521741</v>
      </c>
      <c r="L64" s="495">
        <f t="shared" si="42"/>
        <v>759000</v>
      </c>
      <c r="M64" s="495">
        <f t="shared" si="43"/>
        <v>552180.13043478259</v>
      </c>
      <c r="N64" s="496">
        <f t="shared" si="35"/>
        <v>0.27248994672624166</v>
      </c>
      <c r="O64" s="497">
        <f t="shared" si="36"/>
        <v>1.2519422424116466E-3</v>
      </c>
      <c r="P64" s="497">
        <f t="shared" si="36"/>
        <v>1.3843607518839495E-3</v>
      </c>
      <c r="Q64" s="497">
        <f t="shared" si="37"/>
        <v>5.9036374023995431E-3</v>
      </c>
      <c r="R64" s="498">
        <f t="shared" si="38"/>
        <v>2.0142949967511372</v>
      </c>
      <c r="S64" s="545">
        <f t="shared" si="19"/>
        <v>6.0546875</v>
      </c>
      <c r="T64" s="546">
        <f t="shared" si="20"/>
        <v>148242.1875</v>
      </c>
      <c r="U64" s="404"/>
      <c r="V64" s="476" t="str">
        <f t="shared" si="12"/>
        <v>High</v>
      </c>
      <c r="W64" s="476" t="str">
        <f t="shared" si="13"/>
        <v>Low</v>
      </c>
      <c r="X64" s="477" t="str">
        <f t="shared" si="14"/>
        <v>Horse</v>
      </c>
      <c r="AC64" s="366"/>
      <c r="AD64" s="366"/>
      <c r="AE64" s="366"/>
      <c r="AF64" s="366"/>
      <c r="AG64" s="366"/>
      <c r="AH64" s="366"/>
      <c r="AI64" s="366"/>
      <c r="AJ64" s="366"/>
      <c r="AM64" s="76"/>
      <c r="AN64" s="76"/>
    </row>
    <row r="65" spans="1:40" ht="17.25" customHeight="1" x14ac:dyDescent="0.3">
      <c r="A65" s="366">
        <f t="shared" si="39"/>
        <v>21</v>
      </c>
      <c r="B65" s="467" t="s">
        <v>627</v>
      </c>
      <c r="C65" s="365" t="s">
        <v>675</v>
      </c>
      <c r="D65" s="365"/>
      <c r="E65" s="468" t="s">
        <v>437</v>
      </c>
      <c r="F65" s="581">
        <v>6027.8</v>
      </c>
      <c r="G65" s="470">
        <v>25000</v>
      </c>
      <c r="H65" s="494">
        <f t="shared" si="40"/>
        <v>18972.2</v>
      </c>
      <c r="I65" s="471">
        <v>10</v>
      </c>
      <c r="J65" s="424"/>
      <c r="K65" s="495">
        <f t="shared" si="41"/>
        <v>60278</v>
      </c>
      <c r="L65" s="495">
        <f t="shared" si="42"/>
        <v>250000</v>
      </c>
      <c r="M65" s="495">
        <f t="shared" si="43"/>
        <v>189722</v>
      </c>
      <c r="N65" s="496">
        <f t="shared" si="35"/>
        <v>0.24111199999999999</v>
      </c>
      <c r="O65" s="497">
        <f t="shared" si="36"/>
        <v>4.1236569249395474E-4</v>
      </c>
      <c r="P65" s="497">
        <f t="shared" si="36"/>
        <v>4.7564857207397696E-4</v>
      </c>
      <c r="Q65" s="497">
        <f t="shared" si="37"/>
        <v>1.9043991620643686E-3</v>
      </c>
      <c r="R65" s="498">
        <f t="shared" si="38"/>
        <v>0.64977257959714096</v>
      </c>
      <c r="S65" s="545">
        <f t="shared" si="19"/>
        <v>1.953125</v>
      </c>
      <c r="T65" s="546">
        <f t="shared" si="20"/>
        <v>48828.125</v>
      </c>
      <c r="U65" s="404"/>
      <c r="V65" s="476" t="str">
        <f t="shared" si="12"/>
        <v>High</v>
      </c>
      <c r="W65" s="476" t="str">
        <f t="shared" si="13"/>
        <v>Low</v>
      </c>
      <c r="X65" s="477" t="str">
        <f t="shared" si="14"/>
        <v>Horse</v>
      </c>
      <c r="AC65" s="366"/>
      <c r="AD65" s="366"/>
      <c r="AE65" s="366"/>
      <c r="AF65" s="366"/>
      <c r="AG65" s="366"/>
      <c r="AH65" s="366"/>
      <c r="AI65" s="366"/>
      <c r="AJ65" s="366"/>
      <c r="AM65" s="76"/>
      <c r="AN65" s="76"/>
    </row>
    <row r="66" spans="1:40" ht="17.25" customHeight="1" x14ac:dyDescent="0.3">
      <c r="A66" s="366">
        <f t="shared" si="39"/>
        <v>22</v>
      </c>
      <c r="B66" s="467" t="s">
        <v>628</v>
      </c>
      <c r="C66" s="365" t="s">
        <v>676</v>
      </c>
      <c r="D66" s="365"/>
      <c r="E66" s="468" t="s">
        <v>437</v>
      </c>
      <c r="F66" s="581">
        <v>5824</v>
      </c>
      <c r="G66" s="470">
        <v>24333.333333333332</v>
      </c>
      <c r="H66" s="494">
        <f t="shared" si="40"/>
        <v>18509.333333333332</v>
      </c>
      <c r="I66" s="471">
        <v>15</v>
      </c>
      <c r="J66" s="424"/>
      <c r="K66" s="495">
        <f t="shared" si="41"/>
        <v>87360</v>
      </c>
      <c r="L66" s="495">
        <f t="shared" si="42"/>
        <v>365000</v>
      </c>
      <c r="M66" s="495">
        <f t="shared" si="43"/>
        <v>277640</v>
      </c>
      <c r="N66" s="496">
        <f t="shared" si="35"/>
        <v>0.23934246575342466</v>
      </c>
      <c r="O66" s="497">
        <f t="shared" si="36"/>
        <v>6.0205391104117389E-4</v>
      </c>
      <c r="P66" s="497">
        <f t="shared" si="36"/>
        <v>6.9606618921695402E-4</v>
      </c>
      <c r="Q66" s="497">
        <f t="shared" si="37"/>
        <v>2.8565987430965532E-3</v>
      </c>
      <c r="R66" s="498">
        <f t="shared" si="38"/>
        <v>0.97465886939571145</v>
      </c>
      <c r="S66" s="545">
        <f t="shared" si="19"/>
        <v>2.9296875</v>
      </c>
      <c r="T66" s="546">
        <f t="shared" si="20"/>
        <v>71289.0625</v>
      </c>
      <c r="U66" s="404"/>
      <c r="V66" s="476" t="str">
        <f t="shared" si="12"/>
        <v>High</v>
      </c>
      <c r="W66" s="476" t="str">
        <f t="shared" si="13"/>
        <v>Low</v>
      </c>
      <c r="X66" s="477" t="str">
        <f t="shared" si="14"/>
        <v>Horse</v>
      </c>
      <c r="AC66" s="366"/>
      <c r="AD66" s="366"/>
      <c r="AE66" s="366"/>
      <c r="AF66" s="366"/>
      <c r="AG66" s="366"/>
      <c r="AH66" s="366"/>
      <c r="AI66" s="366"/>
      <c r="AJ66" s="366"/>
      <c r="AM66" s="76"/>
      <c r="AN66" s="76"/>
    </row>
    <row r="67" spans="1:40" ht="17.25" customHeight="1" x14ac:dyDescent="0.3">
      <c r="A67" s="366">
        <f t="shared" si="39"/>
        <v>23</v>
      </c>
      <c r="B67" s="467" t="s">
        <v>629</v>
      </c>
      <c r="C67" s="365" t="s">
        <v>677</v>
      </c>
      <c r="D67" s="365"/>
      <c r="E67" s="468" t="s">
        <v>437</v>
      </c>
      <c r="F67" s="581"/>
      <c r="G67" s="470">
        <v>0</v>
      </c>
      <c r="H67" s="494">
        <f t="shared" si="40"/>
        <v>0</v>
      </c>
      <c r="I67" s="471">
        <v>0</v>
      </c>
      <c r="J67" s="424"/>
      <c r="K67" s="495">
        <f t="shared" si="41"/>
        <v>0</v>
      </c>
      <c r="L67" s="495">
        <f t="shared" si="42"/>
        <v>0</v>
      </c>
      <c r="M67" s="495">
        <f t="shared" si="43"/>
        <v>0</v>
      </c>
      <c r="N67" s="496" t="e">
        <f t="shared" si="35"/>
        <v>#DIV/0!</v>
      </c>
      <c r="O67" s="497">
        <f t="shared" si="36"/>
        <v>0</v>
      </c>
      <c r="P67" s="497">
        <f t="shared" si="36"/>
        <v>0</v>
      </c>
      <c r="Q67" s="497">
        <f t="shared" si="37"/>
        <v>0</v>
      </c>
      <c r="R67" s="498">
        <f t="shared" si="38"/>
        <v>0</v>
      </c>
      <c r="S67" s="545">
        <f t="shared" si="19"/>
        <v>0</v>
      </c>
      <c r="T67" s="546">
        <f t="shared" si="20"/>
        <v>0</v>
      </c>
      <c r="U67" s="404"/>
      <c r="V67" s="476" t="str">
        <f t="shared" si="12"/>
        <v>Low</v>
      </c>
      <c r="W67" s="476" t="str">
        <f t="shared" si="13"/>
        <v>Low</v>
      </c>
      <c r="X67" s="477" t="str">
        <f t="shared" si="14"/>
        <v>Dog</v>
      </c>
      <c r="AC67" s="366"/>
      <c r="AD67" s="366"/>
      <c r="AE67" s="366"/>
      <c r="AF67" s="366"/>
      <c r="AG67" s="366"/>
      <c r="AH67" s="366"/>
      <c r="AI67" s="366"/>
      <c r="AJ67" s="366"/>
      <c r="AM67" s="76"/>
      <c r="AN67" s="76"/>
    </row>
    <row r="68" spans="1:40" ht="17.25" customHeight="1" x14ac:dyDescent="0.3">
      <c r="A68" s="366">
        <f t="shared" si="39"/>
        <v>24</v>
      </c>
      <c r="B68" s="467" t="s">
        <v>630</v>
      </c>
      <c r="C68" s="365" t="s">
        <v>678</v>
      </c>
      <c r="D68" s="365"/>
      <c r="E68" s="468" t="s">
        <v>437</v>
      </c>
      <c r="F68" s="581">
        <v>4096.5</v>
      </c>
      <c r="G68" s="470">
        <v>30000</v>
      </c>
      <c r="H68" s="494">
        <f t="shared" si="40"/>
        <v>25903.5</v>
      </c>
      <c r="I68" s="471">
        <v>12</v>
      </c>
      <c r="J68" s="424"/>
      <c r="K68" s="495">
        <f t="shared" si="41"/>
        <v>49158</v>
      </c>
      <c r="L68" s="495">
        <f t="shared" si="42"/>
        <v>360000</v>
      </c>
      <c r="M68" s="495">
        <f t="shared" si="43"/>
        <v>310842</v>
      </c>
      <c r="N68" s="496">
        <f t="shared" si="35"/>
        <v>0.13655</v>
      </c>
      <c r="O68" s="497">
        <f t="shared" si="36"/>
        <v>5.9380659719129479E-4</v>
      </c>
      <c r="P68" s="497">
        <f t="shared" si="36"/>
        <v>7.7930631893306595E-4</v>
      </c>
      <c r="Q68" s="497">
        <f t="shared" si="37"/>
        <v>2.2852789944772423E-3</v>
      </c>
      <c r="R68" s="498">
        <f t="shared" si="38"/>
        <v>0.77972709551656916</v>
      </c>
      <c r="S68" s="545">
        <f t="shared" si="19"/>
        <v>2.34375</v>
      </c>
      <c r="T68" s="546">
        <f t="shared" si="20"/>
        <v>70312.5</v>
      </c>
      <c r="U68" s="404"/>
      <c r="V68" s="476" t="str">
        <f t="shared" si="12"/>
        <v>High</v>
      </c>
      <c r="W68" s="476" t="str">
        <f t="shared" si="13"/>
        <v>Low</v>
      </c>
      <c r="X68" s="477" t="str">
        <f t="shared" si="14"/>
        <v>Horse</v>
      </c>
      <c r="AC68" s="366"/>
      <c r="AD68" s="366"/>
      <c r="AE68" s="366"/>
      <c r="AF68" s="366"/>
      <c r="AG68" s="366"/>
      <c r="AH68" s="366"/>
      <c r="AI68" s="366"/>
      <c r="AJ68" s="366"/>
      <c r="AM68" s="76"/>
      <c r="AN68" s="76"/>
    </row>
    <row r="69" spans="1:40" ht="17.25" customHeight="1" x14ac:dyDescent="0.3">
      <c r="A69" s="366">
        <f t="shared" si="39"/>
        <v>25</v>
      </c>
      <c r="B69" s="467" t="s">
        <v>631</v>
      </c>
      <c r="C69" s="365" t="s">
        <v>679</v>
      </c>
      <c r="D69" s="365"/>
      <c r="E69" s="468" t="s">
        <v>437</v>
      </c>
      <c r="F69" s="581">
        <v>13912.857142857143</v>
      </c>
      <c r="G69" s="470">
        <v>86111.111111111109</v>
      </c>
      <c r="H69" s="494">
        <f t="shared" si="40"/>
        <v>72198.253968253965</v>
      </c>
      <c r="I69" s="471">
        <v>9</v>
      </c>
      <c r="J69" s="424"/>
      <c r="K69" s="495">
        <f t="shared" si="41"/>
        <v>125215.71428571429</v>
      </c>
      <c r="L69" s="495">
        <f t="shared" si="42"/>
        <v>775000</v>
      </c>
      <c r="M69" s="495">
        <f t="shared" si="43"/>
        <v>649784.28571428568</v>
      </c>
      <c r="N69" s="496">
        <f t="shared" si="35"/>
        <v>0.16156866359447006</v>
      </c>
      <c r="O69" s="497">
        <f t="shared" si="36"/>
        <v>1.2783336467312597E-3</v>
      </c>
      <c r="P69" s="497">
        <f t="shared" si="36"/>
        <v>1.6290623525796115E-3</v>
      </c>
      <c r="Q69" s="497">
        <f t="shared" si="37"/>
        <v>1.7139592458579318E-3</v>
      </c>
      <c r="R69" s="498">
        <f t="shared" si="38"/>
        <v>0.58479532163742687</v>
      </c>
      <c r="S69" s="545">
        <f t="shared" si="19"/>
        <v>1.7578125</v>
      </c>
      <c r="T69" s="546">
        <f t="shared" si="20"/>
        <v>151367.1875</v>
      </c>
      <c r="U69" s="404"/>
      <c r="V69" s="476" t="str">
        <f t="shared" si="12"/>
        <v>Low</v>
      </c>
      <c r="W69" s="476" t="str">
        <f t="shared" si="13"/>
        <v>Low</v>
      </c>
      <c r="X69" s="477" t="str">
        <f t="shared" si="14"/>
        <v>Dog</v>
      </c>
      <c r="AC69" s="366"/>
      <c r="AD69" s="366"/>
      <c r="AE69" s="366"/>
      <c r="AF69" s="366"/>
      <c r="AG69" s="366"/>
      <c r="AH69" s="366"/>
      <c r="AI69" s="366"/>
      <c r="AJ69" s="366"/>
      <c r="AM69" s="76"/>
      <c r="AN69" s="76"/>
    </row>
    <row r="70" spans="1:40" ht="17.25" customHeight="1" x14ac:dyDescent="0.3">
      <c r="A70" s="366">
        <f t="shared" si="39"/>
        <v>26</v>
      </c>
      <c r="B70" s="467" t="s">
        <v>632</v>
      </c>
      <c r="C70" s="365" t="s">
        <v>680</v>
      </c>
      <c r="D70" s="365"/>
      <c r="E70" s="468" t="s">
        <v>437</v>
      </c>
      <c r="F70" s="581">
        <v>15629.814814814816</v>
      </c>
      <c r="G70" s="470">
        <v>80875</v>
      </c>
      <c r="H70" s="494">
        <f t="shared" si="40"/>
        <v>65245.185185185182</v>
      </c>
      <c r="I70" s="471">
        <v>32</v>
      </c>
      <c r="J70" s="424"/>
      <c r="K70" s="495">
        <f t="shared" si="41"/>
        <v>500154.0740740741</v>
      </c>
      <c r="L70" s="495">
        <f t="shared" si="42"/>
        <v>2588000</v>
      </c>
      <c r="M70" s="495">
        <f t="shared" si="43"/>
        <v>2087845.9259259258</v>
      </c>
      <c r="N70" s="496">
        <f t="shared" si="35"/>
        <v>0.1932589157936917</v>
      </c>
      <c r="O70" s="497">
        <f t="shared" si="36"/>
        <v>4.2688096486974188E-3</v>
      </c>
      <c r="P70" s="497">
        <f t="shared" si="36"/>
        <v>5.2344005090455342E-3</v>
      </c>
      <c r="Q70" s="497">
        <f t="shared" si="37"/>
        <v>6.09407731860598E-3</v>
      </c>
      <c r="R70" s="498">
        <f t="shared" si="38"/>
        <v>2.0792722547108511</v>
      </c>
      <c r="S70" s="545">
        <f t="shared" si="19"/>
        <v>6.25</v>
      </c>
      <c r="T70" s="546">
        <f t="shared" si="20"/>
        <v>505468.75</v>
      </c>
      <c r="U70" s="404"/>
      <c r="V70" s="476" t="str">
        <f t="shared" si="12"/>
        <v>High</v>
      </c>
      <c r="W70" s="476" t="str">
        <f t="shared" si="13"/>
        <v>Low</v>
      </c>
      <c r="X70" s="477" t="str">
        <f t="shared" si="14"/>
        <v>Horse</v>
      </c>
      <c r="AC70" s="366"/>
      <c r="AD70" s="366"/>
      <c r="AE70" s="366"/>
      <c r="AF70" s="366"/>
      <c r="AG70" s="366"/>
      <c r="AH70" s="366"/>
      <c r="AI70" s="366"/>
      <c r="AJ70" s="366"/>
      <c r="AM70" s="76"/>
      <c r="AN70" s="76"/>
    </row>
    <row r="71" spans="1:40" ht="17.25" customHeight="1" x14ac:dyDescent="0.3">
      <c r="A71" s="366"/>
      <c r="B71" s="467"/>
      <c r="C71" s="365"/>
      <c r="D71" s="495"/>
      <c r="E71" s="468"/>
      <c r="F71" s="478"/>
      <c r="G71" s="470"/>
      <c r="H71" s="494"/>
      <c r="I71" s="471"/>
      <c r="J71" s="424"/>
      <c r="K71" s="495"/>
      <c r="L71" s="495"/>
      <c r="M71" s="495"/>
      <c r="N71" s="496"/>
      <c r="O71" s="497"/>
      <c r="P71" s="497"/>
      <c r="Q71" s="497"/>
      <c r="R71" s="498"/>
      <c r="S71" s="545">
        <f t="shared" si="19"/>
        <v>0</v>
      </c>
      <c r="T71" s="546">
        <f t="shared" si="20"/>
        <v>0</v>
      </c>
      <c r="U71" s="404"/>
      <c r="V71" s="476" t="str">
        <f t="shared" si="12"/>
        <v/>
      </c>
      <c r="W71" s="476" t="str">
        <f t="shared" si="13"/>
        <v/>
      </c>
      <c r="X71" s="477" t="str">
        <f t="shared" si="14"/>
        <v/>
      </c>
      <c r="AA71" s="366"/>
      <c r="AB71" s="503"/>
      <c r="AC71" s="366"/>
      <c r="AD71" s="366"/>
      <c r="AE71" s="366"/>
      <c r="AF71" s="366"/>
      <c r="AG71" s="366"/>
      <c r="AH71" s="366"/>
      <c r="AI71" s="366"/>
      <c r="AJ71" s="366"/>
      <c r="AM71" s="76"/>
      <c r="AN71" s="76"/>
    </row>
    <row r="72" spans="1:40" ht="17.25" customHeight="1" x14ac:dyDescent="0.3">
      <c r="A72" s="453"/>
      <c r="B72" s="479" t="s">
        <v>479</v>
      </c>
      <c r="C72" s="480" t="s">
        <v>480</v>
      </c>
      <c r="D72" s="480"/>
      <c r="E72" s="480"/>
      <c r="F72" s="480"/>
      <c r="G72" s="481"/>
      <c r="H72" s="481"/>
      <c r="I72" s="481">
        <f>SUBTOTAL(9,I73:I88)</f>
        <v>390</v>
      </c>
      <c r="J72" s="484"/>
      <c r="K72" s="480">
        <f>SUBTOTAL(9,K73:K88)</f>
        <v>25968594.128379155</v>
      </c>
      <c r="L72" s="480">
        <f>SUBTOTAL(9,L73:L88)</f>
        <v>79190000</v>
      </c>
      <c r="M72" s="480">
        <f>SUBTOTAL(9,M73:M88)</f>
        <v>53221405.871620841</v>
      </c>
      <c r="N72" s="485">
        <f>K72/L72</f>
        <v>0.32792769451167009</v>
      </c>
      <c r="O72" s="486">
        <f t="shared" ref="O72:P87" si="44">L72/L$10</f>
        <v>0.13062095675438509</v>
      </c>
      <c r="P72" s="486">
        <f t="shared" si="44"/>
        <v>0.13343041769855907</v>
      </c>
      <c r="Q72" s="486">
        <f t="shared" ref="Q72:Q87" si="45">I72/I$10</f>
        <v>7.4271567320510379E-2</v>
      </c>
      <c r="R72" s="487">
        <f t="shared" ref="R72:R87" si="46">I72/$K$5*100</f>
        <v>25.341130604288498</v>
      </c>
      <c r="S72" s="487">
        <f t="shared" si="19"/>
        <v>76.171875</v>
      </c>
      <c r="T72" s="487">
        <f t="shared" si="20"/>
        <v>0</v>
      </c>
      <c r="U72" s="404"/>
      <c r="V72" s="476" t="str">
        <f t="shared" si="12"/>
        <v>High</v>
      </c>
      <c r="W72" s="476" t="str">
        <f t="shared" si="13"/>
        <v>High</v>
      </c>
      <c r="X72" s="477" t="str">
        <f t="shared" si="14"/>
        <v>Star</v>
      </c>
      <c r="AA72" s="366"/>
      <c r="AB72" s="503"/>
      <c r="AC72" s="366"/>
      <c r="AD72" s="366"/>
      <c r="AE72" s="366"/>
      <c r="AF72" s="366"/>
      <c r="AG72" s="366"/>
      <c r="AH72" s="366"/>
      <c r="AI72" s="366"/>
      <c r="AJ72" s="366"/>
      <c r="AM72" s="76"/>
      <c r="AN72" s="76"/>
    </row>
    <row r="73" spans="1:40" ht="17.25" customHeight="1" x14ac:dyDescent="0.3">
      <c r="A73" s="366">
        <f t="shared" ref="A73:A94" si="47">A72+1</f>
        <v>1</v>
      </c>
      <c r="B73" s="467" t="s">
        <v>494</v>
      </c>
      <c r="C73" s="365" t="s">
        <v>529</v>
      </c>
      <c r="D73" s="365"/>
      <c r="E73" s="468" t="s">
        <v>437</v>
      </c>
      <c r="F73" s="581">
        <v>172310.89473684211</v>
      </c>
      <c r="G73" s="470">
        <v>509347.82608695654</v>
      </c>
      <c r="H73" s="494">
        <f t="shared" ref="H73:H87" si="48">G73-F73</f>
        <v>337036.93135011441</v>
      </c>
      <c r="I73" s="471">
        <v>23</v>
      </c>
      <c r="J73" s="424"/>
      <c r="K73" s="495">
        <f t="shared" ref="K73:K87" si="49">I73*F73</f>
        <v>3963150.5789473685</v>
      </c>
      <c r="L73" s="495">
        <f t="shared" ref="L73:L87" si="50">I73*G73</f>
        <v>11715000</v>
      </c>
      <c r="M73" s="495">
        <f t="shared" ref="M73:M87" si="51">L73-K73</f>
        <v>7751849.421052631</v>
      </c>
      <c r="N73" s="496">
        <f t="shared" ref="N73:N87" si="52">K73/L73</f>
        <v>0.33829710447694139</v>
      </c>
      <c r="O73" s="497">
        <f t="shared" si="44"/>
        <v>1.9323456350266718E-2</v>
      </c>
      <c r="P73" s="497">
        <f t="shared" si="44"/>
        <v>1.9434520551418227E-2</v>
      </c>
      <c r="Q73" s="497">
        <f t="shared" si="45"/>
        <v>4.3801180727480477E-3</v>
      </c>
      <c r="R73" s="498">
        <f t="shared" si="46"/>
        <v>1.4944769330734242</v>
      </c>
      <c r="S73" s="545">
        <f t="shared" si="19"/>
        <v>4.4921875</v>
      </c>
      <c r="T73" s="546">
        <f t="shared" si="20"/>
        <v>2288085.9375</v>
      </c>
      <c r="U73" s="404"/>
      <c r="V73" s="476" t="str">
        <f t="shared" si="12"/>
        <v>High</v>
      </c>
      <c r="W73" s="476" t="str">
        <f t="shared" si="13"/>
        <v>High</v>
      </c>
      <c r="X73" s="477" t="str">
        <f t="shared" si="14"/>
        <v>Star</v>
      </c>
      <c r="Y73" s="488"/>
      <c r="AA73" s="366"/>
      <c r="AB73" s="503"/>
      <c r="AC73" s="366"/>
      <c r="AD73" s="366"/>
      <c r="AE73" s="366"/>
      <c r="AF73" s="366"/>
      <c r="AG73" s="366"/>
      <c r="AH73" s="366"/>
      <c r="AI73" s="366"/>
      <c r="AJ73" s="366"/>
      <c r="AM73" s="76"/>
      <c r="AN73" s="76"/>
    </row>
    <row r="74" spans="1:40" ht="17.25" customHeight="1" x14ac:dyDescent="0.3">
      <c r="A74" s="366">
        <f t="shared" si="47"/>
        <v>2</v>
      </c>
      <c r="B74" s="467" t="s">
        <v>495</v>
      </c>
      <c r="C74" s="365" t="s">
        <v>530</v>
      </c>
      <c r="D74" s="365"/>
      <c r="E74" s="468" t="s">
        <v>437</v>
      </c>
      <c r="F74" s="581">
        <v>73198.104166666672</v>
      </c>
      <c r="G74" s="470">
        <v>211415.09433962265</v>
      </c>
      <c r="H74" s="494">
        <f t="shared" si="48"/>
        <v>138216.99017295596</v>
      </c>
      <c r="I74" s="471">
        <v>53</v>
      </c>
      <c r="J74" s="424"/>
      <c r="K74" s="495">
        <f t="shared" si="49"/>
        <v>3879499.5208333335</v>
      </c>
      <c r="L74" s="495">
        <f t="shared" si="50"/>
        <v>11205000</v>
      </c>
      <c r="M74" s="495">
        <f t="shared" si="51"/>
        <v>7325500.479166666</v>
      </c>
      <c r="N74" s="496">
        <f t="shared" si="52"/>
        <v>0.34622931912836535</v>
      </c>
      <c r="O74" s="497">
        <f t="shared" si="44"/>
        <v>1.848223033757905E-2</v>
      </c>
      <c r="P74" s="497">
        <f t="shared" si="44"/>
        <v>1.8365628881431034E-2</v>
      </c>
      <c r="Q74" s="497">
        <f t="shared" si="45"/>
        <v>1.0093315558941154E-2</v>
      </c>
      <c r="R74" s="498">
        <f t="shared" si="46"/>
        <v>3.4437946718648469</v>
      </c>
      <c r="S74" s="545">
        <f t="shared" si="19"/>
        <v>10.351562499999998</v>
      </c>
      <c r="T74" s="546">
        <f t="shared" si="20"/>
        <v>2188476.5624999995</v>
      </c>
      <c r="U74" s="404"/>
      <c r="V74" s="476" t="str">
        <f t="shared" si="12"/>
        <v>High</v>
      </c>
      <c r="W74" s="476" t="str">
        <f t="shared" si="13"/>
        <v>High</v>
      </c>
      <c r="X74" s="477" t="str">
        <f t="shared" si="14"/>
        <v>Star</v>
      </c>
      <c r="AA74" s="366"/>
      <c r="AB74" s="503"/>
      <c r="AC74" s="366"/>
      <c r="AD74" s="366"/>
      <c r="AE74" s="366"/>
      <c r="AF74" s="366"/>
      <c r="AG74" s="366"/>
      <c r="AH74" s="366"/>
      <c r="AI74" s="366"/>
      <c r="AJ74" s="366"/>
      <c r="AM74" s="76"/>
      <c r="AN74" s="76"/>
    </row>
    <row r="75" spans="1:40" ht="17.25" customHeight="1" x14ac:dyDescent="0.3">
      <c r="A75" s="366">
        <f t="shared" si="47"/>
        <v>3</v>
      </c>
      <c r="B75" s="467" t="s">
        <v>496</v>
      </c>
      <c r="C75" s="365" t="s">
        <v>531</v>
      </c>
      <c r="D75" s="365"/>
      <c r="E75" s="468" t="s">
        <v>437</v>
      </c>
      <c r="F75" s="581">
        <v>61259.237288135591</v>
      </c>
      <c r="G75" s="470">
        <v>187500</v>
      </c>
      <c r="H75" s="494">
        <f t="shared" si="48"/>
        <v>126240.7627118644</v>
      </c>
      <c r="I75" s="471">
        <v>64</v>
      </c>
      <c r="J75" s="424"/>
      <c r="K75" s="495">
        <f t="shared" si="49"/>
        <v>3920591.1864406778</v>
      </c>
      <c r="L75" s="495">
        <f t="shared" si="50"/>
        <v>12000000</v>
      </c>
      <c r="M75" s="495">
        <f t="shared" si="51"/>
        <v>8079408.8135593217</v>
      </c>
      <c r="N75" s="496">
        <f t="shared" si="52"/>
        <v>0.32671593220338985</v>
      </c>
      <c r="O75" s="497">
        <f t="shared" si="44"/>
        <v>1.9793553239709827E-2</v>
      </c>
      <c r="P75" s="497">
        <f t="shared" si="44"/>
        <v>2.0255738740743802E-2</v>
      </c>
      <c r="Q75" s="497">
        <f t="shared" si="45"/>
        <v>1.218815463721196E-2</v>
      </c>
      <c r="R75" s="498">
        <f t="shared" si="46"/>
        <v>4.1585445094217022</v>
      </c>
      <c r="S75" s="545">
        <f t="shared" si="19"/>
        <v>12.5</v>
      </c>
      <c r="T75" s="546">
        <f t="shared" si="20"/>
        <v>2343750</v>
      </c>
      <c r="U75" s="404"/>
      <c r="V75" s="476" t="str">
        <f t="shared" si="12"/>
        <v>High</v>
      </c>
      <c r="W75" s="476" t="str">
        <f t="shared" si="13"/>
        <v>High</v>
      </c>
      <c r="X75" s="477" t="str">
        <f t="shared" si="14"/>
        <v>Star</v>
      </c>
      <c r="AA75" s="366"/>
      <c r="AB75" s="503"/>
      <c r="AC75" s="366"/>
      <c r="AD75" s="366"/>
      <c r="AE75" s="366"/>
      <c r="AF75" s="366"/>
      <c r="AG75" s="366"/>
      <c r="AH75" s="366"/>
      <c r="AI75" s="366"/>
      <c r="AJ75" s="366"/>
      <c r="AM75" s="76"/>
      <c r="AN75" s="76"/>
    </row>
    <row r="76" spans="1:40" ht="17.25" customHeight="1" x14ac:dyDescent="0.3">
      <c r="A76" s="366">
        <f t="shared" si="47"/>
        <v>4</v>
      </c>
      <c r="B76" s="467" t="s">
        <v>497</v>
      </c>
      <c r="C76" s="365" t="s">
        <v>532</v>
      </c>
      <c r="D76" s="365"/>
      <c r="E76" s="468" t="s">
        <v>437</v>
      </c>
      <c r="F76" s="581">
        <v>55266.815789473687</v>
      </c>
      <c r="G76" s="470">
        <v>169062.5</v>
      </c>
      <c r="H76" s="494">
        <f t="shared" si="48"/>
        <v>113795.68421052632</v>
      </c>
      <c r="I76" s="471">
        <v>48</v>
      </c>
      <c r="J76" s="424"/>
      <c r="K76" s="495">
        <f t="shared" si="49"/>
        <v>2652807.1578947371</v>
      </c>
      <c r="L76" s="495">
        <f t="shared" si="50"/>
        <v>8115000</v>
      </c>
      <c r="M76" s="495">
        <f t="shared" si="51"/>
        <v>5462192.8421052629</v>
      </c>
      <c r="N76" s="496">
        <f t="shared" si="52"/>
        <v>0.32690168304309764</v>
      </c>
      <c r="O76" s="497">
        <f t="shared" si="44"/>
        <v>1.3385390378353771E-2</v>
      </c>
      <c r="P76" s="497">
        <f t="shared" si="44"/>
        <v>1.3694164228397688E-2</v>
      </c>
      <c r="Q76" s="497">
        <f t="shared" si="45"/>
        <v>9.1411159779089691E-3</v>
      </c>
      <c r="R76" s="498">
        <f t="shared" si="46"/>
        <v>3.1189083820662766</v>
      </c>
      <c r="S76" s="545">
        <f t="shared" si="19"/>
        <v>9.375</v>
      </c>
      <c r="T76" s="546">
        <f t="shared" si="20"/>
        <v>1584960.9375</v>
      </c>
      <c r="U76" s="404"/>
      <c r="V76" s="476" t="str">
        <f t="shared" si="12"/>
        <v>High</v>
      </c>
      <c r="W76" s="476" t="str">
        <f t="shared" si="13"/>
        <v>Low</v>
      </c>
      <c r="X76" s="477" t="str">
        <f t="shared" si="14"/>
        <v>Horse</v>
      </c>
      <c r="AA76" s="366"/>
      <c r="AB76" s="503"/>
      <c r="AC76" s="366"/>
      <c r="AD76" s="366"/>
      <c r="AE76" s="366"/>
      <c r="AF76" s="366"/>
      <c r="AG76" s="366"/>
      <c r="AH76" s="366"/>
      <c r="AI76" s="366"/>
      <c r="AJ76" s="366"/>
      <c r="AM76" s="76"/>
      <c r="AN76" s="76"/>
    </row>
    <row r="77" spans="1:40" ht="17.25" customHeight="1" x14ac:dyDescent="0.3">
      <c r="A77" s="366">
        <f t="shared" si="47"/>
        <v>5</v>
      </c>
      <c r="B77" s="467" t="s">
        <v>498</v>
      </c>
      <c r="C77" s="365" t="s">
        <v>533</v>
      </c>
      <c r="D77" s="365"/>
      <c r="E77" s="468" t="s">
        <v>437</v>
      </c>
      <c r="F77" s="581">
        <v>46652.219512195123</v>
      </c>
      <c r="G77" s="470">
        <v>167058.82352941178</v>
      </c>
      <c r="H77" s="494">
        <f t="shared" si="48"/>
        <v>120406.60401721665</v>
      </c>
      <c r="I77" s="471">
        <v>51</v>
      </c>
      <c r="J77" s="424"/>
      <c r="K77" s="495">
        <f t="shared" si="49"/>
        <v>2379263.1951219514</v>
      </c>
      <c r="L77" s="495">
        <f t="shared" si="50"/>
        <v>8520000</v>
      </c>
      <c r="M77" s="495">
        <f t="shared" si="51"/>
        <v>6140736.8048780486</v>
      </c>
      <c r="N77" s="496">
        <f t="shared" si="52"/>
        <v>0.27925624355891449</v>
      </c>
      <c r="O77" s="497">
        <f t="shared" si="44"/>
        <v>1.4053422800193976E-2</v>
      </c>
      <c r="P77" s="497">
        <f t="shared" si="44"/>
        <v>1.5395329443724815E-2</v>
      </c>
      <c r="Q77" s="497">
        <f t="shared" si="45"/>
        <v>9.7124357265282804E-3</v>
      </c>
      <c r="R77" s="498">
        <f t="shared" si="46"/>
        <v>3.3138401559454191</v>
      </c>
      <c r="S77" s="545">
        <f t="shared" si="19"/>
        <v>9.9609375</v>
      </c>
      <c r="T77" s="546">
        <f t="shared" si="20"/>
        <v>1664062.5000000002</v>
      </c>
      <c r="U77" s="404"/>
      <c r="V77" s="476" t="str">
        <f t="shared" si="12"/>
        <v>High</v>
      </c>
      <c r="W77" s="476" t="str">
        <f t="shared" si="13"/>
        <v>Low</v>
      </c>
      <c r="X77" s="477" t="str">
        <f t="shared" si="14"/>
        <v>Horse</v>
      </c>
      <c r="AA77" s="366"/>
      <c r="AB77" s="503"/>
      <c r="AC77" s="366"/>
      <c r="AD77" s="366"/>
      <c r="AE77" s="366"/>
      <c r="AF77" s="366"/>
      <c r="AG77" s="366"/>
      <c r="AH77" s="366"/>
      <c r="AI77" s="366"/>
      <c r="AJ77" s="366"/>
      <c r="AM77" s="76"/>
      <c r="AN77" s="76"/>
    </row>
    <row r="78" spans="1:40" ht="17.25" customHeight="1" x14ac:dyDescent="0.3">
      <c r="A78" s="366">
        <f t="shared" si="47"/>
        <v>6</v>
      </c>
      <c r="B78" s="467" t="s">
        <v>738</v>
      </c>
      <c r="C78" s="365" t="s">
        <v>744</v>
      </c>
      <c r="D78" s="365"/>
      <c r="E78" s="468" t="s">
        <v>437</v>
      </c>
      <c r="F78" s="581"/>
      <c r="G78" s="470">
        <v>155000</v>
      </c>
      <c r="H78" s="494">
        <f t="shared" si="48"/>
        <v>155000</v>
      </c>
      <c r="I78" s="471">
        <v>0</v>
      </c>
      <c r="J78" s="424"/>
      <c r="K78" s="495">
        <f t="shared" si="49"/>
        <v>0</v>
      </c>
      <c r="L78" s="495">
        <f t="shared" si="50"/>
        <v>0</v>
      </c>
      <c r="M78" s="495">
        <f t="shared" si="51"/>
        <v>0</v>
      </c>
      <c r="N78" s="496" t="e">
        <f t="shared" si="52"/>
        <v>#DIV/0!</v>
      </c>
      <c r="O78" s="497">
        <f t="shared" si="44"/>
        <v>0</v>
      </c>
      <c r="P78" s="497">
        <f t="shared" si="44"/>
        <v>0</v>
      </c>
      <c r="Q78" s="497">
        <f t="shared" si="45"/>
        <v>0</v>
      </c>
      <c r="R78" s="498">
        <f t="shared" si="46"/>
        <v>0</v>
      </c>
      <c r="S78" s="545">
        <f t="shared" si="19"/>
        <v>0</v>
      </c>
      <c r="T78" s="546">
        <f t="shared" si="20"/>
        <v>0</v>
      </c>
      <c r="U78" s="404"/>
      <c r="V78" s="476" t="str">
        <f t="shared" si="12"/>
        <v>Low</v>
      </c>
      <c r="W78" s="476" t="str">
        <f t="shared" si="13"/>
        <v>Low</v>
      </c>
      <c r="X78" s="477" t="str">
        <f t="shared" si="14"/>
        <v>Dog</v>
      </c>
      <c r="AA78" s="366"/>
      <c r="AB78" s="503"/>
      <c r="AC78" s="366"/>
      <c r="AD78" s="366"/>
      <c r="AE78" s="366"/>
      <c r="AF78" s="366"/>
      <c r="AG78" s="366"/>
      <c r="AH78" s="366"/>
      <c r="AI78" s="366"/>
      <c r="AJ78" s="366"/>
      <c r="AM78" s="76"/>
      <c r="AN78" s="76"/>
    </row>
    <row r="79" spans="1:40" ht="17.25" customHeight="1" x14ac:dyDescent="0.3">
      <c r="A79" s="366">
        <f t="shared" si="47"/>
        <v>7</v>
      </c>
      <c r="B79" s="467" t="s">
        <v>499</v>
      </c>
      <c r="C79" s="365" t="s">
        <v>534</v>
      </c>
      <c r="D79" s="365"/>
      <c r="E79" s="468" t="s">
        <v>437</v>
      </c>
      <c r="F79" s="581">
        <v>52558.660377358494</v>
      </c>
      <c r="G79" s="470">
        <v>147500</v>
      </c>
      <c r="H79" s="494">
        <f t="shared" si="48"/>
        <v>94941.339622641506</v>
      </c>
      <c r="I79" s="471">
        <v>36</v>
      </c>
      <c r="J79" s="424"/>
      <c r="K79" s="495">
        <f t="shared" si="49"/>
        <v>1892111.7735849058</v>
      </c>
      <c r="L79" s="495">
        <f t="shared" si="50"/>
        <v>5310000</v>
      </c>
      <c r="M79" s="495">
        <f t="shared" si="51"/>
        <v>3417888.226415094</v>
      </c>
      <c r="N79" s="496">
        <f t="shared" si="52"/>
        <v>0.3563299008634474</v>
      </c>
      <c r="O79" s="497">
        <f t="shared" si="44"/>
        <v>8.7586473085715984E-3</v>
      </c>
      <c r="P79" s="497">
        <f t="shared" si="44"/>
        <v>8.5689253455202719E-3</v>
      </c>
      <c r="Q79" s="497">
        <f t="shared" si="45"/>
        <v>6.8558369834317272E-3</v>
      </c>
      <c r="R79" s="498">
        <f t="shared" si="46"/>
        <v>2.3391812865497075</v>
      </c>
      <c r="S79" s="545">
        <f t="shared" si="19"/>
        <v>7.03125</v>
      </c>
      <c r="T79" s="546">
        <f t="shared" si="20"/>
        <v>1037109.375</v>
      </c>
      <c r="U79" s="404"/>
      <c r="V79" s="476" t="str">
        <f t="shared" si="12"/>
        <v>High</v>
      </c>
      <c r="W79" s="476" t="str">
        <f t="shared" si="13"/>
        <v>Low</v>
      </c>
      <c r="X79" s="477" t="str">
        <f t="shared" si="14"/>
        <v>Horse</v>
      </c>
      <c r="AA79" s="366"/>
      <c r="AB79" s="503"/>
      <c r="AC79" s="366"/>
      <c r="AD79" s="366"/>
      <c r="AE79" s="366"/>
      <c r="AF79" s="366"/>
      <c r="AG79" s="366"/>
      <c r="AH79" s="366"/>
      <c r="AI79" s="366"/>
      <c r="AJ79" s="366"/>
      <c r="AM79" s="76"/>
      <c r="AN79" s="76"/>
    </row>
    <row r="80" spans="1:40" ht="17.25" customHeight="1" x14ac:dyDescent="0.3">
      <c r="A80" s="366">
        <f t="shared" si="47"/>
        <v>8</v>
      </c>
      <c r="B80" s="467" t="s">
        <v>500</v>
      </c>
      <c r="C80" s="365" t="s">
        <v>535</v>
      </c>
      <c r="D80" s="365"/>
      <c r="E80" s="468" t="s">
        <v>437</v>
      </c>
      <c r="F80" s="581">
        <v>52965.857142857145</v>
      </c>
      <c r="G80" s="470">
        <v>150500</v>
      </c>
      <c r="H80" s="494">
        <f t="shared" si="48"/>
        <v>97534.142857142855</v>
      </c>
      <c r="I80" s="471">
        <v>30</v>
      </c>
      <c r="J80" s="424"/>
      <c r="K80" s="495">
        <f t="shared" si="49"/>
        <v>1588975.7142857143</v>
      </c>
      <c r="L80" s="495">
        <f t="shared" si="50"/>
        <v>4515000</v>
      </c>
      <c r="M80" s="495">
        <f t="shared" si="51"/>
        <v>2926024.2857142854</v>
      </c>
      <c r="N80" s="496">
        <f t="shared" si="52"/>
        <v>0.3519326056003797</v>
      </c>
      <c r="O80" s="497">
        <f t="shared" si="44"/>
        <v>7.4473244064408219E-3</v>
      </c>
      <c r="P80" s="497">
        <f t="shared" si="44"/>
        <v>7.3357822147867837E-3</v>
      </c>
      <c r="Q80" s="497">
        <f t="shared" si="45"/>
        <v>5.7131974861931063E-3</v>
      </c>
      <c r="R80" s="498">
        <f t="shared" si="46"/>
        <v>1.9493177387914229</v>
      </c>
      <c r="S80" s="545">
        <f t="shared" si="19"/>
        <v>5.859375</v>
      </c>
      <c r="T80" s="546">
        <f t="shared" si="20"/>
        <v>881835.9375</v>
      </c>
      <c r="U80" s="404"/>
      <c r="V80" s="476" t="str">
        <f t="shared" si="12"/>
        <v>High</v>
      </c>
      <c r="W80" s="476" t="str">
        <f t="shared" si="13"/>
        <v>Low</v>
      </c>
      <c r="X80" s="477" t="str">
        <f t="shared" si="14"/>
        <v>Horse</v>
      </c>
      <c r="AA80" s="366"/>
      <c r="AB80" s="503"/>
      <c r="AC80" s="366"/>
      <c r="AD80" s="366"/>
      <c r="AE80" s="366"/>
      <c r="AF80" s="366"/>
      <c r="AG80" s="366"/>
      <c r="AH80" s="366"/>
      <c r="AI80" s="366"/>
      <c r="AJ80" s="366"/>
      <c r="AM80" s="76"/>
      <c r="AN80" s="76"/>
    </row>
    <row r="81" spans="1:40" ht="17.25" customHeight="1" x14ac:dyDescent="0.3">
      <c r="A81" s="366">
        <f t="shared" si="47"/>
        <v>9</v>
      </c>
      <c r="B81" s="467" t="s">
        <v>501</v>
      </c>
      <c r="C81" s="365" t="s">
        <v>536</v>
      </c>
      <c r="D81" s="365"/>
      <c r="E81" s="468" t="s">
        <v>437</v>
      </c>
      <c r="F81" s="581">
        <v>37695.607142857145</v>
      </c>
      <c r="G81" s="470">
        <v>111612.90322580645</v>
      </c>
      <c r="H81" s="494">
        <f t="shared" si="48"/>
        <v>73917.296082949309</v>
      </c>
      <c r="I81" s="471">
        <v>31</v>
      </c>
      <c r="J81" s="424"/>
      <c r="K81" s="495">
        <f t="shared" si="49"/>
        <v>1168563.8214285716</v>
      </c>
      <c r="L81" s="495">
        <f t="shared" si="50"/>
        <v>3460000</v>
      </c>
      <c r="M81" s="495">
        <f t="shared" si="51"/>
        <v>2291436.1785714282</v>
      </c>
      <c r="N81" s="496">
        <f t="shared" si="52"/>
        <v>0.33773520850536753</v>
      </c>
      <c r="O81" s="497">
        <f t="shared" si="44"/>
        <v>5.7071411841163331E-3</v>
      </c>
      <c r="P81" s="497">
        <f t="shared" si="44"/>
        <v>5.7448179248381854E-3</v>
      </c>
      <c r="Q81" s="497">
        <f t="shared" si="45"/>
        <v>5.9036374023995431E-3</v>
      </c>
      <c r="R81" s="498">
        <f t="shared" si="46"/>
        <v>2.0142949967511372</v>
      </c>
      <c r="S81" s="545">
        <f t="shared" si="19"/>
        <v>6.0546875</v>
      </c>
      <c r="T81" s="546">
        <f t="shared" si="20"/>
        <v>675781.25</v>
      </c>
      <c r="U81" s="404"/>
      <c r="V81" s="476" t="str">
        <f t="shared" si="12"/>
        <v>High</v>
      </c>
      <c r="W81" s="476" t="str">
        <f t="shared" si="13"/>
        <v>Low</v>
      </c>
      <c r="X81" s="477" t="str">
        <f t="shared" si="14"/>
        <v>Horse</v>
      </c>
      <c r="AA81" s="366"/>
      <c r="AB81" s="503"/>
      <c r="AC81" s="366"/>
      <c r="AD81" s="366"/>
      <c r="AE81" s="366"/>
      <c r="AF81" s="366"/>
      <c r="AG81" s="366"/>
      <c r="AH81" s="366"/>
      <c r="AI81" s="366"/>
      <c r="AJ81" s="366"/>
      <c r="AM81" s="76"/>
      <c r="AN81" s="76"/>
    </row>
    <row r="82" spans="1:40" ht="17.25" customHeight="1" x14ac:dyDescent="0.3">
      <c r="A82" s="366">
        <f t="shared" si="47"/>
        <v>10</v>
      </c>
      <c r="B82" s="467" t="s">
        <v>503</v>
      </c>
      <c r="C82" s="365" t="s">
        <v>538</v>
      </c>
      <c r="D82" s="365"/>
      <c r="E82" s="468" t="s">
        <v>437</v>
      </c>
      <c r="F82" s="581">
        <v>56586</v>
      </c>
      <c r="G82" s="470">
        <v>185000</v>
      </c>
      <c r="H82" s="494">
        <f t="shared" si="48"/>
        <v>128414</v>
      </c>
      <c r="I82" s="471">
        <v>3</v>
      </c>
      <c r="J82" s="424"/>
      <c r="K82" s="495">
        <f t="shared" si="49"/>
        <v>169758</v>
      </c>
      <c r="L82" s="495">
        <f t="shared" si="50"/>
        <v>555000</v>
      </c>
      <c r="M82" s="495">
        <f t="shared" si="51"/>
        <v>385242</v>
      </c>
      <c r="N82" s="496">
        <f t="shared" si="52"/>
        <v>0.30587027027027025</v>
      </c>
      <c r="O82" s="497">
        <f t="shared" si="44"/>
        <v>9.1545183733657948E-4</v>
      </c>
      <c r="P82" s="497">
        <f t="shared" si="44"/>
        <v>9.6583320438812061E-4</v>
      </c>
      <c r="Q82" s="497">
        <f t="shared" si="45"/>
        <v>5.7131974861931057E-4</v>
      </c>
      <c r="R82" s="498">
        <f t="shared" si="46"/>
        <v>0.19493177387914229</v>
      </c>
      <c r="S82" s="545">
        <f t="shared" si="19"/>
        <v>0.5859375</v>
      </c>
      <c r="T82" s="546">
        <f t="shared" si="20"/>
        <v>108398.4375</v>
      </c>
      <c r="U82" s="404"/>
      <c r="V82" s="476" t="str">
        <f t="shared" si="12"/>
        <v>Low</v>
      </c>
      <c r="W82" s="476" t="str">
        <f t="shared" si="13"/>
        <v>Low</v>
      </c>
      <c r="X82" s="477" t="str">
        <f t="shared" si="14"/>
        <v>Dog</v>
      </c>
      <c r="AA82" s="366"/>
      <c r="AB82" s="503"/>
      <c r="AC82" s="366"/>
      <c r="AD82" s="366"/>
      <c r="AE82" s="366"/>
      <c r="AF82" s="366"/>
      <c r="AG82" s="366"/>
      <c r="AH82" s="366"/>
      <c r="AI82" s="366"/>
      <c r="AJ82" s="366"/>
      <c r="AM82" s="76"/>
      <c r="AN82" s="76"/>
    </row>
    <row r="83" spans="1:40" ht="17.25" customHeight="1" x14ac:dyDescent="0.3">
      <c r="A83" s="366">
        <f t="shared" si="47"/>
        <v>11</v>
      </c>
      <c r="B83" s="467" t="s">
        <v>555</v>
      </c>
      <c r="C83" s="365" t="s">
        <v>557</v>
      </c>
      <c r="D83" s="365"/>
      <c r="E83" s="468" t="s">
        <v>437</v>
      </c>
      <c r="F83" s="581">
        <v>172310.69565217392</v>
      </c>
      <c r="G83" s="470">
        <v>623076.92307692312</v>
      </c>
      <c r="H83" s="494">
        <f t="shared" si="48"/>
        <v>450766.22742474917</v>
      </c>
      <c r="I83" s="471">
        <v>13</v>
      </c>
      <c r="J83" s="424"/>
      <c r="K83" s="495">
        <f t="shared" si="49"/>
        <v>2240039.0434782607</v>
      </c>
      <c r="L83" s="495">
        <f t="shared" si="50"/>
        <v>8100000.0000000009</v>
      </c>
      <c r="M83" s="495">
        <f t="shared" si="51"/>
        <v>5859960.9565217402</v>
      </c>
      <c r="N83" s="496">
        <f t="shared" si="52"/>
        <v>0.27654803005904449</v>
      </c>
      <c r="O83" s="497">
        <f t="shared" si="44"/>
        <v>1.3360648436804134E-2</v>
      </c>
      <c r="P83" s="497">
        <f t="shared" si="44"/>
        <v>1.4691401426185796E-2</v>
      </c>
      <c r="Q83" s="497">
        <f t="shared" si="45"/>
        <v>2.4757189106836791E-3</v>
      </c>
      <c r="R83" s="498">
        <f t="shared" si="46"/>
        <v>0.84470435347628325</v>
      </c>
      <c r="S83" s="545">
        <f t="shared" si="19"/>
        <v>2.5390625</v>
      </c>
      <c r="T83" s="546">
        <f t="shared" si="20"/>
        <v>1582031.25</v>
      </c>
      <c r="U83" s="404"/>
      <c r="V83" s="476" t="str">
        <f t="shared" si="12"/>
        <v>High</v>
      </c>
      <c r="W83" s="476" t="str">
        <f t="shared" si="13"/>
        <v>Low</v>
      </c>
      <c r="X83" s="477" t="str">
        <f t="shared" si="14"/>
        <v>Horse</v>
      </c>
      <c r="AA83" s="366"/>
      <c r="AB83" s="503"/>
      <c r="AC83" s="366"/>
      <c r="AD83" s="366"/>
      <c r="AE83" s="366"/>
      <c r="AF83" s="366"/>
      <c r="AG83" s="366"/>
      <c r="AH83" s="366"/>
      <c r="AI83" s="366"/>
      <c r="AJ83" s="366"/>
      <c r="AM83" s="76"/>
      <c r="AN83" s="76"/>
    </row>
    <row r="84" spans="1:40" ht="17.25" customHeight="1" x14ac:dyDescent="0.3">
      <c r="A84" s="366">
        <f t="shared" si="47"/>
        <v>12</v>
      </c>
      <c r="B84" s="467" t="s">
        <v>570</v>
      </c>
      <c r="C84" s="365" t="s">
        <v>577</v>
      </c>
      <c r="D84" s="365"/>
      <c r="E84" s="468" t="s">
        <v>437</v>
      </c>
      <c r="F84" s="581"/>
      <c r="G84" s="470">
        <v>295000</v>
      </c>
      <c r="H84" s="494">
        <f t="shared" si="48"/>
        <v>295000</v>
      </c>
      <c r="I84" s="471">
        <v>0</v>
      </c>
      <c r="J84" s="424"/>
      <c r="K84" s="495">
        <f t="shared" si="49"/>
        <v>0</v>
      </c>
      <c r="L84" s="495">
        <f t="shared" si="50"/>
        <v>0</v>
      </c>
      <c r="M84" s="495">
        <f t="shared" si="51"/>
        <v>0</v>
      </c>
      <c r="N84" s="496" t="e">
        <f t="shared" si="52"/>
        <v>#DIV/0!</v>
      </c>
      <c r="O84" s="497">
        <f t="shared" si="44"/>
        <v>0</v>
      </c>
      <c r="P84" s="497">
        <f t="shared" si="44"/>
        <v>0</v>
      </c>
      <c r="Q84" s="497">
        <f t="shared" si="45"/>
        <v>0</v>
      </c>
      <c r="R84" s="498">
        <f t="shared" si="46"/>
        <v>0</v>
      </c>
      <c r="S84" s="545">
        <f t="shared" si="19"/>
        <v>0</v>
      </c>
      <c r="T84" s="546">
        <f t="shared" si="20"/>
        <v>0</v>
      </c>
      <c r="U84" s="404"/>
      <c r="V84" s="476" t="str">
        <f t="shared" si="12"/>
        <v>Low</v>
      </c>
      <c r="W84" s="476" t="str">
        <f t="shared" si="13"/>
        <v>Low</v>
      </c>
      <c r="X84" s="477" t="str">
        <f t="shared" si="14"/>
        <v>Dog</v>
      </c>
      <c r="AA84" s="366"/>
      <c r="AB84" s="503"/>
      <c r="AC84" s="366"/>
      <c r="AD84" s="366"/>
      <c r="AE84" s="366"/>
      <c r="AF84" s="366"/>
      <c r="AG84" s="366"/>
      <c r="AH84" s="366"/>
      <c r="AI84" s="366"/>
      <c r="AJ84" s="366"/>
      <c r="AM84" s="76"/>
      <c r="AN84" s="76"/>
    </row>
    <row r="85" spans="1:40" ht="17.25" customHeight="1" x14ac:dyDescent="0.3">
      <c r="A85" s="366">
        <f t="shared" si="47"/>
        <v>13</v>
      </c>
      <c r="B85" s="467" t="s">
        <v>502</v>
      </c>
      <c r="C85" s="365" t="s">
        <v>537</v>
      </c>
      <c r="D85" s="365"/>
      <c r="E85" s="468" t="s">
        <v>437</v>
      </c>
      <c r="F85" s="581">
        <v>42821</v>
      </c>
      <c r="G85" s="470">
        <v>120000</v>
      </c>
      <c r="H85" s="494">
        <f t="shared" si="48"/>
        <v>77179</v>
      </c>
      <c r="I85" s="471">
        <v>15</v>
      </c>
      <c r="J85" s="424"/>
      <c r="K85" s="495">
        <f t="shared" si="49"/>
        <v>642315</v>
      </c>
      <c r="L85" s="495">
        <f t="shared" si="50"/>
        <v>1800000</v>
      </c>
      <c r="M85" s="495">
        <f t="shared" si="51"/>
        <v>1157685</v>
      </c>
      <c r="N85" s="496">
        <f t="shared" si="52"/>
        <v>0.35684166666666667</v>
      </c>
      <c r="O85" s="497">
        <f t="shared" si="44"/>
        <v>2.9690329859564739E-3</v>
      </c>
      <c r="P85" s="497">
        <f t="shared" si="44"/>
        <v>2.9024109863983196E-3</v>
      </c>
      <c r="Q85" s="497">
        <f t="shared" si="45"/>
        <v>2.8565987430965532E-3</v>
      </c>
      <c r="R85" s="498">
        <f t="shared" si="46"/>
        <v>0.97465886939571145</v>
      </c>
      <c r="S85" s="545">
        <f t="shared" si="19"/>
        <v>2.9296875</v>
      </c>
      <c r="T85" s="546">
        <f t="shared" si="20"/>
        <v>351562.5</v>
      </c>
      <c r="U85" s="404"/>
      <c r="V85" s="476" t="str">
        <f t="shared" si="12"/>
        <v>High</v>
      </c>
      <c r="W85" s="476" t="str">
        <f t="shared" si="13"/>
        <v>Low</v>
      </c>
      <c r="X85" s="477" t="str">
        <f t="shared" si="14"/>
        <v>Horse</v>
      </c>
      <c r="AA85" s="366"/>
      <c r="AB85" s="503"/>
      <c r="AC85" s="366"/>
      <c r="AD85" s="366"/>
      <c r="AE85" s="366"/>
      <c r="AF85" s="366"/>
      <c r="AG85" s="366"/>
      <c r="AH85" s="366"/>
      <c r="AI85" s="366"/>
      <c r="AJ85" s="366"/>
      <c r="AM85" s="76"/>
      <c r="AN85" s="76"/>
    </row>
    <row r="86" spans="1:40" ht="17.25" customHeight="1" x14ac:dyDescent="0.3">
      <c r="A86" s="366">
        <f t="shared" si="47"/>
        <v>14</v>
      </c>
      <c r="B86" s="467" t="s">
        <v>571</v>
      </c>
      <c r="C86" s="365" t="s">
        <v>578</v>
      </c>
      <c r="D86" s="365"/>
      <c r="E86" s="468" t="s">
        <v>437</v>
      </c>
      <c r="F86" s="581">
        <v>63911.954545454544</v>
      </c>
      <c r="G86" s="470">
        <v>167368.42105263157</v>
      </c>
      <c r="H86" s="494">
        <f t="shared" si="48"/>
        <v>103456.46650717703</v>
      </c>
      <c r="I86" s="471">
        <v>19</v>
      </c>
      <c r="J86" s="424"/>
      <c r="K86" s="495">
        <f t="shared" si="49"/>
        <v>1214327.1363636362</v>
      </c>
      <c r="L86" s="495">
        <f t="shared" si="50"/>
        <v>3180000</v>
      </c>
      <c r="M86" s="495">
        <f t="shared" si="51"/>
        <v>1965672.8636363638</v>
      </c>
      <c r="N86" s="496">
        <f t="shared" si="52"/>
        <v>0.38186387935963406</v>
      </c>
      <c r="O86" s="497">
        <f t="shared" si="44"/>
        <v>5.2452916085231043E-3</v>
      </c>
      <c r="P86" s="497">
        <f t="shared" si="44"/>
        <v>4.9281026488925987E-3</v>
      </c>
      <c r="Q86" s="497">
        <f t="shared" si="45"/>
        <v>3.6183584079223004E-3</v>
      </c>
      <c r="R86" s="498">
        <f t="shared" si="46"/>
        <v>1.2345679012345678</v>
      </c>
      <c r="S86" s="545">
        <f t="shared" si="19"/>
        <v>3.7109375</v>
      </c>
      <c r="T86" s="546">
        <f t="shared" si="20"/>
        <v>621093.75</v>
      </c>
      <c r="U86" s="404"/>
      <c r="V86" s="476" t="str">
        <f t="shared" si="12"/>
        <v>High</v>
      </c>
      <c r="W86" s="476" t="str">
        <f t="shared" si="13"/>
        <v>Low</v>
      </c>
      <c r="X86" s="477" t="str">
        <f t="shared" si="14"/>
        <v>Horse</v>
      </c>
      <c r="AA86" s="366"/>
      <c r="AB86" s="503"/>
      <c r="AC86" s="366"/>
      <c r="AD86" s="366"/>
      <c r="AE86" s="366"/>
      <c r="AF86" s="366"/>
      <c r="AG86" s="366"/>
      <c r="AH86" s="366"/>
      <c r="AI86" s="366"/>
      <c r="AJ86" s="366"/>
      <c r="AM86" s="76"/>
      <c r="AN86" s="76"/>
    </row>
    <row r="87" spans="1:40" s="148" customFormat="1" ht="17.25" customHeight="1" x14ac:dyDescent="0.3">
      <c r="A87" s="366">
        <f t="shared" si="47"/>
        <v>15</v>
      </c>
      <c r="B87" s="467" t="s">
        <v>572</v>
      </c>
      <c r="C87" s="365" t="s">
        <v>579</v>
      </c>
      <c r="D87" s="365"/>
      <c r="E87" s="468" t="s">
        <v>437</v>
      </c>
      <c r="F87" s="581">
        <v>64298</v>
      </c>
      <c r="G87" s="470">
        <v>178750</v>
      </c>
      <c r="H87" s="494">
        <f t="shared" si="48"/>
        <v>114452</v>
      </c>
      <c r="I87" s="471">
        <v>4</v>
      </c>
      <c r="J87" s="424"/>
      <c r="K87" s="495">
        <f t="shared" si="49"/>
        <v>257192</v>
      </c>
      <c r="L87" s="495">
        <f t="shared" si="50"/>
        <v>715000</v>
      </c>
      <c r="M87" s="495">
        <f t="shared" si="51"/>
        <v>457808</v>
      </c>
      <c r="N87" s="496">
        <f t="shared" si="52"/>
        <v>0.35970909090909092</v>
      </c>
      <c r="O87" s="497">
        <f t="shared" si="44"/>
        <v>1.1793658805327105E-3</v>
      </c>
      <c r="P87" s="497">
        <f t="shared" si="44"/>
        <v>1.1477621018334365E-3</v>
      </c>
      <c r="Q87" s="497">
        <f t="shared" si="45"/>
        <v>7.617596648257475E-4</v>
      </c>
      <c r="R87" s="498">
        <f t="shared" si="46"/>
        <v>0.25990903183885639</v>
      </c>
      <c r="S87" s="545">
        <f t="shared" si="19"/>
        <v>0.78125</v>
      </c>
      <c r="T87" s="546">
        <f t="shared" si="20"/>
        <v>139648.4375</v>
      </c>
      <c r="U87" s="404"/>
      <c r="V87" s="476" t="str">
        <f t="shared" si="12"/>
        <v>Low</v>
      </c>
      <c r="W87" s="476" t="str">
        <f t="shared" si="13"/>
        <v>Low</v>
      </c>
      <c r="X87" s="477" t="str">
        <f t="shared" si="14"/>
        <v>Dog</v>
      </c>
      <c r="Y87" s="374"/>
      <c r="Z87" s="571"/>
      <c r="AA87" s="366"/>
      <c r="AB87" s="503"/>
      <c r="AC87" s="366"/>
      <c r="AD87" s="366"/>
      <c r="AE87" s="366"/>
      <c r="AF87" s="366"/>
      <c r="AG87" s="366"/>
      <c r="AH87" s="366"/>
      <c r="AI87" s="366"/>
      <c r="AJ87" s="366"/>
      <c r="AK87" s="375"/>
      <c r="AL87" s="376"/>
      <c r="AM87" s="138"/>
      <c r="AN87" s="138"/>
    </row>
    <row r="88" spans="1:40" ht="14.25" customHeight="1" x14ac:dyDescent="0.3">
      <c r="A88" s="366"/>
      <c r="B88" s="495"/>
      <c r="C88" s="495"/>
      <c r="D88" s="495"/>
      <c r="E88" s="468"/>
      <c r="F88" s="507"/>
      <c r="G88" s="494"/>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76"/>
      <c r="AN88" s="76"/>
    </row>
    <row r="89" spans="1:40" ht="17.25" customHeight="1" x14ac:dyDescent="0.3">
      <c r="A89" s="453"/>
      <c r="B89" s="479" t="s">
        <v>481</v>
      </c>
      <c r="C89" s="484" t="s">
        <v>482</v>
      </c>
      <c r="D89" s="484"/>
      <c r="E89" s="484"/>
      <c r="F89" s="484"/>
      <c r="G89" s="489"/>
      <c r="H89" s="489"/>
      <c r="I89" s="490">
        <f>SUBTOTAL(9,I90:I94)</f>
        <v>157</v>
      </c>
      <c r="J89" s="484"/>
      <c r="K89" s="480">
        <f>SUBTOTAL(9,K90:K94)</f>
        <v>5100974.028390822</v>
      </c>
      <c r="L89" s="480">
        <f>SUBTOTAL(9,L90:L94)</f>
        <v>15893000</v>
      </c>
      <c r="M89" s="480">
        <f>SUBTOTAL(9,M90:M94)</f>
        <v>10792025.971609179</v>
      </c>
      <c r="N89" s="491">
        <f t="shared" ref="N89:N94" si="53">K89/L89</f>
        <v>0.32095727857489598</v>
      </c>
      <c r="O89" s="486">
        <f t="shared" ref="O89:P94" si="54">L89/L$10</f>
        <v>2.6214911803225688E-2</v>
      </c>
      <c r="P89" s="486">
        <f t="shared" si="54"/>
        <v>2.705649183110646E-2</v>
      </c>
      <c r="Q89" s="486">
        <f t="shared" ref="Q89:Q94" si="55">I89/I$10</f>
        <v>2.9899066844410589E-2</v>
      </c>
      <c r="R89" s="487">
        <f t="shared" ref="R89:R94" si="56">I89/$K$5*100</f>
        <v>10.201429499675113</v>
      </c>
      <c r="S89" s="487">
        <f t="shared" si="19"/>
        <v>30.664062499999996</v>
      </c>
      <c r="T89" s="487">
        <f t="shared" si="20"/>
        <v>0</v>
      </c>
      <c r="U89" s="404"/>
      <c r="V89" s="476" t="str">
        <f t="shared" si="12"/>
        <v>High</v>
      </c>
      <c r="W89" s="476" t="str">
        <f t="shared" si="13"/>
        <v>High</v>
      </c>
      <c r="X89" s="477" t="str">
        <f t="shared" si="14"/>
        <v>Star</v>
      </c>
      <c r="AA89" s="366"/>
      <c r="AB89" s="503"/>
      <c r="AC89" s="366"/>
      <c r="AD89" s="366"/>
      <c r="AE89" s="366"/>
      <c r="AF89" s="366"/>
      <c r="AG89" s="366"/>
      <c r="AH89" s="366"/>
      <c r="AI89" s="366"/>
      <c r="AJ89" s="366"/>
      <c r="AM89" s="76"/>
      <c r="AN89" s="76"/>
    </row>
    <row r="90" spans="1:40" ht="17.25" customHeight="1" x14ac:dyDescent="0.3">
      <c r="A90" s="366">
        <f t="shared" si="47"/>
        <v>1</v>
      </c>
      <c r="B90" s="508" t="s">
        <v>633</v>
      </c>
      <c r="C90" s="365" t="s">
        <v>681</v>
      </c>
      <c r="D90" s="365"/>
      <c r="E90" s="468" t="s">
        <v>437</v>
      </c>
      <c r="F90" s="581">
        <v>31981.576923076922</v>
      </c>
      <c r="G90" s="470">
        <v>100944.44444444444</v>
      </c>
      <c r="H90" s="494">
        <f t="shared" ref="H90:H94" si="57">G90-F90</f>
        <v>68962.867521367516</v>
      </c>
      <c r="I90" s="471">
        <v>36</v>
      </c>
      <c r="J90" s="424"/>
      <c r="K90" s="495">
        <f t="shared" ref="K90:K94" si="58">I90*F90</f>
        <v>1151336.7692307692</v>
      </c>
      <c r="L90" s="495">
        <f t="shared" ref="L90:L94" si="59">I90*G90</f>
        <v>3634000</v>
      </c>
      <c r="M90" s="495">
        <f t="shared" ref="M90:M94" si="60">L90-K90</f>
        <v>2482663.230769231</v>
      </c>
      <c r="N90" s="496">
        <f t="shared" si="53"/>
        <v>0.31682354684391006</v>
      </c>
      <c r="O90" s="497">
        <f t="shared" si="54"/>
        <v>5.9941477060921258E-3</v>
      </c>
      <c r="P90" s="497">
        <f t="shared" si="54"/>
        <v>6.2242397858759185E-3</v>
      </c>
      <c r="Q90" s="497">
        <f t="shared" si="55"/>
        <v>6.8558369834317272E-3</v>
      </c>
      <c r="R90" s="498">
        <f t="shared" si="56"/>
        <v>2.3391812865497075</v>
      </c>
      <c r="S90" s="545">
        <f t="shared" si="19"/>
        <v>7.03125</v>
      </c>
      <c r="T90" s="546">
        <f t="shared" si="20"/>
        <v>709765.625</v>
      </c>
      <c r="U90" s="404"/>
      <c r="V90" s="476" t="str">
        <f t="shared" si="12"/>
        <v>High</v>
      </c>
      <c r="W90" s="476" t="str">
        <f t="shared" si="13"/>
        <v>Low</v>
      </c>
      <c r="X90" s="477" t="str">
        <f t="shared" si="14"/>
        <v>Horse</v>
      </c>
      <c r="AA90" s="366"/>
      <c r="AB90" s="503"/>
      <c r="AC90" s="366"/>
      <c r="AD90" s="366"/>
      <c r="AE90" s="366"/>
      <c r="AF90" s="366"/>
      <c r="AG90" s="366"/>
      <c r="AH90" s="366"/>
      <c r="AI90" s="366"/>
      <c r="AJ90" s="366"/>
      <c r="AM90" s="76"/>
      <c r="AN90" s="76"/>
    </row>
    <row r="91" spans="1:40" ht="17.25" customHeight="1" x14ac:dyDescent="0.3">
      <c r="A91" s="366">
        <f t="shared" si="47"/>
        <v>2</v>
      </c>
      <c r="B91" s="508" t="s">
        <v>634</v>
      </c>
      <c r="C91" s="365" t="s">
        <v>682</v>
      </c>
      <c r="D91" s="365"/>
      <c r="E91" s="468" t="s">
        <v>437</v>
      </c>
      <c r="F91" s="581">
        <v>26306.400000000001</v>
      </c>
      <c r="G91" s="470">
        <v>102437.5</v>
      </c>
      <c r="H91" s="494">
        <f t="shared" si="57"/>
        <v>76131.100000000006</v>
      </c>
      <c r="I91" s="471">
        <v>32</v>
      </c>
      <c r="J91" s="424"/>
      <c r="K91" s="495">
        <f t="shared" si="58"/>
        <v>841804.80000000005</v>
      </c>
      <c r="L91" s="495">
        <f t="shared" si="59"/>
        <v>3278000</v>
      </c>
      <c r="M91" s="495">
        <f t="shared" si="60"/>
        <v>2436195.2000000002</v>
      </c>
      <c r="N91" s="496">
        <f t="shared" si="53"/>
        <v>0.25680439292251372</v>
      </c>
      <c r="O91" s="497">
        <f t="shared" si="54"/>
        <v>5.4069389599807347E-3</v>
      </c>
      <c r="P91" s="497">
        <f t="shared" si="54"/>
        <v>6.1077406319429307E-3</v>
      </c>
      <c r="Q91" s="497">
        <f t="shared" si="55"/>
        <v>6.09407731860598E-3</v>
      </c>
      <c r="R91" s="498">
        <f t="shared" si="56"/>
        <v>2.0792722547108511</v>
      </c>
      <c r="S91" s="545">
        <f t="shared" si="19"/>
        <v>6.25</v>
      </c>
      <c r="T91" s="546">
        <f t="shared" si="20"/>
        <v>640234.375</v>
      </c>
      <c r="U91" s="404"/>
      <c r="V91" s="476" t="str">
        <f t="shared" si="12"/>
        <v>High</v>
      </c>
      <c r="W91" s="476" t="str">
        <f t="shared" si="13"/>
        <v>Low</v>
      </c>
      <c r="X91" s="477" t="str">
        <f t="shared" si="14"/>
        <v>Horse</v>
      </c>
      <c r="AA91" s="366"/>
      <c r="AB91" s="503"/>
      <c r="AC91" s="366"/>
      <c r="AD91" s="366"/>
      <c r="AE91" s="366"/>
      <c r="AF91" s="366"/>
      <c r="AG91" s="366"/>
      <c r="AH91" s="366"/>
      <c r="AI91" s="366"/>
      <c r="AJ91" s="366"/>
      <c r="AM91" s="76"/>
      <c r="AN91" s="76"/>
    </row>
    <row r="92" spans="1:40" ht="17.25" customHeight="1" x14ac:dyDescent="0.3">
      <c r="A92" s="366">
        <f t="shared" si="47"/>
        <v>3</v>
      </c>
      <c r="B92" s="508" t="s">
        <v>635</v>
      </c>
      <c r="C92" s="365" t="s">
        <v>683</v>
      </c>
      <c r="D92" s="365"/>
      <c r="E92" s="468" t="s">
        <v>437</v>
      </c>
      <c r="F92" s="581">
        <v>27343.09375</v>
      </c>
      <c r="G92" s="470">
        <v>101000</v>
      </c>
      <c r="H92" s="494">
        <f t="shared" si="57"/>
        <v>73656.90625</v>
      </c>
      <c r="I92" s="471">
        <v>15</v>
      </c>
      <c r="J92" s="424"/>
      <c r="K92" s="495">
        <f t="shared" si="58"/>
        <v>410146.40625</v>
      </c>
      <c r="L92" s="495">
        <f t="shared" si="59"/>
        <v>1515000</v>
      </c>
      <c r="M92" s="495">
        <f t="shared" si="60"/>
        <v>1104853.59375</v>
      </c>
      <c r="N92" s="496">
        <f t="shared" si="53"/>
        <v>0.27072370049504951</v>
      </c>
      <c r="O92" s="497">
        <f t="shared" si="54"/>
        <v>2.4989360965133657E-3</v>
      </c>
      <c r="P92" s="497">
        <f t="shared" si="54"/>
        <v>2.7699583296506959E-3</v>
      </c>
      <c r="Q92" s="497">
        <f t="shared" si="55"/>
        <v>2.8565987430965532E-3</v>
      </c>
      <c r="R92" s="498">
        <f t="shared" si="56"/>
        <v>0.97465886939571145</v>
      </c>
      <c r="S92" s="545">
        <f t="shared" si="19"/>
        <v>2.9296875</v>
      </c>
      <c r="T92" s="546">
        <f t="shared" si="20"/>
        <v>295898.4375</v>
      </c>
      <c r="U92" s="404"/>
      <c r="V92" s="476" t="str">
        <f t="shared" si="12"/>
        <v>High</v>
      </c>
      <c r="W92" s="476" t="str">
        <f t="shared" si="13"/>
        <v>Low</v>
      </c>
      <c r="X92" s="477" t="str">
        <f t="shared" si="14"/>
        <v>Horse</v>
      </c>
      <c r="AA92" s="366"/>
      <c r="AB92" s="503"/>
      <c r="AC92" s="366"/>
      <c r="AD92" s="366"/>
      <c r="AE92" s="366"/>
      <c r="AF92" s="366"/>
      <c r="AG92" s="366"/>
      <c r="AH92" s="366"/>
      <c r="AI92" s="366"/>
      <c r="AJ92" s="366"/>
      <c r="AM92" s="76"/>
      <c r="AN92" s="76"/>
    </row>
    <row r="93" spans="1:40" ht="17.25" customHeight="1" x14ac:dyDescent="0.3">
      <c r="A93" s="366">
        <f t="shared" si="47"/>
        <v>4</v>
      </c>
      <c r="B93" s="508" t="s">
        <v>636</v>
      </c>
      <c r="C93" s="365" t="s">
        <v>684</v>
      </c>
      <c r="D93" s="365"/>
      <c r="E93" s="468" t="s">
        <v>437</v>
      </c>
      <c r="F93" s="581">
        <v>36718.285714285717</v>
      </c>
      <c r="G93" s="470">
        <v>101000</v>
      </c>
      <c r="H93" s="494">
        <f t="shared" si="57"/>
        <v>64281.714285714283</v>
      </c>
      <c r="I93" s="471">
        <v>30</v>
      </c>
      <c r="J93" s="424"/>
      <c r="K93" s="495">
        <f t="shared" si="58"/>
        <v>1101548.5714285716</v>
      </c>
      <c r="L93" s="495">
        <f t="shared" si="59"/>
        <v>3030000</v>
      </c>
      <c r="M93" s="495">
        <f t="shared" si="60"/>
        <v>1928451.4285714284</v>
      </c>
      <c r="N93" s="496">
        <f t="shared" si="53"/>
        <v>0.36354738330975961</v>
      </c>
      <c r="O93" s="497">
        <f t="shared" si="54"/>
        <v>4.9978721930267313E-3</v>
      </c>
      <c r="P93" s="497">
        <f t="shared" si="54"/>
        <v>4.8347854667040238E-3</v>
      </c>
      <c r="Q93" s="497">
        <f t="shared" si="55"/>
        <v>5.7131974861931063E-3</v>
      </c>
      <c r="R93" s="498">
        <f t="shared" si="56"/>
        <v>1.9493177387914229</v>
      </c>
      <c r="S93" s="545">
        <f t="shared" si="19"/>
        <v>5.859375</v>
      </c>
      <c r="T93" s="546">
        <f t="shared" si="20"/>
        <v>591796.875</v>
      </c>
      <c r="U93" s="404"/>
      <c r="V93" s="476" t="str">
        <f t="shared" si="12"/>
        <v>High</v>
      </c>
      <c r="W93" s="476" t="str">
        <f t="shared" si="13"/>
        <v>Low</v>
      </c>
      <c r="X93" s="477" t="str">
        <f t="shared" si="14"/>
        <v>Horse</v>
      </c>
      <c r="AA93" s="366"/>
      <c r="AB93" s="503"/>
      <c r="AC93" s="366"/>
      <c r="AD93" s="366"/>
      <c r="AE93" s="366"/>
      <c r="AF93" s="366"/>
      <c r="AG93" s="366"/>
      <c r="AH93" s="366"/>
      <c r="AI93" s="366"/>
      <c r="AJ93" s="366"/>
      <c r="AM93" s="76"/>
      <c r="AN93" s="76"/>
    </row>
    <row r="94" spans="1:40" ht="17.25" customHeight="1" x14ac:dyDescent="0.3">
      <c r="A94" s="366">
        <f t="shared" si="47"/>
        <v>5</v>
      </c>
      <c r="B94" s="508" t="s">
        <v>637</v>
      </c>
      <c r="C94" s="365" t="s">
        <v>580</v>
      </c>
      <c r="D94" s="365"/>
      <c r="E94" s="468" t="s">
        <v>437</v>
      </c>
      <c r="F94" s="581">
        <v>36275.851851851854</v>
      </c>
      <c r="G94" s="470">
        <v>100818.18181818182</v>
      </c>
      <c r="H94" s="494">
        <f t="shared" si="57"/>
        <v>64542.329966329969</v>
      </c>
      <c r="I94" s="471">
        <v>44</v>
      </c>
      <c r="J94" s="424"/>
      <c r="K94" s="495">
        <f t="shared" si="58"/>
        <v>1596137.4814814816</v>
      </c>
      <c r="L94" s="495">
        <f t="shared" si="59"/>
        <v>4436000</v>
      </c>
      <c r="M94" s="495">
        <f t="shared" si="60"/>
        <v>2839862.5185185187</v>
      </c>
      <c r="N94" s="496">
        <f t="shared" si="53"/>
        <v>0.35981458103730424</v>
      </c>
      <c r="O94" s="497">
        <f t="shared" si="54"/>
        <v>7.3170168476127326E-3</v>
      </c>
      <c r="P94" s="497">
        <f t="shared" si="54"/>
        <v>7.1197676169328875E-3</v>
      </c>
      <c r="Q94" s="497">
        <f t="shared" si="55"/>
        <v>8.3793563130832218E-3</v>
      </c>
      <c r="R94" s="498">
        <f t="shared" si="56"/>
        <v>2.8589993502274202</v>
      </c>
      <c r="S94" s="545">
        <f t="shared" si="19"/>
        <v>8.59375</v>
      </c>
      <c r="T94" s="546">
        <f t="shared" si="20"/>
        <v>866406.25</v>
      </c>
      <c r="U94" s="404"/>
      <c r="V94" s="476" t="str">
        <f t="shared" si="12"/>
        <v>High</v>
      </c>
      <c r="W94" s="476" t="str">
        <f t="shared" si="13"/>
        <v>Low</v>
      </c>
      <c r="X94" s="477" t="str">
        <f t="shared" si="14"/>
        <v>Horse</v>
      </c>
      <c r="AA94" s="366"/>
      <c r="AB94" s="503"/>
      <c r="AC94" s="366"/>
      <c r="AD94" s="366"/>
      <c r="AE94" s="366"/>
      <c r="AF94" s="366"/>
      <c r="AG94" s="366"/>
      <c r="AH94" s="366"/>
      <c r="AI94" s="366"/>
      <c r="AJ94" s="366"/>
      <c r="AM94" s="76"/>
      <c r="AN94" s="76"/>
    </row>
    <row r="95" spans="1:40" ht="17.25" customHeight="1" x14ac:dyDescent="0.3">
      <c r="A95" s="366"/>
      <c r="B95" s="508"/>
      <c r="C95" s="365"/>
      <c r="D95" s="365"/>
      <c r="E95" s="468"/>
      <c r="F95" s="581"/>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76"/>
      <c r="AN95" s="76"/>
    </row>
    <row r="96" spans="1:40" ht="17.25" customHeight="1" x14ac:dyDescent="0.3">
      <c r="A96" s="453"/>
      <c r="B96" s="331" t="s">
        <v>483</v>
      </c>
      <c r="C96" s="332" t="s">
        <v>465</v>
      </c>
      <c r="D96" s="484"/>
      <c r="E96" s="484"/>
      <c r="F96" s="490"/>
      <c r="G96" s="489"/>
      <c r="H96" s="489"/>
      <c r="I96" s="489">
        <f>SUBTOTAL(9,I97:I103)</f>
        <v>161</v>
      </c>
      <c r="J96" s="484"/>
      <c r="K96" s="480">
        <f>SUBTOTAL(9,K97:K103)</f>
        <v>6773594.3283963576</v>
      </c>
      <c r="L96" s="480">
        <f>SUBTOTAL(9,L97:L103)</f>
        <v>20855000</v>
      </c>
      <c r="M96" s="480">
        <f>SUBTOTAL(9,M97:M103)</f>
        <v>14081405.671603642</v>
      </c>
      <c r="N96" s="491">
        <f t="shared" ref="N96:N102" si="61">K96/L96</f>
        <v>0.32479474123214375</v>
      </c>
      <c r="O96" s="486">
        <f t="shared" ref="O96:P102" si="62">L96/L$10</f>
        <v>3.4399546067845704E-2</v>
      </c>
      <c r="P96" s="486">
        <f t="shared" si="62"/>
        <v>3.5303235789695832E-2</v>
      </c>
      <c r="Q96" s="486">
        <f t="shared" ref="Q96:Q102" si="63">I96/I$10</f>
        <v>3.0660826509236336E-2</v>
      </c>
      <c r="R96" s="487">
        <f t="shared" ref="R96:R102" si="64">I96/$K$5*100</f>
        <v>10.46133853151397</v>
      </c>
      <c r="S96" s="487">
        <f t="shared" si="19"/>
        <v>31.4453125</v>
      </c>
      <c r="T96" s="487">
        <f t="shared" si="20"/>
        <v>0</v>
      </c>
      <c r="U96" s="404"/>
      <c r="V96" s="476" t="str">
        <f t="shared" si="12"/>
        <v>High</v>
      </c>
      <c r="W96" s="476" t="str">
        <f t="shared" si="13"/>
        <v>High</v>
      </c>
      <c r="X96" s="477" t="str">
        <f t="shared" si="14"/>
        <v>Star</v>
      </c>
      <c r="AA96" s="366"/>
      <c r="AB96" s="503"/>
      <c r="AC96" s="366"/>
      <c r="AD96" s="366"/>
      <c r="AE96" s="366"/>
      <c r="AF96" s="366"/>
      <c r="AG96" s="366"/>
      <c r="AH96" s="366"/>
      <c r="AI96" s="366"/>
      <c r="AJ96" s="366"/>
      <c r="AM96" s="76"/>
      <c r="AN96" s="76"/>
    </row>
    <row r="97" spans="1:40" ht="17.25" customHeight="1" x14ac:dyDescent="0.3">
      <c r="A97" s="366">
        <f t="shared" ref="A97" si="65">A96+1</f>
        <v>1</v>
      </c>
      <c r="B97" s="276" t="s">
        <v>504</v>
      </c>
      <c r="C97" s="365" t="s">
        <v>539</v>
      </c>
      <c r="D97" s="365"/>
      <c r="E97" s="468" t="s">
        <v>437</v>
      </c>
      <c r="F97" s="581">
        <v>36394.523809523809</v>
      </c>
      <c r="G97" s="470">
        <v>93193.548387096773</v>
      </c>
      <c r="H97" s="494">
        <f t="shared" ref="H97:H102" si="66">G97-F97</f>
        <v>56799.024577572964</v>
      </c>
      <c r="I97" s="471">
        <v>31</v>
      </c>
      <c r="J97" s="424"/>
      <c r="K97" s="495">
        <f t="shared" ref="K97:K102" si="67">I97*F97</f>
        <v>1128230.2380952381</v>
      </c>
      <c r="L97" s="495">
        <f t="shared" ref="L97:L102" si="68">I97*G97</f>
        <v>2889000</v>
      </c>
      <c r="M97" s="495">
        <f t="shared" ref="M97:M102" si="69">L97-K97</f>
        <v>1760769.7619047619</v>
      </c>
      <c r="N97" s="496">
        <f t="shared" si="61"/>
        <v>0.39052621602465842</v>
      </c>
      <c r="O97" s="497">
        <f t="shared" si="62"/>
        <v>4.7652979424601411E-3</v>
      </c>
      <c r="P97" s="497">
        <f t="shared" si="62"/>
        <v>4.4143938130582448E-3</v>
      </c>
      <c r="Q97" s="497">
        <f t="shared" si="63"/>
        <v>5.9036374023995431E-3</v>
      </c>
      <c r="R97" s="498">
        <f t="shared" si="64"/>
        <v>2.0142949967511372</v>
      </c>
      <c r="S97" s="545">
        <f t="shared" si="19"/>
        <v>6.0546875</v>
      </c>
      <c r="T97" s="546">
        <f t="shared" si="20"/>
        <v>564257.8125</v>
      </c>
      <c r="U97" s="404"/>
      <c r="V97" s="476" t="str">
        <f t="shared" si="12"/>
        <v>High</v>
      </c>
      <c r="W97" s="476" t="str">
        <f t="shared" si="13"/>
        <v>Low</v>
      </c>
      <c r="X97" s="477" t="str">
        <f t="shared" si="14"/>
        <v>Horse</v>
      </c>
      <c r="AA97" s="366"/>
      <c r="AB97" s="503"/>
      <c r="AC97" s="366"/>
      <c r="AD97" s="366"/>
      <c r="AE97" s="366"/>
      <c r="AF97" s="366"/>
      <c r="AG97" s="366"/>
      <c r="AH97" s="366"/>
      <c r="AI97" s="366"/>
      <c r="AJ97" s="366"/>
      <c r="AM97" s="76"/>
      <c r="AN97" s="76"/>
    </row>
    <row r="98" spans="1:40" ht="17.25" customHeight="1" x14ac:dyDescent="0.3">
      <c r="A98" s="366">
        <f>A97+1</f>
        <v>2</v>
      </c>
      <c r="B98" s="276" t="s">
        <v>505</v>
      </c>
      <c r="C98" s="365" t="s">
        <v>540</v>
      </c>
      <c r="D98" s="365"/>
      <c r="E98" s="468" t="s">
        <v>437</v>
      </c>
      <c r="F98" s="581">
        <v>32997.03125</v>
      </c>
      <c r="G98" s="470">
        <v>105868.42105263157</v>
      </c>
      <c r="H98" s="494">
        <f t="shared" si="66"/>
        <v>72871.389802631573</v>
      </c>
      <c r="I98" s="471">
        <v>38</v>
      </c>
      <c r="J98" s="424"/>
      <c r="K98" s="495">
        <f t="shared" si="67"/>
        <v>1253887.1875</v>
      </c>
      <c r="L98" s="495">
        <f t="shared" si="68"/>
        <v>4023000</v>
      </c>
      <c r="M98" s="495">
        <f t="shared" si="69"/>
        <v>2769112.8125</v>
      </c>
      <c r="N98" s="496">
        <f t="shared" si="61"/>
        <v>0.31167963895103157</v>
      </c>
      <c r="O98" s="497">
        <f t="shared" si="62"/>
        <v>6.6357887236127193E-3</v>
      </c>
      <c r="P98" s="497">
        <f t="shared" si="62"/>
        <v>6.9423923170606429E-3</v>
      </c>
      <c r="Q98" s="497">
        <f t="shared" si="63"/>
        <v>7.2367168158446009E-3</v>
      </c>
      <c r="R98" s="498">
        <f t="shared" si="64"/>
        <v>2.4691358024691357</v>
      </c>
      <c r="S98" s="545">
        <f t="shared" si="19"/>
        <v>7.421875</v>
      </c>
      <c r="T98" s="546">
        <f t="shared" si="20"/>
        <v>785742.1875</v>
      </c>
      <c r="U98" s="404"/>
      <c r="V98" s="476" t="str">
        <f t="shared" si="12"/>
        <v>High</v>
      </c>
      <c r="W98" s="476" t="str">
        <f t="shared" si="13"/>
        <v>Low</v>
      </c>
      <c r="X98" s="477" t="str">
        <f t="shared" si="14"/>
        <v>Horse</v>
      </c>
      <c r="AA98" s="366"/>
      <c r="AB98" s="503"/>
      <c r="AC98" s="366"/>
      <c r="AD98" s="366"/>
      <c r="AE98" s="366"/>
      <c r="AF98" s="366"/>
      <c r="AG98" s="366"/>
      <c r="AH98" s="366"/>
      <c r="AI98" s="366"/>
      <c r="AJ98" s="366"/>
      <c r="AM98" s="76"/>
      <c r="AN98" s="76"/>
    </row>
    <row r="99" spans="1:40" ht="17.25" customHeight="1" x14ac:dyDescent="0.3">
      <c r="A99" s="366">
        <f t="shared" ref="A99:A101" si="70">A98+1</f>
        <v>3</v>
      </c>
      <c r="B99" s="276" t="s">
        <v>506</v>
      </c>
      <c r="C99" s="365" t="s">
        <v>541</v>
      </c>
      <c r="D99" s="365"/>
      <c r="E99" s="468" t="s">
        <v>437</v>
      </c>
      <c r="F99" s="581">
        <v>66322.7</v>
      </c>
      <c r="G99" s="470">
        <v>178272.72727272726</v>
      </c>
      <c r="H99" s="494">
        <f t="shared" si="66"/>
        <v>111950.02727272727</v>
      </c>
      <c r="I99" s="471">
        <v>22</v>
      </c>
      <c r="J99" s="424"/>
      <c r="K99" s="495">
        <f t="shared" si="67"/>
        <v>1459099.4</v>
      </c>
      <c r="L99" s="495">
        <f t="shared" si="68"/>
        <v>3922000</v>
      </c>
      <c r="M99" s="495">
        <f t="shared" si="69"/>
        <v>2462900.6</v>
      </c>
      <c r="N99" s="496">
        <f t="shared" si="61"/>
        <v>0.37202942376338599</v>
      </c>
      <c r="O99" s="497">
        <f t="shared" si="62"/>
        <v>6.4691929838451619E-3</v>
      </c>
      <c r="P99" s="497">
        <f t="shared" si="62"/>
        <v>6.1746932540777616E-3</v>
      </c>
      <c r="Q99" s="497">
        <f t="shared" si="63"/>
        <v>4.1896781565416109E-3</v>
      </c>
      <c r="R99" s="498">
        <f t="shared" si="64"/>
        <v>1.4294996751137101</v>
      </c>
      <c r="S99" s="545">
        <f t="shared" si="19"/>
        <v>4.296875</v>
      </c>
      <c r="T99" s="546">
        <f t="shared" si="20"/>
        <v>766015.625</v>
      </c>
      <c r="U99" s="404"/>
      <c r="V99" s="476" t="str">
        <f t="shared" si="12"/>
        <v>High</v>
      </c>
      <c r="W99" s="476" t="str">
        <f t="shared" si="13"/>
        <v>Low</v>
      </c>
      <c r="X99" s="477" t="str">
        <f t="shared" si="14"/>
        <v>Horse</v>
      </c>
      <c r="AA99" s="366"/>
      <c r="AB99" s="503"/>
      <c r="AC99" s="366"/>
      <c r="AD99" s="366"/>
      <c r="AE99" s="366"/>
      <c r="AF99" s="366"/>
      <c r="AG99" s="366"/>
      <c r="AH99" s="366"/>
      <c r="AI99" s="366"/>
      <c r="AJ99" s="366"/>
      <c r="AM99" s="76"/>
      <c r="AN99" s="76"/>
    </row>
    <row r="100" spans="1:40" ht="17.25" customHeight="1" x14ac:dyDescent="0.3">
      <c r="A100" s="366">
        <f>A99+1</f>
        <v>4</v>
      </c>
      <c r="B100" s="467" t="s">
        <v>561</v>
      </c>
      <c r="C100" s="365" t="s">
        <v>564</v>
      </c>
      <c r="D100" s="365"/>
      <c r="E100" s="468" t="s">
        <v>437</v>
      </c>
      <c r="F100" s="581">
        <v>32499.533333333333</v>
      </c>
      <c r="G100" s="470">
        <v>137800</v>
      </c>
      <c r="H100" s="494">
        <f t="shared" si="66"/>
        <v>105300.46666666667</v>
      </c>
      <c r="I100" s="471">
        <v>20</v>
      </c>
      <c r="J100" s="424"/>
      <c r="K100" s="495">
        <f t="shared" si="67"/>
        <v>649990.66666666663</v>
      </c>
      <c r="L100" s="495">
        <f t="shared" si="68"/>
        <v>2756000</v>
      </c>
      <c r="M100" s="495">
        <f t="shared" si="69"/>
        <v>2106009.3333333335</v>
      </c>
      <c r="N100" s="496">
        <f t="shared" si="61"/>
        <v>0.23584567005321722</v>
      </c>
      <c r="O100" s="497">
        <f t="shared" si="62"/>
        <v>4.5459193940533566E-3</v>
      </c>
      <c r="P100" s="497">
        <f t="shared" si="62"/>
        <v>5.2799376570691232E-3</v>
      </c>
      <c r="Q100" s="497">
        <f t="shared" si="63"/>
        <v>3.8087983241287373E-3</v>
      </c>
      <c r="R100" s="498">
        <f t="shared" si="64"/>
        <v>1.2995451591942819</v>
      </c>
      <c r="S100" s="545">
        <f t="shared" si="19"/>
        <v>3.90625</v>
      </c>
      <c r="T100" s="546">
        <f t="shared" si="20"/>
        <v>538281.25</v>
      </c>
      <c r="U100" s="404"/>
      <c r="V100" s="476" t="str">
        <f t="shared" si="12"/>
        <v>High</v>
      </c>
      <c r="W100" s="476" t="str">
        <f t="shared" si="13"/>
        <v>Low</v>
      </c>
      <c r="X100" s="477" t="str">
        <f t="shared" si="14"/>
        <v>Horse</v>
      </c>
      <c r="AA100" s="366"/>
      <c r="AB100" s="503"/>
      <c r="AC100" s="366"/>
      <c r="AD100" s="366"/>
      <c r="AE100" s="366"/>
      <c r="AF100" s="366"/>
      <c r="AG100" s="366"/>
      <c r="AH100" s="366"/>
      <c r="AI100" s="366"/>
      <c r="AJ100" s="366"/>
      <c r="AM100" s="76"/>
      <c r="AN100" s="76"/>
    </row>
    <row r="101" spans="1:40" ht="17.25" customHeight="1" x14ac:dyDescent="0.3">
      <c r="A101" s="366">
        <f t="shared" si="70"/>
        <v>5</v>
      </c>
      <c r="B101" s="467" t="s">
        <v>573</v>
      </c>
      <c r="C101" s="365" t="s">
        <v>581</v>
      </c>
      <c r="D101" s="365"/>
      <c r="E101" s="468" t="s">
        <v>437</v>
      </c>
      <c r="F101" s="581">
        <v>52762.823529411762</v>
      </c>
      <c r="G101" s="470">
        <v>170625</v>
      </c>
      <c r="H101" s="494">
        <f t="shared" si="66"/>
        <v>117862.17647058824</v>
      </c>
      <c r="I101" s="471">
        <v>24</v>
      </c>
      <c r="J101" s="424"/>
      <c r="K101" s="495">
        <f t="shared" si="67"/>
        <v>1266307.7647058824</v>
      </c>
      <c r="L101" s="495">
        <f t="shared" si="68"/>
        <v>4095000</v>
      </c>
      <c r="M101" s="495">
        <f t="shared" si="69"/>
        <v>2828692.2352941176</v>
      </c>
      <c r="N101" s="496">
        <f t="shared" si="61"/>
        <v>0.30923266537384186</v>
      </c>
      <c r="O101" s="497">
        <f t="shared" si="62"/>
        <v>6.7545500430509784E-3</v>
      </c>
      <c r="P101" s="497">
        <f t="shared" si="62"/>
        <v>7.0917628032299528E-3</v>
      </c>
      <c r="Q101" s="497">
        <f t="shared" si="63"/>
        <v>4.5705579889544845E-3</v>
      </c>
      <c r="R101" s="498">
        <f t="shared" si="64"/>
        <v>1.5594541910331383</v>
      </c>
      <c r="S101" s="545">
        <f t="shared" si="19"/>
        <v>4.6875</v>
      </c>
      <c r="T101" s="546">
        <f t="shared" si="20"/>
        <v>799804.6875</v>
      </c>
      <c r="U101" s="404"/>
      <c r="V101" s="476" t="str">
        <f t="shared" si="12"/>
        <v>High</v>
      </c>
      <c r="W101" s="476" t="str">
        <f t="shared" si="13"/>
        <v>Low</v>
      </c>
      <c r="X101" s="477" t="str">
        <f t="shared" si="14"/>
        <v>Horse</v>
      </c>
      <c r="AA101" s="366"/>
      <c r="AB101" s="503"/>
      <c r="AC101" s="366"/>
      <c r="AD101" s="366"/>
      <c r="AE101" s="366"/>
      <c r="AF101" s="366"/>
      <c r="AG101" s="366"/>
      <c r="AH101" s="366"/>
      <c r="AI101" s="366"/>
      <c r="AJ101" s="366"/>
      <c r="AM101" s="76"/>
      <c r="AN101" s="76"/>
    </row>
    <row r="102" spans="1:40" ht="17.25" customHeight="1" x14ac:dyDescent="0.3">
      <c r="A102" s="366">
        <f>A101+1</f>
        <v>6</v>
      </c>
      <c r="B102" s="467" t="s">
        <v>638</v>
      </c>
      <c r="C102" s="365" t="s">
        <v>685</v>
      </c>
      <c r="D102" s="365"/>
      <c r="E102" s="468" t="s">
        <v>437</v>
      </c>
      <c r="F102" s="581">
        <v>39079.964285714283</v>
      </c>
      <c r="G102" s="470">
        <v>121923.07692307692</v>
      </c>
      <c r="H102" s="494">
        <f t="shared" si="66"/>
        <v>82843.112637362647</v>
      </c>
      <c r="I102" s="471">
        <v>26</v>
      </c>
      <c r="J102" s="424"/>
      <c r="K102" s="495">
        <f t="shared" si="67"/>
        <v>1016079.0714285714</v>
      </c>
      <c r="L102" s="495">
        <f t="shared" si="68"/>
        <v>3170000</v>
      </c>
      <c r="M102" s="495">
        <f t="shared" si="69"/>
        <v>2153920.9285714286</v>
      </c>
      <c r="N102" s="496">
        <f t="shared" si="61"/>
        <v>0.32052967552951778</v>
      </c>
      <c r="O102" s="497">
        <f t="shared" si="62"/>
        <v>5.2287969808233461E-3</v>
      </c>
      <c r="P102" s="497">
        <f t="shared" si="62"/>
        <v>5.4000559452001056E-3</v>
      </c>
      <c r="Q102" s="497">
        <f t="shared" si="63"/>
        <v>4.9514378213673582E-3</v>
      </c>
      <c r="R102" s="498">
        <f t="shared" si="64"/>
        <v>1.6894087069525665</v>
      </c>
      <c r="S102" s="545">
        <f t="shared" si="19"/>
        <v>5.078125</v>
      </c>
      <c r="T102" s="546">
        <f t="shared" si="20"/>
        <v>619140.625</v>
      </c>
      <c r="U102" s="404"/>
      <c r="V102" s="476" t="str">
        <f t="shared" si="12"/>
        <v>High</v>
      </c>
      <c r="W102" s="476" t="str">
        <f t="shared" si="13"/>
        <v>Low</v>
      </c>
      <c r="X102" s="477" t="str">
        <f t="shared" si="14"/>
        <v>Horse</v>
      </c>
      <c r="AA102" s="366"/>
      <c r="AB102" s="503"/>
      <c r="AC102" s="366"/>
      <c r="AD102" s="366"/>
      <c r="AE102" s="366"/>
      <c r="AF102" s="366"/>
      <c r="AG102" s="366"/>
      <c r="AH102" s="366"/>
      <c r="AI102" s="366"/>
      <c r="AJ102" s="366"/>
      <c r="AM102" s="76"/>
      <c r="AN102" s="76"/>
    </row>
    <row r="103" spans="1:40" ht="17.25" customHeight="1" x14ac:dyDescent="0.3">
      <c r="A103" s="366"/>
      <c r="B103" s="467"/>
      <c r="C103" s="365"/>
      <c r="D103" s="495"/>
      <c r="E103" s="468"/>
      <c r="F103" s="478"/>
      <c r="G103" s="470"/>
      <c r="H103" s="494"/>
      <c r="I103" s="471"/>
      <c r="J103" s="424"/>
      <c r="K103" s="495"/>
      <c r="L103" s="495"/>
      <c r="M103" s="495"/>
      <c r="N103" s="496"/>
      <c r="O103" s="497"/>
      <c r="P103" s="497"/>
      <c r="Q103" s="497"/>
      <c r="R103" s="498"/>
      <c r="S103" s="545">
        <f t="shared" si="19"/>
        <v>0</v>
      </c>
      <c r="T103" s="546">
        <f t="shared" si="20"/>
        <v>0</v>
      </c>
      <c r="U103" s="404"/>
      <c r="V103" s="476" t="str">
        <f t="shared" si="12"/>
        <v/>
      </c>
      <c r="W103" s="476" t="str">
        <f t="shared" si="13"/>
        <v/>
      </c>
      <c r="X103" s="477" t="str">
        <f t="shared" si="14"/>
        <v/>
      </c>
      <c r="AA103" s="366"/>
      <c r="AB103" s="503"/>
      <c r="AC103" s="366"/>
      <c r="AD103" s="366"/>
      <c r="AE103" s="366"/>
      <c r="AF103" s="366"/>
      <c r="AG103" s="366"/>
      <c r="AH103" s="366"/>
      <c r="AI103" s="366"/>
      <c r="AJ103" s="366"/>
      <c r="AM103" s="76"/>
      <c r="AN103" s="76"/>
    </row>
    <row r="104" spans="1:40" ht="17.25" customHeight="1" x14ac:dyDescent="0.3">
      <c r="A104" s="453"/>
      <c r="B104" s="479" t="s">
        <v>484</v>
      </c>
      <c r="C104" s="479" t="s">
        <v>485</v>
      </c>
      <c r="D104" s="484"/>
      <c r="E104" s="484"/>
      <c r="F104" s="490"/>
      <c r="G104" s="489"/>
      <c r="H104" s="489"/>
      <c r="I104" s="490">
        <f>SUBTOTAL(9,I105:I114)</f>
        <v>341</v>
      </c>
      <c r="J104" s="484"/>
      <c r="K104" s="480">
        <f>SUBTOTAL(9,K105:K114)</f>
        <v>6169912.207123355</v>
      </c>
      <c r="L104" s="480">
        <f>SUBTOTAL(9,L105:L114)</f>
        <v>25478000</v>
      </c>
      <c r="M104" s="480">
        <f>SUBTOTAL(9,M105:M114)</f>
        <v>19308087.79287665</v>
      </c>
      <c r="N104" s="491">
        <f t="shared" ref="N104:N120" si="71">K104/L104</f>
        <v>0.24216626921749568</v>
      </c>
      <c r="O104" s="486">
        <f t="shared" ref="O104:P120" si="72">L104/L$10</f>
        <v>4.2025012453443915E-2</v>
      </c>
      <c r="P104" s="486">
        <f t="shared" si="72"/>
        <v>4.8406955377661862E-2</v>
      </c>
      <c r="Q104" s="486">
        <f t="shared" ref="Q104:Q120" si="73">I104/I$10</f>
        <v>6.4940011426394967E-2</v>
      </c>
      <c r="R104" s="487">
        <f t="shared" ref="R104:R120" si="74">I104/$K$5*100</f>
        <v>22.157244964262507</v>
      </c>
      <c r="S104" s="487">
        <f t="shared" si="19"/>
        <v>66.6015625</v>
      </c>
      <c r="T104" s="487">
        <f t="shared" si="20"/>
        <v>0</v>
      </c>
      <c r="U104" s="404"/>
      <c r="V104" s="476" t="str">
        <f t="shared" si="12"/>
        <v>High</v>
      </c>
      <c r="W104" s="476" t="str">
        <f t="shared" si="13"/>
        <v>High</v>
      </c>
      <c r="X104" s="477" t="str">
        <f t="shared" si="14"/>
        <v>Star</v>
      </c>
      <c r="AA104" s="366"/>
      <c r="AB104" s="503"/>
      <c r="AC104" s="366"/>
      <c r="AD104" s="366"/>
      <c r="AE104" s="366"/>
      <c r="AF104" s="366"/>
      <c r="AG104" s="366"/>
      <c r="AH104" s="366"/>
      <c r="AI104" s="366"/>
      <c r="AJ104" s="366"/>
      <c r="AM104" s="76"/>
      <c r="AN104" s="76"/>
    </row>
    <row r="105" spans="1:40" ht="17.25" customHeight="1" x14ac:dyDescent="0.3">
      <c r="A105" s="366">
        <f t="shared" ref="A105" si="75">A104+1</f>
        <v>1</v>
      </c>
      <c r="B105" s="590" t="s">
        <v>507</v>
      </c>
      <c r="C105" s="365" t="s">
        <v>542</v>
      </c>
      <c r="D105" s="365"/>
      <c r="E105" s="468" t="s">
        <v>437</v>
      </c>
      <c r="F105" s="581">
        <v>38048.475609756097</v>
      </c>
      <c r="G105" s="470">
        <v>123225.80645161291</v>
      </c>
      <c r="H105" s="494">
        <f t="shared" ref="H105:H113" si="76">G105-F105</f>
        <v>85177.330841856805</v>
      </c>
      <c r="I105" s="471">
        <v>62</v>
      </c>
      <c r="J105" s="424"/>
      <c r="K105" s="495">
        <f t="shared" ref="K105:K113" si="77">I105*F105</f>
        <v>2359005.487804878</v>
      </c>
      <c r="L105" s="495">
        <f t="shared" ref="L105:L113" si="78">I105*G105</f>
        <v>7640000</v>
      </c>
      <c r="M105" s="495">
        <f t="shared" ref="M105:M113" si="79">L105-K105</f>
        <v>5280994.5121951215</v>
      </c>
      <c r="N105" s="496">
        <f t="shared" si="71"/>
        <v>0.30877035180692119</v>
      </c>
      <c r="O105" s="497">
        <f t="shared" si="72"/>
        <v>1.2601895562615257E-2</v>
      </c>
      <c r="P105" s="497">
        <f t="shared" si="72"/>
        <v>1.3239885194421933E-2</v>
      </c>
      <c r="Q105" s="497">
        <f t="shared" si="73"/>
        <v>1.1807274804799086E-2</v>
      </c>
      <c r="R105" s="498">
        <f t="shared" si="74"/>
        <v>4.0285899935022744</v>
      </c>
      <c r="S105" s="545">
        <f t="shared" si="19"/>
        <v>12.109375</v>
      </c>
      <c r="T105" s="546">
        <f t="shared" si="20"/>
        <v>1492187.5</v>
      </c>
      <c r="U105" s="404"/>
      <c r="V105" s="476" t="str">
        <f t="shared" si="12"/>
        <v>High</v>
      </c>
      <c r="W105" s="476" t="str">
        <f t="shared" si="13"/>
        <v>Low</v>
      </c>
      <c r="X105" s="477" t="str">
        <f t="shared" si="14"/>
        <v>Horse</v>
      </c>
      <c r="AA105" s="366"/>
      <c r="AB105" s="503"/>
      <c r="AC105" s="366"/>
      <c r="AD105" s="366"/>
      <c r="AE105" s="366"/>
      <c r="AF105" s="366"/>
      <c r="AG105" s="366"/>
      <c r="AH105" s="366"/>
      <c r="AI105" s="366"/>
      <c r="AJ105" s="366"/>
      <c r="AM105" s="76"/>
      <c r="AN105" s="76"/>
    </row>
    <row r="106" spans="1:40" ht="17.25" customHeight="1" x14ac:dyDescent="0.3">
      <c r="A106" s="366">
        <f>A105+1</f>
        <v>2</v>
      </c>
      <c r="B106" s="590" t="s">
        <v>639</v>
      </c>
      <c r="C106" s="365" t="s">
        <v>686</v>
      </c>
      <c r="D106" s="365"/>
      <c r="E106" s="468" t="s">
        <v>437</v>
      </c>
      <c r="F106" s="581">
        <v>14735.742857142857</v>
      </c>
      <c r="G106" s="470">
        <v>126238.09523809524</v>
      </c>
      <c r="H106" s="494">
        <f t="shared" si="76"/>
        <v>111502.35238095238</v>
      </c>
      <c r="I106" s="471">
        <v>21</v>
      </c>
      <c r="J106" s="424"/>
      <c r="K106" s="495">
        <f t="shared" si="77"/>
        <v>309450.59999999998</v>
      </c>
      <c r="L106" s="495">
        <f t="shared" si="78"/>
        <v>2651000</v>
      </c>
      <c r="M106" s="495">
        <f t="shared" si="79"/>
        <v>2341549.4</v>
      </c>
      <c r="N106" s="496">
        <f t="shared" si="71"/>
        <v>0.11672976235382873</v>
      </c>
      <c r="O106" s="497">
        <f t="shared" si="72"/>
        <v>4.3727258032058959E-3</v>
      </c>
      <c r="P106" s="497">
        <f t="shared" si="72"/>
        <v>5.8704558699079574E-3</v>
      </c>
      <c r="Q106" s="497">
        <f t="shared" si="73"/>
        <v>3.9992382403351741E-3</v>
      </c>
      <c r="R106" s="498">
        <f t="shared" si="74"/>
        <v>1.364522417153996</v>
      </c>
      <c r="S106" s="545">
        <f t="shared" si="19"/>
        <v>4.1015625</v>
      </c>
      <c r="T106" s="546">
        <f t="shared" si="20"/>
        <v>517773.4375</v>
      </c>
      <c r="U106" s="404"/>
      <c r="V106" s="476" t="str">
        <f t="shared" si="12"/>
        <v>High</v>
      </c>
      <c r="W106" s="476" t="str">
        <f t="shared" si="13"/>
        <v>Low</v>
      </c>
      <c r="X106" s="477" t="str">
        <f t="shared" si="14"/>
        <v>Horse</v>
      </c>
      <c r="Y106" s="488"/>
      <c r="AA106" s="366"/>
      <c r="AB106" s="503"/>
      <c r="AC106" s="366"/>
      <c r="AD106" s="366"/>
      <c r="AE106" s="366"/>
      <c r="AF106" s="366"/>
      <c r="AG106" s="366"/>
      <c r="AH106" s="366"/>
      <c r="AI106" s="366"/>
      <c r="AJ106" s="366"/>
      <c r="AM106" s="76"/>
      <c r="AN106" s="76"/>
    </row>
    <row r="107" spans="1:40" ht="17.25" customHeight="1" x14ac:dyDescent="0.3">
      <c r="A107" s="366">
        <f t="shared" ref="A107:A113" si="80">A106+1</f>
        <v>3</v>
      </c>
      <c r="B107" s="590" t="s">
        <v>740</v>
      </c>
      <c r="C107" s="365" t="s">
        <v>51</v>
      </c>
      <c r="D107" s="495"/>
      <c r="E107" s="468" t="s">
        <v>437</v>
      </c>
      <c r="F107" s="581"/>
      <c r="G107" s="470">
        <v>50000</v>
      </c>
      <c r="H107" s="494">
        <f t="shared" si="76"/>
        <v>50000</v>
      </c>
      <c r="I107" s="471">
        <v>0</v>
      </c>
      <c r="J107" s="424"/>
      <c r="K107" s="495">
        <f t="shared" si="77"/>
        <v>0</v>
      </c>
      <c r="L107" s="495">
        <f t="shared" si="78"/>
        <v>0</v>
      </c>
      <c r="M107" s="495">
        <f t="shared" si="79"/>
        <v>0</v>
      </c>
      <c r="N107" s="496" t="e">
        <f t="shared" si="71"/>
        <v>#DIV/0!</v>
      </c>
      <c r="O107" s="497">
        <f t="shared" si="72"/>
        <v>0</v>
      </c>
      <c r="P107" s="497">
        <f t="shared" si="72"/>
        <v>0</v>
      </c>
      <c r="Q107" s="497">
        <f t="shared" si="73"/>
        <v>0</v>
      </c>
      <c r="R107" s="498">
        <f t="shared" si="74"/>
        <v>0</v>
      </c>
      <c r="S107" s="545">
        <f t="shared" si="19"/>
        <v>0</v>
      </c>
      <c r="T107" s="546">
        <f t="shared" si="20"/>
        <v>0</v>
      </c>
      <c r="U107" s="404"/>
      <c r="V107" s="476" t="str">
        <f t="shared" si="12"/>
        <v>Low</v>
      </c>
      <c r="W107" s="476" t="str">
        <f t="shared" si="13"/>
        <v>Low</v>
      </c>
      <c r="X107" s="477" t="str">
        <f t="shared" si="14"/>
        <v>Dog</v>
      </c>
      <c r="Y107" s="488"/>
      <c r="AA107" s="366"/>
      <c r="AB107" s="503"/>
      <c r="AC107" s="366"/>
      <c r="AD107" s="366"/>
      <c r="AE107" s="366"/>
      <c r="AF107" s="366"/>
      <c r="AG107" s="366"/>
      <c r="AH107" s="366"/>
      <c r="AI107" s="366"/>
      <c r="AJ107" s="366"/>
      <c r="AM107" s="76"/>
      <c r="AN107" s="76"/>
    </row>
    <row r="108" spans="1:40" ht="17.25" customHeight="1" x14ac:dyDescent="0.3">
      <c r="A108" s="366">
        <f t="shared" si="80"/>
        <v>4</v>
      </c>
      <c r="B108" s="590" t="s">
        <v>741</v>
      </c>
      <c r="C108" s="365" t="s">
        <v>746</v>
      </c>
      <c r="D108" s="495"/>
      <c r="E108" s="468" t="s">
        <v>437</v>
      </c>
      <c r="F108" s="581"/>
      <c r="G108" s="470">
        <v>40000</v>
      </c>
      <c r="H108" s="494">
        <f t="shared" si="76"/>
        <v>40000</v>
      </c>
      <c r="I108" s="471">
        <v>0</v>
      </c>
      <c r="J108" s="424"/>
      <c r="K108" s="495">
        <f t="shared" si="77"/>
        <v>0</v>
      </c>
      <c r="L108" s="495">
        <f t="shared" si="78"/>
        <v>0</v>
      </c>
      <c r="M108" s="495">
        <f t="shared" si="79"/>
        <v>0</v>
      </c>
      <c r="N108" s="496" t="e">
        <f t="shared" si="71"/>
        <v>#DIV/0!</v>
      </c>
      <c r="O108" s="497">
        <f t="shared" si="72"/>
        <v>0</v>
      </c>
      <c r="P108" s="497">
        <f t="shared" si="72"/>
        <v>0</v>
      </c>
      <c r="Q108" s="497">
        <f t="shared" si="73"/>
        <v>0</v>
      </c>
      <c r="R108" s="498">
        <f t="shared" si="74"/>
        <v>0</v>
      </c>
      <c r="S108" s="545">
        <f t="shared" si="19"/>
        <v>0</v>
      </c>
      <c r="T108" s="546">
        <f t="shared" si="20"/>
        <v>0</v>
      </c>
      <c r="U108" s="404"/>
      <c r="V108" s="476" t="str">
        <f t="shared" si="12"/>
        <v>Low</v>
      </c>
      <c r="W108" s="476" t="str">
        <f t="shared" si="13"/>
        <v>Low</v>
      </c>
      <c r="X108" s="477" t="str">
        <f t="shared" si="14"/>
        <v>Dog</v>
      </c>
      <c r="Y108" s="488"/>
      <c r="AA108" s="366"/>
      <c r="AB108" s="503"/>
      <c r="AC108" s="366"/>
      <c r="AD108" s="366"/>
      <c r="AE108" s="366"/>
      <c r="AF108" s="366"/>
      <c r="AG108" s="366"/>
      <c r="AH108" s="366"/>
      <c r="AI108" s="366"/>
      <c r="AJ108" s="366"/>
      <c r="AM108" s="76"/>
      <c r="AN108" s="76"/>
    </row>
    <row r="109" spans="1:40" ht="17.25" customHeight="1" x14ac:dyDescent="0.3">
      <c r="A109" s="366">
        <f t="shared" si="80"/>
        <v>5</v>
      </c>
      <c r="B109" s="590" t="s">
        <v>508</v>
      </c>
      <c r="C109" s="365" t="s">
        <v>58</v>
      </c>
      <c r="D109" s="495"/>
      <c r="E109" s="468" t="s">
        <v>437</v>
      </c>
      <c r="F109" s="581">
        <v>4832.4516129032254</v>
      </c>
      <c r="G109" s="470">
        <v>15274.509803921568</v>
      </c>
      <c r="H109" s="494">
        <f t="shared" si="76"/>
        <v>10442.058191018343</v>
      </c>
      <c r="I109" s="471">
        <v>153</v>
      </c>
      <c r="J109" s="424"/>
      <c r="K109" s="495">
        <f t="shared" si="77"/>
        <v>739365.09677419346</v>
      </c>
      <c r="L109" s="495">
        <f t="shared" si="78"/>
        <v>2337000</v>
      </c>
      <c r="M109" s="495">
        <f t="shared" si="79"/>
        <v>1597634.9032258065</v>
      </c>
      <c r="N109" s="496">
        <f t="shared" si="71"/>
        <v>0.3163735972504037</v>
      </c>
      <c r="O109" s="497">
        <f t="shared" si="72"/>
        <v>3.8547944934334889E-3</v>
      </c>
      <c r="P109" s="497">
        <f t="shared" si="72"/>
        <v>4.0054013789381374E-3</v>
      </c>
      <c r="Q109" s="497">
        <f t="shared" si="73"/>
        <v>2.9137307179584841E-2</v>
      </c>
      <c r="R109" s="498">
        <f t="shared" si="74"/>
        <v>9.9415204678362574</v>
      </c>
      <c r="S109" s="545">
        <f t="shared" si="19"/>
        <v>29.8828125</v>
      </c>
      <c r="T109" s="546">
        <f t="shared" si="20"/>
        <v>456445.3125</v>
      </c>
      <c r="U109" s="404"/>
      <c r="V109" s="476" t="str">
        <f t="shared" si="12"/>
        <v>High</v>
      </c>
      <c r="W109" s="476" t="str">
        <f t="shared" si="13"/>
        <v>Low</v>
      </c>
      <c r="X109" s="477" t="str">
        <f t="shared" si="14"/>
        <v>Horse</v>
      </c>
      <c r="Y109" s="488"/>
      <c r="AA109" s="366"/>
      <c r="AB109" s="503"/>
      <c r="AC109" s="366"/>
      <c r="AD109" s="366"/>
      <c r="AE109" s="366"/>
      <c r="AF109" s="366"/>
      <c r="AG109" s="366"/>
      <c r="AH109" s="366"/>
      <c r="AI109" s="366"/>
      <c r="AJ109" s="366"/>
      <c r="AM109" s="76"/>
      <c r="AN109" s="76"/>
    </row>
    <row r="110" spans="1:40" ht="17.25" customHeight="1" x14ac:dyDescent="0.3">
      <c r="A110" s="366">
        <f t="shared" si="80"/>
        <v>6</v>
      </c>
      <c r="B110" s="590" t="s">
        <v>562</v>
      </c>
      <c r="C110" s="365" t="s">
        <v>565</v>
      </c>
      <c r="D110" s="495"/>
      <c r="E110" s="468" t="s">
        <v>437</v>
      </c>
      <c r="F110" s="581">
        <v>28716.82608695652</v>
      </c>
      <c r="G110" s="470">
        <v>132253.52112676058</v>
      </c>
      <c r="H110" s="494">
        <f t="shared" si="76"/>
        <v>103536.69503980406</v>
      </c>
      <c r="I110" s="471">
        <v>71</v>
      </c>
      <c r="J110" s="424"/>
      <c r="K110" s="495">
        <f t="shared" si="77"/>
        <v>2038894.6521739129</v>
      </c>
      <c r="L110" s="495">
        <f t="shared" si="78"/>
        <v>9390000.0000000019</v>
      </c>
      <c r="M110" s="495">
        <f t="shared" si="79"/>
        <v>7351105.3478260888</v>
      </c>
      <c r="N110" s="496">
        <f t="shared" si="71"/>
        <v>0.21713468074269568</v>
      </c>
      <c r="O110" s="497">
        <f t="shared" si="72"/>
        <v>1.5488455410072943E-2</v>
      </c>
      <c r="P110" s="497">
        <f t="shared" si="72"/>
        <v>1.8429822381478451E-2</v>
      </c>
      <c r="Q110" s="497">
        <f t="shared" si="73"/>
        <v>1.3521234050657019E-2</v>
      </c>
      <c r="R110" s="498">
        <f t="shared" si="74"/>
        <v>4.6133853151397011</v>
      </c>
      <c r="S110" s="545">
        <f t="shared" si="19"/>
        <v>13.8671875</v>
      </c>
      <c r="T110" s="546">
        <f t="shared" si="20"/>
        <v>1833984.3750000002</v>
      </c>
      <c r="U110" s="404"/>
      <c r="V110" s="476" t="str">
        <f t="shared" si="12"/>
        <v>High</v>
      </c>
      <c r="W110" s="476" t="str">
        <f t="shared" si="13"/>
        <v>Low</v>
      </c>
      <c r="X110" s="477" t="str">
        <f t="shared" si="14"/>
        <v>Horse</v>
      </c>
      <c r="Y110" s="488"/>
      <c r="AA110" s="366"/>
      <c r="AB110" s="503"/>
      <c r="AC110" s="366"/>
      <c r="AD110" s="366"/>
      <c r="AE110" s="366"/>
      <c r="AF110" s="366"/>
      <c r="AG110" s="366"/>
      <c r="AH110" s="366"/>
      <c r="AI110" s="366"/>
      <c r="AJ110" s="366"/>
      <c r="AM110" s="76"/>
      <c r="AN110" s="76"/>
    </row>
    <row r="111" spans="1:40" ht="17.25" customHeight="1" x14ac:dyDescent="0.3">
      <c r="A111" s="366">
        <f t="shared" si="80"/>
        <v>7</v>
      </c>
      <c r="B111" s="590" t="s">
        <v>742</v>
      </c>
      <c r="C111" s="365" t="s">
        <v>747</v>
      </c>
      <c r="D111" s="495"/>
      <c r="E111" s="468" t="s">
        <v>437</v>
      </c>
      <c r="F111" s="581"/>
      <c r="G111" s="470">
        <v>100000</v>
      </c>
      <c r="H111" s="494">
        <f t="shared" si="76"/>
        <v>100000</v>
      </c>
      <c r="I111" s="471">
        <v>0</v>
      </c>
      <c r="J111" s="424"/>
      <c r="K111" s="495">
        <f t="shared" si="77"/>
        <v>0</v>
      </c>
      <c r="L111" s="495">
        <f t="shared" si="78"/>
        <v>0</v>
      </c>
      <c r="M111" s="495">
        <f t="shared" si="79"/>
        <v>0</v>
      </c>
      <c r="N111" s="496" t="e">
        <f t="shared" si="71"/>
        <v>#DIV/0!</v>
      </c>
      <c r="O111" s="497">
        <f t="shared" si="72"/>
        <v>0</v>
      </c>
      <c r="P111" s="497">
        <f t="shared" si="72"/>
        <v>0</v>
      </c>
      <c r="Q111" s="497">
        <f t="shared" si="73"/>
        <v>0</v>
      </c>
      <c r="R111" s="498">
        <f t="shared" si="74"/>
        <v>0</v>
      </c>
      <c r="S111" s="545">
        <f t="shared" si="19"/>
        <v>0</v>
      </c>
      <c r="T111" s="546">
        <f t="shared" si="20"/>
        <v>0</v>
      </c>
      <c r="U111" s="404"/>
      <c r="V111" s="476" t="str">
        <f t="shared" si="12"/>
        <v>Low</v>
      </c>
      <c r="W111" s="476" t="str">
        <f t="shared" si="13"/>
        <v>Low</v>
      </c>
      <c r="X111" s="477" t="str">
        <f t="shared" si="14"/>
        <v>Dog</v>
      </c>
      <c r="Y111" s="488"/>
      <c r="AA111" s="366"/>
      <c r="AB111" s="503"/>
      <c r="AC111" s="366"/>
      <c r="AD111" s="366"/>
      <c r="AE111" s="366"/>
      <c r="AF111" s="366"/>
      <c r="AG111" s="366"/>
      <c r="AH111" s="366"/>
      <c r="AI111" s="366"/>
      <c r="AJ111" s="366"/>
      <c r="AM111" s="76"/>
      <c r="AN111" s="76"/>
    </row>
    <row r="112" spans="1:40" ht="17.25" customHeight="1" x14ac:dyDescent="0.3">
      <c r="A112" s="366">
        <f t="shared" si="80"/>
        <v>8</v>
      </c>
      <c r="B112" s="590" t="s">
        <v>563</v>
      </c>
      <c r="C112" s="365" t="s">
        <v>566</v>
      </c>
      <c r="D112" s="495"/>
      <c r="E112" s="468" t="s">
        <v>437</v>
      </c>
      <c r="F112" s="581">
        <v>21270.481481481482</v>
      </c>
      <c r="G112" s="470">
        <v>101764.70588235294</v>
      </c>
      <c r="H112" s="494">
        <f t="shared" si="76"/>
        <v>80494.224400871462</v>
      </c>
      <c r="I112" s="471">
        <v>34</v>
      </c>
      <c r="J112" s="424"/>
      <c r="K112" s="495">
        <f t="shared" si="77"/>
        <v>723196.37037037034</v>
      </c>
      <c r="L112" s="495">
        <f t="shared" si="78"/>
        <v>3460000</v>
      </c>
      <c r="M112" s="495">
        <f t="shared" si="79"/>
        <v>2736803.6296296297</v>
      </c>
      <c r="N112" s="496">
        <f t="shared" si="71"/>
        <v>0.2090162920145579</v>
      </c>
      <c r="O112" s="497">
        <f t="shared" si="72"/>
        <v>5.7071411841163331E-3</v>
      </c>
      <c r="P112" s="497">
        <f t="shared" si="72"/>
        <v>6.8613905529153743E-3</v>
      </c>
      <c r="Q112" s="497">
        <f t="shared" si="73"/>
        <v>6.4749571510188536E-3</v>
      </c>
      <c r="R112" s="498">
        <f t="shared" si="74"/>
        <v>2.2092267706302793</v>
      </c>
      <c r="S112" s="545">
        <f t="shared" si="19"/>
        <v>6.640625</v>
      </c>
      <c r="T112" s="546">
        <f t="shared" si="20"/>
        <v>675781.25</v>
      </c>
      <c r="U112" s="404"/>
      <c r="V112" s="476" t="str">
        <f t="shared" si="12"/>
        <v>High</v>
      </c>
      <c r="W112" s="476" t="str">
        <f t="shared" si="13"/>
        <v>Low</v>
      </c>
      <c r="X112" s="477" t="str">
        <f t="shared" si="14"/>
        <v>Horse</v>
      </c>
      <c r="Y112" s="488"/>
      <c r="AA112" s="366"/>
      <c r="AB112" s="503"/>
      <c r="AC112" s="366"/>
      <c r="AD112" s="366"/>
      <c r="AE112" s="366"/>
      <c r="AF112" s="366"/>
      <c r="AG112" s="366"/>
      <c r="AH112" s="366"/>
      <c r="AI112" s="366"/>
      <c r="AJ112" s="366"/>
      <c r="AM112" s="76"/>
      <c r="AN112" s="76"/>
    </row>
    <row r="113" spans="1:40" ht="17.25" customHeight="1" x14ac:dyDescent="0.3">
      <c r="A113" s="366">
        <f t="shared" si="80"/>
        <v>9</v>
      </c>
      <c r="B113" s="590" t="s">
        <v>743</v>
      </c>
      <c r="C113" s="365" t="s">
        <v>748</v>
      </c>
      <c r="D113" s="495"/>
      <c r="E113" s="468" t="s">
        <v>437</v>
      </c>
      <c r="F113" s="581"/>
      <c r="G113" s="470">
        <v>70000</v>
      </c>
      <c r="H113" s="494">
        <f t="shared" si="76"/>
        <v>70000</v>
      </c>
      <c r="I113" s="471">
        <v>0</v>
      </c>
      <c r="J113" s="424"/>
      <c r="K113" s="495">
        <f t="shared" si="77"/>
        <v>0</v>
      </c>
      <c r="L113" s="495">
        <f t="shared" si="78"/>
        <v>0</v>
      </c>
      <c r="M113" s="495">
        <f t="shared" si="79"/>
        <v>0</v>
      </c>
      <c r="N113" s="496" t="e">
        <f t="shared" si="71"/>
        <v>#DIV/0!</v>
      </c>
      <c r="O113" s="497">
        <f t="shared" si="72"/>
        <v>0</v>
      </c>
      <c r="P113" s="497">
        <f t="shared" si="72"/>
        <v>0</v>
      </c>
      <c r="Q113" s="497">
        <f t="shared" si="73"/>
        <v>0</v>
      </c>
      <c r="R113" s="498">
        <f t="shared" si="74"/>
        <v>0</v>
      </c>
      <c r="S113" s="545">
        <f t="shared" si="19"/>
        <v>0</v>
      </c>
      <c r="T113" s="546">
        <f t="shared" si="20"/>
        <v>0</v>
      </c>
      <c r="U113" s="404"/>
      <c r="V113" s="476" t="str">
        <f t="shared" si="12"/>
        <v>Low</v>
      </c>
      <c r="W113" s="476" t="str">
        <f t="shared" si="13"/>
        <v>Low</v>
      </c>
      <c r="X113" s="477" t="str">
        <f t="shared" si="14"/>
        <v>Dog</v>
      </c>
      <c r="Y113" s="488"/>
      <c r="AA113" s="366"/>
      <c r="AB113" s="503"/>
      <c r="AC113" s="366"/>
      <c r="AD113" s="366"/>
      <c r="AE113" s="366"/>
      <c r="AF113" s="366"/>
      <c r="AG113" s="366"/>
      <c r="AH113" s="366"/>
      <c r="AI113" s="366"/>
      <c r="AJ113" s="366"/>
      <c r="AM113" s="76"/>
      <c r="AN113" s="76"/>
    </row>
    <row r="114" spans="1:40" ht="17.25" customHeight="1" x14ac:dyDescent="0.3">
      <c r="A114" s="366"/>
      <c r="B114" s="590"/>
      <c r="C114" s="365"/>
      <c r="D114" s="495"/>
      <c r="E114" s="468"/>
      <c r="F114" s="581"/>
      <c r="G114" s="470"/>
      <c r="H114" s="494"/>
      <c r="I114" s="471"/>
      <c r="J114" s="424"/>
      <c r="K114" s="495"/>
      <c r="L114" s="495"/>
      <c r="M114" s="495"/>
      <c r="N114" s="496"/>
      <c r="O114" s="497"/>
      <c r="P114" s="497"/>
      <c r="Q114" s="497"/>
      <c r="R114" s="498"/>
      <c r="S114" s="545"/>
      <c r="T114" s="546"/>
      <c r="U114" s="404"/>
      <c r="V114" s="476"/>
      <c r="W114" s="476"/>
      <c r="X114" s="477"/>
      <c r="Y114" s="488"/>
      <c r="AA114" s="366"/>
      <c r="AB114" s="503"/>
      <c r="AC114" s="366"/>
      <c r="AD114" s="366"/>
      <c r="AE114" s="366"/>
      <c r="AF114" s="366"/>
      <c r="AG114" s="366"/>
      <c r="AH114" s="366"/>
      <c r="AI114" s="366"/>
      <c r="AJ114" s="366"/>
      <c r="AM114" s="76"/>
      <c r="AN114" s="76"/>
    </row>
    <row r="115" spans="1:40" ht="17.25" customHeight="1" x14ac:dyDescent="0.3">
      <c r="A115" s="453"/>
      <c r="B115" s="479" t="s">
        <v>559</v>
      </c>
      <c r="C115" s="484" t="s">
        <v>560</v>
      </c>
      <c r="D115" s="484"/>
      <c r="E115" s="484"/>
      <c r="F115" s="484"/>
      <c r="G115" s="489"/>
      <c r="H115" s="489"/>
      <c r="I115" s="490">
        <f>SUBTOTAL(9,I116:I121)</f>
        <v>392</v>
      </c>
      <c r="J115" s="484"/>
      <c r="K115" s="490">
        <f>SUBTOTAL(9,K116:K121)</f>
        <v>115853106.40501793</v>
      </c>
      <c r="L115" s="490">
        <f>SUBTOTAL(9,L116:L121)</f>
        <v>376200000</v>
      </c>
      <c r="M115" s="480">
        <f>SUBTOTAL(9,M116:M122)</f>
        <v>260346893.59498209</v>
      </c>
      <c r="N115" s="491">
        <f t="shared" si="71"/>
        <v>0.30795615737644316</v>
      </c>
      <c r="O115" s="486">
        <f t="shared" si="72"/>
        <v>0.62052789406490305</v>
      </c>
      <c r="P115" s="486">
        <f t="shared" si="72"/>
        <v>0.65271095699153947</v>
      </c>
      <c r="Q115" s="486">
        <f t="shared" si="73"/>
        <v>7.4652447152923254E-2</v>
      </c>
      <c r="R115" s="487">
        <f t="shared" si="74"/>
        <v>25.471085120207924</v>
      </c>
      <c r="S115" s="487">
        <f t="shared" ref="S115:S120" si="81">R115*T$5</f>
        <v>76.562499999999986</v>
      </c>
      <c r="T115" s="487">
        <f t="shared" ref="T115:T120" si="82">IFERROR(S115*G115,0)</f>
        <v>0</v>
      </c>
      <c r="U115" s="404"/>
      <c r="V115" s="476" t="str">
        <f t="shared" ref="V115:V120" si="83">IF(B115&lt;&gt;"",IFERROR(IF($I115&gt;=$X$10,"High","Low"),""),"")</f>
        <v>High</v>
      </c>
      <c r="W115" s="476" t="str">
        <f t="shared" ref="W115:W120" si="84">IF(B115&lt;&gt;"",IFERROR(IF($L115&gt;=$X$12,"High","Low"),""),"")</f>
        <v>High</v>
      </c>
      <c r="X115" s="477" t="str">
        <f t="shared" ref="X115:X120" si="85">IF(B115&lt;&gt;"",IFERROR(IF(AND(V115="high",W115="high"),"Star",IF(AND(V115="low",W115="high"),"Puzzle",(IF(AND(V115="high",W115="low"),"Horse","Dog")))),""),"")</f>
        <v>Star</v>
      </c>
      <c r="AA115" s="366"/>
      <c r="AB115" s="503"/>
      <c r="AC115" s="366"/>
      <c r="AD115" s="366"/>
      <c r="AE115" s="366"/>
      <c r="AF115" s="366"/>
      <c r="AG115" s="366"/>
      <c r="AH115" s="366"/>
      <c r="AI115" s="366"/>
      <c r="AJ115" s="366"/>
      <c r="AM115" s="76"/>
      <c r="AN115" s="76"/>
    </row>
    <row r="116" spans="1:40" ht="17.25" customHeight="1" x14ac:dyDescent="0.3">
      <c r="A116" s="366">
        <f t="shared" ref="A116:A118" si="86">A115+1</f>
        <v>1</v>
      </c>
      <c r="B116" s="508" t="s">
        <v>640</v>
      </c>
      <c r="C116" s="365" t="s">
        <v>687</v>
      </c>
      <c r="D116" s="365"/>
      <c r="E116" s="468" t="s">
        <v>437</v>
      </c>
      <c r="F116" s="581">
        <v>140521.15625</v>
      </c>
      <c r="G116" s="470">
        <v>523416.66666666669</v>
      </c>
      <c r="H116" s="494">
        <f t="shared" ref="H116:H120" si="87">G116-F116</f>
        <v>382895.51041666669</v>
      </c>
      <c r="I116" s="471">
        <v>36</v>
      </c>
      <c r="J116" s="424"/>
      <c r="K116" s="495">
        <f t="shared" ref="K116:K120" si="88">I116*F116</f>
        <v>5058761.625</v>
      </c>
      <c r="L116" s="495">
        <f t="shared" ref="L116:L120" si="89">I116*G116</f>
        <v>18843000</v>
      </c>
      <c r="M116" s="495">
        <f t="shared" ref="M116:M120" si="90">L116-K116</f>
        <v>13784238.375</v>
      </c>
      <c r="N116" s="496">
        <f t="shared" si="71"/>
        <v>0.26846901369208725</v>
      </c>
      <c r="O116" s="497">
        <f t="shared" si="72"/>
        <v>3.1080826974654356E-2</v>
      </c>
      <c r="P116" s="497">
        <f t="shared" si="72"/>
        <v>3.4558213070682714E-2</v>
      </c>
      <c r="Q116" s="497">
        <f t="shared" si="73"/>
        <v>6.8558369834317272E-3</v>
      </c>
      <c r="R116" s="498">
        <f t="shared" si="74"/>
        <v>2.3391812865497075</v>
      </c>
      <c r="S116" s="545">
        <f t="shared" si="81"/>
        <v>7.03125</v>
      </c>
      <c r="T116" s="546">
        <f t="shared" si="82"/>
        <v>3680273.4375</v>
      </c>
      <c r="U116" s="404"/>
      <c r="V116" s="476" t="str">
        <f t="shared" si="83"/>
        <v>High</v>
      </c>
      <c r="W116" s="476" t="str">
        <f t="shared" si="84"/>
        <v>High</v>
      </c>
      <c r="X116" s="477" t="str">
        <f t="shared" si="85"/>
        <v>Star</v>
      </c>
      <c r="AA116" s="366"/>
      <c r="AB116" s="503"/>
      <c r="AC116" s="366"/>
      <c r="AD116" s="366"/>
      <c r="AE116" s="366"/>
      <c r="AF116" s="366"/>
      <c r="AG116" s="366"/>
      <c r="AH116" s="366"/>
      <c r="AI116" s="366"/>
      <c r="AJ116" s="366"/>
      <c r="AM116" s="76"/>
      <c r="AN116" s="76"/>
    </row>
    <row r="117" spans="1:40" ht="17.25" customHeight="1" x14ac:dyDescent="0.3">
      <c r="A117" s="366">
        <f t="shared" si="86"/>
        <v>2</v>
      </c>
      <c r="B117" s="508" t="s">
        <v>641</v>
      </c>
      <c r="C117" s="365" t="s">
        <v>688</v>
      </c>
      <c r="D117" s="365"/>
      <c r="E117" s="468" t="s">
        <v>437</v>
      </c>
      <c r="F117" s="581">
        <v>233348.5</v>
      </c>
      <c r="G117" s="470">
        <v>660000</v>
      </c>
      <c r="H117" s="494">
        <f t="shared" si="87"/>
        <v>426651.5</v>
      </c>
      <c r="I117" s="471">
        <v>13</v>
      </c>
      <c r="J117" s="424"/>
      <c r="K117" s="495">
        <f t="shared" si="88"/>
        <v>3033530.5</v>
      </c>
      <c r="L117" s="495">
        <f t="shared" si="89"/>
        <v>8580000</v>
      </c>
      <c r="M117" s="495">
        <f t="shared" si="90"/>
        <v>5546469.5</v>
      </c>
      <c r="N117" s="496">
        <f t="shared" si="71"/>
        <v>0.35355833333333331</v>
      </c>
      <c r="O117" s="497">
        <f t="shared" si="72"/>
        <v>1.4152390566392526E-2</v>
      </c>
      <c r="P117" s="497">
        <f t="shared" si="72"/>
        <v>1.3905452703043742E-2</v>
      </c>
      <c r="Q117" s="497">
        <f t="shared" si="73"/>
        <v>2.4757189106836791E-3</v>
      </c>
      <c r="R117" s="498">
        <f t="shared" si="74"/>
        <v>0.84470435347628325</v>
      </c>
      <c r="S117" s="545">
        <f t="shared" si="81"/>
        <v>2.5390625</v>
      </c>
      <c r="T117" s="546">
        <f t="shared" si="82"/>
        <v>1675781.25</v>
      </c>
      <c r="U117" s="404"/>
      <c r="V117" s="476" t="str">
        <f t="shared" si="83"/>
        <v>High</v>
      </c>
      <c r="W117" s="476" t="str">
        <f t="shared" si="84"/>
        <v>Low</v>
      </c>
      <c r="X117" s="477" t="str">
        <f t="shared" si="85"/>
        <v>Horse</v>
      </c>
      <c r="AA117" s="366"/>
      <c r="AB117" s="503"/>
      <c r="AC117" s="366"/>
      <c r="AD117" s="366"/>
      <c r="AE117" s="366"/>
      <c r="AF117" s="366"/>
      <c r="AG117" s="366"/>
      <c r="AH117" s="366"/>
      <c r="AI117" s="366"/>
      <c r="AJ117" s="366"/>
      <c r="AM117" s="76"/>
      <c r="AN117" s="76"/>
    </row>
    <row r="118" spans="1:40" ht="17.25" customHeight="1" x14ac:dyDescent="0.3">
      <c r="A118" s="366">
        <f t="shared" si="86"/>
        <v>3</v>
      </c>
      <c r="B118" s="508" t="s">
        <v>642</v>
      </c>
      <c r="C118" s="365" t="s">
        <v>689</v>
      </c>
      <c r="D118" s="365"/>
      <c r="E118" s="468" t="s">
        <v>437</v>
      </c>
      <c r="F118" s="581">
        <v>457183.77777777775</v>
      </c>
      <c r="G118" s="470">
        <v>1450428.5714285714</v>
      </c>
      <c r="H118" s="494">
        <f t="shared" si="87"/>
        <v>993244.79365079361</v>
      </c>
      <c r="I118" s="471">
        <v>14</v>
      </c>
      <c r="J118" s="424"/>
      <c r="K118" s="495">
        <f t="shared" si="88"/>
        <v>6400572.8888888881</v>
      </c>
      <c r="L118" s="495">
        <f t="shared" si="89"/>
        <v>20306000</v>
      </c>
      <c r="M118" s="495">
        <f t="shared" si="90"/>
        <v>13905427.111111112</v>
      </c>
      <c r="N118" s="496">
        <f t="shared" si="71"/>
        <v>0.31520599275528849</v>
      </c>
      <c r="O118" s="497">
        <f t="shared" si="72"/>
        <v>3.3493991007128979E-2</v>
      </c>
      <c r="P118" s="497">
        <f t="shared" si="72"/>
        <v>3.4862043144594547E-2</v>
      </c>
      <c r="Q118" s="497">
        <f t="shared" si="73"/>
        <v>2.6661588268901163E-3</v>
      </c>
      <c r="R118" s="498">
        <f t="shared" si="74"/>
        <v>0.90968161143599735</v>
      </c>
      <c r="S118" s="545">
        <f t="shared" si="81"/>
        <v>2.734375</v>
      </c>
      <c r="T118" s="546">
        <f t="shared" si="82"/>
        <v>3966015.625</v>
      </c>
      <c r="U118" s="404"/>
      <c r="V118" s="476" t="str">
        <f t="shared" si="83"/>
        <v>High</v>
      </c>
      <c r="W118" s="476" t="str">
        <f t="shared" si="84"/>
        <v>High</v>
      </c>
      <c r="X118" s="477" t="str">
        <f t="shared" si="85"/>
        <v>Star</v>
      </c>
      <c r="AA118" s="366"/>
      <c r="AB118" s="503"/>
      <c r="AC118" s="366"/>
      <c r="AD118" s="366"/>
      <c r="AE118" s="366"/>
      <c r="AF118" s="366"/>
      <c r="AG118" s="366"/>
      <c r="AH118" s="366"/>
      <c r="AI118" s="366"/>
      <c r="AJ118" s="366"/>
      <c r="AM118" s="76"/>
      <c r="AN118" s="76"/>
    </row>
    <row r="119" spans="1:40" ht="17.25" customHeight="1" x14ac:dyDescent="0.3">
      <c r="A119" s="366">
        <f>A117+1</f>
        <v>3</v>
      </c>
      <c r="B119" s="508" t="s">
        <v>643</v>
      </c>
      <c r="C119" s="365" t="s">
        <v>690</v>
      </c>
      <c r="D119" s="365"/>
      <c r="E119" s="468" t="s">
        <v>437</v>
      </c>
      <c r="F119" s="581">
        <v>373014.26630434784</v>
      </c>
      <c r="G119" s="470">
        <v>1206453.4161490684</v>
      </c>
      <c r="H119" s="494">
        <f t="shared" si="87"/>
        <v>833439.14984472049</v>
      </c>
      <c r="I119" s="471">
        <v>161</v>
      </c>
      <c r="J119" s="424"/>
      <c r="K119" s="495">
        <f t="shared" si="88"/>
        <v>60055296.875</v>
      </c>
      <c r="L119" s="495">
        <f t="shared" si="89"/>
        <v>194239000</v>
      </c>
      <c r="M119" s="495">
        <f t="shared" si="90"/>
        <v>134183703.125</v>
      </c>
      <c r="N119" s="496">
        <f t="shared" si="71"/>
        <v>0.30918248588079633</v>
      </c>
      <c r="O119" s="497">
        <f t="shared" si="72"/>
        <v>0.32038999897733306</v>
      </c>
      <c r="P119" s="497">
        <f t="shared" si="72"/>
        <v>0.33640951912274109</v>
      </c>
      <c r="Q119" s="497">
        <f t="shared" si="73"/>
        <v>3.0660826509236336E-2</v>
      </c>
      <c r="R119" s="498">
        <f t="shared" si="74"/>
        <v>10.46133853151397</v>
      </c>
      <c r="S119" s="545">
        <f t="shared" si="81"/>
        <v>31.4453125</v>
      </c>
      <c r="T119" s="546">
        <f t="shared" si="82"/>
        <v>37937304.6875</v>
      </c>
      <c r="U119" s="404"/>
      <c r="V119" s="476" t="str">
        <f t="shared" si="83"/>
        <v>High</v>
      </c>
      <c r="W119" s="476" t="str">
        <f t="shared" si="84"/>
        <v>High</v>
      </c>
      <c r="X119" s="477" t="str">
        <f t="shared" si="85"/>
        <v>Star</v>
      </c>
      <c r="AA119" s="366"/>
      <c r="AB119" s="503"/>
      <c r="AC119" s="366"/>
      <c r="AD119" s="366"/>
      <c r="AE119" s="366"/>
      <c r="AF119" s="366"/>
      <c r="AG119" s="366"/>
      <c r="AH119" s="366"/>
      <c r="AI119" s="366"/>
      <c r="AJ119" s="366"/>
      <c r="AM119" s="76"/>
      <c r="AN119" s="76"/>
    </row>
    <row r="120" spans="1:40" ht="17.25" customHeight="1" x14ac:dyDescent="0.3">
      <c r="A120" s="366">
        <f>A118+1</f>
        <v>4</v>
      </c>
      <c r="B120" s="508" t="s">
        <v>700</v>
      </c>
      <c r="C120" s="365" t="s">
        <v>701</v>
      </c>
      <c r="D120" s="365"/>
      <c r="E120" s="468" t="s">
        <v>437</v>
      </c>
      <c r="F120" s="581">
        <v>245862.76497695851</v>
      </c>
      <c r="G120" s="470">
        <v>799000</v>
      </c>
      <c r="H120" s="494">
        <f t="shared" si="87"/>
        <v>553137.23502304149</v>
      </c>
      <c r="I120" s="471">
        <v>168</v>
      </c>
      <c r="J120" s="424"/>
      <c r="K120" s="495">
        <f t="shared" si="88"/>
        <v>41304944.516129032</v>
      </c>
      <c r="L120" s="495">
        <f t="shared" si="89"/>
        <v>134232000</v>
      </c>
      <c r="M120" s="495">
        <f t="shared" si="90"/>
        <v>92927055.483870968</v>
      </c>
      <c r="N120" s="496">
        <f t="shared" si="71"/>
        <v>0.30771309759318966</v>
      </c>
      <c r="O120" s="497">
        <f t="shared" si="72"/>
        <v>0.22141068653939411</v>
      </c>
      <c r="P120" s="497">
        <f t="shared" si="72"/>
        <v>0.2329757289504773</v>
      </c>
      <c r="Q120" s="497">
        <f t="shared" si="73"/>
        <v>3.1993905922681393E-2</v>
      </c>
      <c r="R120" s="498">
        <f t="shared" si="74"/>
        <v>10.916179337231968</v>
      </c>
      <c r="S120" s="545">
        <f t="shared" si="81"/>
        <v>32.8125</v>
      </c>
      <c r="T120" s="546">
        <f t="shared" si="82"/>
        <v>26217187.5</v>
      </c>
      <c r="U120" s="404"/>
      <c r="V120" s="476" t="str">
        <f t="shared" si="83"/>
        <v>High</v>
      </c>
      <c r="W120" s="476" t="str">
        <f t="shared" si="84"/>
        <v>High</v>
      </c>
      <c r="X120" s="477" t="str">
        <f t="shared" si="85"/>
        <v>Star</v>
      </c>
      <c r="AA120" s="366"/>
      <c r="AB120" s="503"/>
      <c r="AC120" s="366"/>
      <c r="AD120" s="366"/>
      <c r="AE120" s="366"/>
      <c r="AF120" s="366"/>
      <c r="AG120" s="366"/>
      <c r="AH120" s="366"/>
      <c r="AI120" s="366"/>
      <c r="AJ120" s="366"/>
      <c r="AM120" s="76"/>
      <c r="AN120" s="76"/>
    </row>
    <row r="121" spans="1:40" s="148" customFormat="1" ht="17.25" customHeight="1" x14ac:dyDescent="0.3">
      <c r="A121" s="366"/>
      <c r="B121" s="495"/>
      <c r="C121" s="495"/>
      <c r="D121" s="495"/>
      <c r="E121" s="468"/>
      <c r="F121" s="478"/>
      <c r="G121" s="494"/>
      <c r="H121" s="494"/>
      <c r="I121" s="471"/>
      <c r="J121" s="424"/>
      <c r="K121" s="495"/>
      <c r="L121" s="495"/>
      <c r="M121" s="495"/>
      <c r="N121" s="496"/>
      <c r="O121" s="497"/>
      <c r="P121" s="497"/>
      <c r="Q121" s="497"/>
      <c r="R121" s="498"/>
      <c r="S121" s="545">
        <f t="shared" si="19"/>
        <v>0</v>
      </c>
      <c r="T121" s="546">
        <f t="shared" si="20"/>
        <v>0</v>
      </c>
      <c r="U121" s="404"/>
      <c r="V121" s="476" t="str">
        <f t="shared" si="12"/>
        <v/>
      </c>
      <c r="W121" s="476" t="str">
        <f t="shared" si="13"/>
        <v/>
      </c>
      <c r="X121" s="477" t="str">
        <f t="shared" si="14"/>
        <v/>
      </c>
      <c r="Y121" s="374"/>
      <c r="Z121" s="571"/>
      <c r="AA121" s="453"/>
      <c r="AB121" s="504"/>
      <c r="AC121" s="453"/>
      <c r="AD121" s="453"/>
      <c r="AE121" s="453"/>
      <c r="AF121" s="453"/>
      <c r="AG121" s="453"/>
      <c r="AH121" s="453"/>
      <c r="AI121" s="453"/>
      <c r="AJ121" s="453"/>
      <c r="AK121" s="505"/>
      <c r="AL121" s="506"/>
      <c r="AM121" s="138"/>
      <c r="AN121" s="138"/>
    </row>
    <row r="122" spans="1:40" ht="17.25" customHeight="1" x14ac:dyDescent="0.3">
      <c r="A122" s="453"/>
      <c r="B122" s="510" t="s">
        <v>29</v>
      </c>
      <c r="C122" s="510"/>
      <c r="D122" s="510"/>
      <c r="E122" s="510"/>
      <c r="F122" s="510"/>
      <c r="G122" s="511"/>
      <c r="H122" s="511"/>
      <c r="I122" s="513">
        <f>SUBTOTAL(9,I124:I166)</f>
        <v>3072</v>
      </c>
      <c r="J122" s="514"/>
      <c r="K122" s="514">
        <f>SUBTOTAL(9,K124:K166)</f>
        <v>23455453.407498188</v>
      </c>
      <c r="L122" s="514">
        <f>SUBTOTAL(9,L124:L166)</f>
        <v>55747000</v>
      </c>
      <c r="M122" s="514">
        <f>SUBTOTAL(9,M124:M166)</f>
        <v>32291546.592501815</v>
      </c>
      <c r="N122" s="515">
        <f t="shared" ref="N122:N129" si="91">K122/L122</f>
        <v>0.42074826282128525</v>
      </c>
      <c r="O122" s="516">
        <f t="shared" ref="O122:P129" si="92">L122/L$10</f>
        <v>9.1952601037841974E-2</v>
      </c>
      <c r="P122" s="516">
        <f t="shared" si="92"/>
        <v>8.0957548554114883E-2</v>
      </c>
      <c r="Q122" s="516">
        <f t="shared" ref="Q122:Q129" si="93">I122/I$10</f>
        <v>0.58503142258617402</v>
      </c>
      <c r="R122" s="517">
        <f t="shared" ref="R122:R129" si="94">I122/$K$5*100</f>
        <v>199.6101364522417</v>
      </c>
      <c r="S122" s="517">
        <f t="shared" si="19"/>
        <v>600</v>
      </c>
      <c r="T122" s="517">
        <f t="shared" si="20"/>
        <v>0</v>
      </c>
      <c r="U122" s="404"/>
      <c r="V122" s="476" t="str">
        <f t="shared" si="12"/>
        <v>High</v>
      </c>
      <c r="W122" s="476" t="str">
        <f t="shared" si="13"/>
        <v>High</v>
      </c>
      <c r="X122" s="477" t="str">
        <f t="shared" si="14"/>
        <v>Star</v>
      </c>
      <c r="AA122" s="366"/>
      <c r="AB122" s="503"/>
      <c r="AC122" s="366"/>
      <c r="AD122" s="366"/>
      <c r="AE122" s="366"/>
      <c r="AF122" s="366"/>
      <c r="AG122" s="366"/>
      <c r="AH122" s="366"/>
      <c r="AI122" s="366"/>
      <c r="AJ122" s="366"/>
      <c r="AM122" s="76"/>
      <c r="AN122" s="76"/>
    </row>
    <row r="123" spans="1:40" ht="17.25" customHeight="1" x14ac:dyDescent="0.3">
      <c r="A123" s="453"/>
      <c r="B123" s="479" t="s">
        <v>486</v>
      </c>
      <c r="C123" s="480" t="s">
        <v>487</v>
      </c>
      <c r="D123" s="480"/>
      <c r="E123" s="480"/>
      <c r="F123" s="482"/>
      <c r="G123" s="481"/>
      <c r="H123" s="481"/>
      <c r="I123" s="482">
        <f>SUBTOTAL(9,I124:I130)</f>
        <v>443</v>
      </c>
      <c r="J123" s="484"/>
      <c r="K123" s="480">
        <f>SUBTOTAL(9,K124:K130)</f>
        <v>3729260.2352930461</v>
      </c>
      <c r="L123" s="480">
        <f>SUBTOTAL(9,L124:L130)</f>
        <v>21080000</v>
      </c>
      <c r="M123" s="480">
        <f>SUBTOTAL(9,M124:M130)</f>
        <v>17350739.764706954</v>
      </c>
      <c r="N123" s="491">
        <f t="shared" si="91"/>
        <v>0.17690987833458474</v>
      </c>
      <c r="O123" s="492">
        <f t="shared" si="92"/>
        <v>3.4770675191090263E-2</v>
      </c>
      <c r="P123" s="492">
        <f t="shared" si="92"/>
        <v>4.3499723772203715E-2</v>
      </c>
      <c r="Q123" s="492">
        <f t="shared" si="93"/>
        <v>8.4364882879451528E-2</v>
      </c>
      <c r="R123" s="493">
        <f t="shared" si="94"/>
        <v>28.784925276153345</v>
      </c>
      <c r="S123" s="543">
        <f>R123*T$5</f>
        <v>86.5234375</v>
      </c>
      <c r="T123" s="543">
        <f>S123*U$5</f>
        <v>0</v>
      </c>
      <c r="U123" s="404"/>
      <c r="V123" s="476" t="str">
        <f t="shared" si="12"/>
        <v>High</v>
      </c>
      <c r="W123" s="476" t="str">
        <f t="shared" si="13"/>
        <v>High</v>
      </c>
      <c r="X123" s="477" t="str">
        <f t="shared" si="14"/>
        <v>Star</v>
      </c>
      <c r="AA123" s="366"/>
      <c r="AB123" s="503"/>
      <c r="AC123" s="366"/>
      <c r="AD123" s="366"/>
      <c r="AE123" s="366"/>
      <c r="AF123" s="366"/>
      <c r="AG123" s="366"/>
      <c r="AH123" s="366"/>
      <c r="AI123" s="366"/>
      <c r="AJ123" s="366"/>
      <c r="AM123" s="76"/>
      <c r="AN123" s="76"/>
    </row>
    <row r="124" spans="1:40" ht="17.25" customHeight="1" x14ac:dyDescent="0.3">
      <c r="A124" s="366">
        <v>1</v>
      </c>
      <c r="B124" s="518" t="s">
        <v>509</v>
      </c>
      <c r="C124" s="365" t="s">
        <v>543</v>
      </c>
      <c r="D124" s="365"/>
      <c r="E124" s="468" t="s">
        <v>471</v>
      </c>
      <c r="F124" s="581">
        <v>6245.5795518887007</v>
      </c>
      <c r="G124" s="470">
        <v>50032.258064516129</v>
      </c>
      <c r="H124" s="494">
        <f t="shared" ref="H124:H129" si="95">G124-F124</f>
        <v>43786.678512627426</v>
      </c>
      <c r="I124" s="471">
        <v>93</v>
      </c>
      <c r="J124" s="424"/>
      <c r="K124" s="495">
        <f t="shared" ref="K124:K129" si="96">I124*F124</f>
        <v>580838.89832564921</v>
      </c>
      <c r="L124" s="495">
        <f t="shared" ref="L124:L129" si="97">I124*G124</f>
        <v>4653000</v>
      </c>
      <c r="M124" s="495">
        <f t="shared" ref="M124:M129" si="98">L124-K124</f>
        <v>4072161.1016743509</v>
      </c>
      <c r="N124" s="496">
        <f t="shared" si="91"/>
        <v>0.12483105487333961</v>
      </c>
      <c r="O124" s="497">
        <f t="shared" si="92"/>
        <v>7.6749502686974851E-3</v>
      </c>
      <c r="P124" s="497">
        <f t="shared" si="92"/>
        <v>1.02092409592277E-2</v>
      </c>
      <c r="Q124" s="497">
        <f t="shared" si="93"/>
        <v>1.7710912207198629E-2</v>
      </c>
      <c r="R124" s="498">
        <f t="shared" si="94"/>
        <v>6.0428849902534107</v>
      </c>
      <c r="S124" s="545">
        <f t="shared" ref="S124:S166" si="99">R124*T$5</f>
        <v>18.1640625</v>
      </c>
      <c r="T124" s="546">
        <f t="shared" ref="T124:T166" si="100">IFERROR(S124*G124,0)</f>
        <v>908789.0625</v>
      </c>
      <c r="U124" s="404"/>
      <c r="V124" s="476" t="str">
        <f t="shared" ref="V124:V168" si="101">IF(B124&lt;&gt;"",IFERROR(IF($I124&gt;=$X$10,"High","Low"),""),"")</f>
        <v>High</v>
      </c>
      <c r="W124" s="476" t="str">
        <f t="shared" ref="W124:W168" si="102">IF(B124&lt;&gt;"",IFERROR(IF($L124&gt;=$X$12,"High","Low"),""),"")</f>
        <v>Low</v>
      </c>
      <c r="X124" s="477" t="str">
        <f t="shared" ref="X124:X168" si="103">IF(B124&lt;&gt;"",IFERROR(IF(AND(V124="high",W124="high"),"Star",IF(AND(V124="low",W124="high"),"Puzzle",(IF(AND(V124="high",W124="low"),"Horse","Dog")))),""),"")</f>
        <v>Horse</v>
      </c>
      <c r="AA124" s="366"/>
      <c r="AB124" s="503"/>
      <c r="AC124" s="366"/>
      <c r="AD124" s="366"/>
      <c r="AE124" s="366"/>
      <c r="AF124" s="366"/>
      <c r="AG124" s="366"/>
      <c r="AH124" s="366"/>
      <c r="AI124" s="366"/>
      <c r="AJ124" s="366"/>
      <c r="AM124" s="76"/>
      <c r="AN124" s="76"/>
    </row>
    <row r="125" spans="1:40" ht="17.25" customHeight="1" x14ac:dyDescent="0.3">
      <c r="A125" s="366">
        <f t="shared" ref="A125:A129" si="104">A124+1</f>
        <v>2</v>
      </c>
      <c r="B125" s="518" t="s">
        <v>510</v>
      </c>
      <c r="C125" s="365" t="s">
        <v>544</v>
      </c>
      <c r="D125" s="365"/>
      <c r="E125" s="468" t="s">
        <v>471</v>
      </c>
      <c r="F125" s="581">
        <v>9481.0387096774193</v>
      </c>
      <c r="G125" s="470">
        <v>49709.090909090912</v>
      </c>
      <c r="H125" s="494">
        <f t="shared" si="95"/>
        <v>40228.052199413491</v>
      </c>
      <c r="I125" s="471">
        <v>110</v>
      </c>
      <c r="J125" s="424"/>
      <c r="K125" s="495">
        <f t="shared" si="96"/>
        <v>1042914.2580645161</v>
      </c>
      <c r="L125" s="495">
        <f t="shared" si="97"/>
        <v>5468000</v>
      </c>
      <c r="M125" s="495">
        <f t="shared" si="98"/>
        <v>4425085.7419354841</v>
      </c>
      <c r="N125" s="496">
        <f t="shared" si="91"/>
        <v>0.19073047879746088</v>
      </c>
      <c r="O125" s="497">
        <f t="shared" si="92"/>
        <v>9.0192624262277771E-3</v>
      </c>
      <c r="P125" s="497">
        <f t="shared" si="92"/>
        <v>1.1094051899392415E-2</v>
      </c>
      <c r="Q125" s="497">
        <f t="shared" si="93"/>
        <v>2.0948390782708055E-2</v>
      </c>
      <c r="R125" s="498">
        <f t="shared" si="94"/>
        <v>7.1474983755685511</v>
      </c>
      <c r="S125" s="545">
        <f t="shared" si="99"/>
        <v>21.484375</v>
      </c>
      <c r="T125" s="546">
        <f t="shared" si="100"/>
        <v>1067968.75</v>
      </c>
      <c r="U125" s="404"/>
      <c r="V125" s="476" t="str">
        <f t="shared" si="101"/>
        <v>High</v>
      </c>
      <c r="W125" s="476" t="str">
        <f t="shared" si="102"/>
        <v>Low</v>
      </c>
      <c r="X125" s="477" t="str">
        <f t="shared" si="103"/>
        <v>Horse</v>
      </c>
      <c r="AA125" s="366"/>
      <c r="AB125" s="503"/>
      <c r="AC125" s="366"/>
      <c r="AD125" s="366"/>
      <c r="AE125" s="366"/>
      <c r="AF125" s="366"/>
      <c r="AG125" s="366"/>
      <c r="AH125" s="366"/>
      <c r="AI125" s="366"/>
      <c r="AJ125" s="366"/>
      <c r="AM125" s="76"/>
      <c r="AN125" s="76"/>
    </row>
    <row r="126" spans="1:40" ht="17.25" customHeight="1" x14ac:dyDescent="0.3">
      <c r="A126" s="366">
        <f t="shared" si="104"/>
        <v>3</v>
      </c>
      <c r="B126" s="518" t="s">
        <v>511</v>
      </c>
      <c r="C126" s="365" t="s">
        <v>468</v>
      </c>
      <c r="D126" s="365"/>
      <c r="E126" s="468" t="s">
        <v>471</v>
      </c>
      <c r="F126" s="581">
        <v>5498.1176470588234</v>
      </c>
      <c r="G126" s="470">
        <v>49631.57894736842</v>
      </c>
      <c r="H126" s="494">
        <f t="shared" si="95"/>
        <v>44133.461300309595</v>
      </c>
      <c r="I126" s="471">
        <v>57</v>
      </c>
      <c r="J126" s="424"/>
      <c r="K126" s="495">
        <f t="shared" si="96"/>
        <v>313392.70588235295</v>
      </c>
      <c r="L126" s="495">
        <f t="shared" si="97"/>
        <v>2829000</v>
      </c>
      <c r="M126" s="495">
        <f t="shared" si="98"/>
        <v>2515607.2941176472</v>
      </c>
      <c r="N126" s="496">
        <f t="shared" si="91"/>
        <v>0.11077861643066558</v>
      </c>
      <c r="O126" s="497">
        <f t="shared" si="92"/>
        <v>4.6663301762615919E-3</v>
      </c>
      <c r="P126" s="497">
        <f t="shared" si="92"/>
        <v>6.3068332473089038E-3</v>
      </c>
      <c r="Q126" s="497">
        <f t="shared" si="93"/>
        <v>1.0855075223766901E-2</v>
      </c>
      <c r="R126" s="498">
        <f t="shared" si="94"/>
        <v>3.7037037037037033</v>
      </c>
      <c r="S126" s="545">
        <f t="shared" si="99"/>
        <v>11.132812499999998</v>
      </c>
      <c r="T126" s="546">
        <f t="shared" si="100"/>
        <v>552539.06249999988</v>
      </c>
      <c r="U126" s="404"/>
      <c r="V126" s="476" t="str">
        <f t="shared" si="101"/>
        <v>High</v>
      </c>
      <c r="W126" s="476" t="str">
        <f t="shared" si="102"/>
        <v>Low</v>
      </c>
      <c r="X126" s="477" t="str">
        <f t="shared" si="103"/>
        <v>Horse</v>
      </c>
      <c r="AA126" s="366"/>
      <c r="AB126" s="503"/>
      <c r="AC126" s="366"/>
      <c r="AD126" s="366"/>
      <c r="AE126" s="366"/>
      <c r="AF126" s="366"/>
      <c r="AG126" s="366"/>
      <c r="AH126" s="366"/>
      <c r="AI126" s="366"/>
      <c r="AJ126" s="366"/>
      <c r="AM126" s="76"/>
      <c r="AN126" s="76"/>
    </row>
    <row r="127" spans="1:40" ht="17.25" customHeight="1" x14ac:dyDescent="0.3">
      <c r="A127" s="366">
        <f t="shared" si="104"/>
        <v>4</v>
      </c>
      <c r="B127" s="518" t="s">
        <v>512</v>
      </c>
      <c r="C127" s="365" t="s">
        <v>545</v>
      </c>
      <c r="D127" s="365"/>
      <c r="E127" s="468" t="s">
        <v>471</v>
      </c>
      <c r="F127" s="581">
        <v>18477.580952380951</v>
      </c>
      <c r="G127" s="470">
        <v>59857.142857142855</v>
      </c>
      <c r="H127" s="494">
        <f t="shared" si="95"/>
        <v>41379.561904761904</v>
      </c>
      <c r="I127" s="471">
        <v>91</v>
      </c>
      <c r="J127" s="424"/>
      <c r="K127" s="495">
        <f t="shared" si="96"/>
        <v>1681459.8666666665</v>
      </c>
      <c r="L127" s="495">
        <f t="shared" si="97"/>
        <v>5447000</v>
      </c>
      <c r="M127" s="495">
        <f t="shared" si="98"/>
        <v>3765540.1333333338</v>
      </c>
      <c r="N127" s="496">
        <f t="shared" si="91"/>
        <v>0.30869466984884641</v>
      </c>
      <c r="O127" s="497">
        <f t="shared" si="92"/>
        <v>8.9846237080582862E-3</v>
      </c>
      <c r="P127" s="497">
        <f t="shared" si="92"/>
        <v>9.4405171119177171E-3</v>
      </c>
      <c r="Q127" s="497">
        <f t="shared" si="93"/>
        <v>1.7330032374785757E-2</v>
      </c>
      <c r="R127" s="498">
        <f t="shared" si="94"/>
        <v>5.912930474333983</v>
      </c>
      <c r="S127" s="545">
        <f t="shared" si="99"/>
        <v>17.7734375</v>
      </c>
      <c r="T127" s="546">
        <f t="shared" si="100"/>
        <v>1063867.1875</v>
      </c>
      <c r="U127" s="404"/>
      <c r="V127" s="476" t="str">
        <f t="shared" si="101"/>
        <v>High</v>
      </c>
      <c r="W127" s="476" t="str">
        <f t="shared" si="102"/>
        <v>Low</v>
      </c>
      <c r="X127" s="477" t="str">
        <f t="shared" si="103"/>
        <v>Horse</v>
      </c>
      <c r="AA127" s="366"/>
      <c r="AB127" s="503"/>
      <c r="AC127" s="366"/>
      <c r="AD127" s="366"/>
      <c r="AE127" s="366"/>
      <c r="AF127" s="366"/>
      <c r="AG127" s="366"/>
      <c r="AH127" s="366"/>
      <c r="AI127" s="366"/>
      <c r="AJ127" s="366"/>
      <c r="AM127" s="76"/>
      <c r="AN127" s="76"/>
    </row>
    <row r="128" spans="1:40" ht="17.25" customHeight="1" x14ac:dyDescent="0.3">
      <c r="A128" s="366">
        <f t="shared" si="104"/>
        <v>5</v>
      </c>
      <c r="B128" s="518" t="s">
        <v>574</v>
      </c>
      <c r="C128" s="365" t="s">
        <v>582</v>
      </c>
      <c r="D128" s="365"/>
      <c r="E128" s="468" t="s">
        <v>471</v>
      </c>
      <c r="F128" s="581"/>
      <c r="G128" s="470">
        <v>45000</v>
      </c>
      <c r="H128" s="494">
        <f t="shared" si="95"/>
        <v>45000</v>
      </c>
      <c r="I128" s="471">
        <v>0</v>
      </c>
      <c r="J128" s="424"/>
      <c r="K128" s="495">
        <f t="shared" si="96"/>
        <v>0</v>
      </c>
      <c r="L128" s="495">
        <f t="shared" si="97"/>
        <v>0</v>
      </c>
      <c r="M128" s="495">
        <f t="shared" si="98"/>
        <v>0</v>
      </c>
      <c r="N128" s="496" t="e">
        <f t="shared" si="91"/>
        <v>#DIV/0!</v>
      </c>
      <c r="O128" s="497">
        <f t="shared" si="92"/>
        <v>0</v>
      </c>
      <c r="P128" s="497">
        <f t="shared" si="92"/>
        <v>0</v>
      </c>
      <c r="Q128" s="497">
        <f t="shared" si="93"/>
        <v>0</v>
      </c>
      <c r="R128" s="498">
        <f t="shared" si="94"/>
        <v>0</v>
      </c>
      <c r="S128" s="545">
        <f t="shared" si="99"/>
        <v>0</v>
      </c>
      <c r="T128" s="546">
        <f t="shared" si="100"/>
        <v>0</v>
      </c>
      <c r="U128" s="404"/>
      <c r="V128" s="476" t="str">
        <f t="shared" si="101"/>
        <v>Low</v>
      </c>
      <c r="W128" s="476" t="str">
        <f t="shared" si="102"/>
        <v>Low</v>
      </c>
      <c r="X128" s="477" t="str">
        <f t="shared" si="103"/>
        <v>Dog</v>
      </c>
      <c r="AA128" s="366"/>
      <c r="AB128" s="503"/>
      <c r="AC128" s="366"/>
      <c r="AD128" s="366"/>
      <c r="AE128" s="366"/>
      <c r="AF128" s="366"/>
      <c r="AG128" s="366"/>
      <c r="AH128" s="366"/>
      <c r="AI128" s="366"/>
      <c r="AJ128" s="366"/>
      <c r="AM128" s="76"/>
      <c r="AN128" s="76"/>
    </row>
    <row r="129" spans="1:40" ht="17.25" customHeight="1" x14ac:dyDescent="0.3">
      <c r="A129" s="366">
        <f t="shared" si="104"/>
        <v>6</v>
      </c>
      <c r="B129" s="518" t="s">
        <v>705</v>
      </c>
      <c r="C129" s="365" t="s">
        <v>706</v>
      </c>
      <c r="D129" s="365"/>
      <c r="E129" s="468" t="s">
        <v>471</v>
      </c>
      <c r="F129" s="581">
        <v>1202.7663734115347</v>
      </c>
      <c r="G129" s="470">
        <v>29163.043478260868</v>
      </c>
      <c r="H129" s="494">
        <f t="shared" si="95"/>
        <v>27960.277104849334</v>
      </c>
      <c r="I129" s="471">
        <v>92</v>
      </c>
      <c r="J129" s="424"/>
      <c r="K129" s="495">
        <f t="shared" si="96"/>
        <v>110654.50635386119</v>
      </c>
      <c r="L129" s="495">
        <f t="shared" si="97"/>
        <v>2683000</v>
      </c>
      <c r="M129" s="495">
        <f t="shared" si="98"/>
        <v>2572345.4936461388</v>
      </c>
      <c r="N129" s="496">
        <f t="shared" si="91"/>
        <v>4.1242827563869246E-2</v>
      </c>
      <c r="O129" s="497">
        <f t="shared" si="92"/>
        <v>4.4255086118451222E-3</v>
      </c>
      <c r="P129" s="497">
        <f t="shared" si="92"/>
        <v>6.4490805543569816E-3</v>
      </c>
      <c r="Q129" s="497">
        <f t="shared" si="93"/>
        <v>1.7520472290992191E-2</v>
      </c>
      <c r="R129" s="498">
        <f t="shared" si="94"/>
        <v>5.9779077322936969</v>
      </c>
      <c r="S129" s="545">
        <f t="shared" si="99"/>
        <v>17.96875</v>
      </c>
      <c r="T129" s="546">
        <f t="shared" si="100"/>
        <v>524023.4375</v>
      </c>
      <c r="U129" s="404"/>
      <c r="V129" s="476" t="str">
        <f t="shared" si="101"/>
        <v>High</v>
      </c>
      <c r="W129" s="476" t="str">
        <f t="shared" si="102"/>
        <v>Low</v>
      </c>
      <c r="X129" s="477" t="str">
        <f t="shared" si="103"/>
        <v>Horse</v>
      </c>
      <c r="AA129" s="366"/>
      <c r="AB129" s="503"/>
      <c r="AC129" s="366"/>
      <c r="AD129" s="366"/>
      <c r="AE129" s="366"/>
      <c r="AF129" s="366"/>
      <c r="AG129" s="366"/>
      <c r="AH129" s="366"/>
      <c r="AI129" s="366"/>
      <c r="AJ129" s="366"/>
      <c r="AM129" s="76"/>
      <c r="AN129" s="76"/>
    </row>
    <row r="130" spans="1:40" ht="17.25" customHeight="1" x14ac:dyDescent="0.3">
      <c r="A130" s="366"/>
      <c r="B130" s="518"/>
      <c r="C130" s="518"/>
      <c r="D130" s="495"/>
      <c r="E130" s="468"/>
      <c r="F130" s="478"/>
      <c r="G130" s="470"/>
      <c r="H130" s="494"/>
      <c r="I130" s="471"/>
      <c r="J130" s="424"/>
      <c r="K130" s="495"/>
      <c r="L130" s="495"/>
      <c r="M130" s="495"/>
      <c r="N130" s="496"/>
      <c r="O130" s="497"/>
      <c r="P130" s="497"/>
      <c r="Q130" s="497"/>
      <c r="R130" s="498"/>
      <c r="S130" s="545">
        <f t="shared" si="99"/>
        <v>0</v>
      </c>
      <c r="T130" s="546">
        <f t="shared" si="100"/>
        <v>0</v>
      </c>
      <c r="U130" s="404"/>
      <c r="V130" s="476" t="str">
        <f t="shared" si="101"/>
        <v/>
      </c>
      <c r="W130" s="476" t="str">
        <f t="shared" si="102"/>
        <v/>
      </c>
      <c r="X130" s="477" t="str">
        <f t="shared" si="103"/>
        <v/>
      </c>
      <c r="AA130" s="366"/>
      <c r="AB130" s="503"/>
      <c r="AC130" s="366"/>
      <c r="AD130" s="366"/>
      <c r="AE130" s="366"/>
      <c r="AF130" s="366"/>
      <c r="AG130" s="366"/>
      <c r="AH130" s="366"/>
      <c r="AI130" s="366"/>
      <c r="AJ130" s="366"/>
      <c r="AM130" s="76"/>
      <c r="AN130" s="76"/>
    </row>
    <row r="131" spans="1:40" ht="17.25" customHeight="1" x14ac:dyDescent="0.3">
      <c r="A131" s="453"/>
      <c r="B131" s="479" t="s">
        <v>488</v>
      </c>
      <c r="C131" s="480" t="s">
        <v>489</v>
      </c>
      <c r="D131" s="480"/>
      <c r="E131" s="480"/>
      <c r="F131" s="480"/>
      <c r="G131" s="481"/>
      <c r="H131" s="481"/>
      <c r="I131" s="482">
        <f>SUBTOTAL(9,I132:I137)</f>
        <v>590</v>
      </c>
      <c r="J131" s="484"/>
      <c r="K131" s="480">
        <f>SUBTOTAL(9,K132:K137)</f>
        <v>3062582.7525638049</v>
      </c>
      <c r="L131" s="480">
        <f>SUBTOTAL(9,L132:L137)</f>
        <v>13750000</v>
      </c>
      <c r="M131" s="480">
        <f>SUBTOTAL(9,M132:M137)</f>
        <v>10687417.247436194</v>
      </c>
      <c r="N131" s="491">
        <f t="shared" ref="N131:N136" si="105">K131/L131</f>
        <v>0.22273329109554946</v>
      </c>
      <c r="O131" s="492">
        <f t="shared" ref="O131:P136" si="106">L131/L$10</f>
        <v>2.2680113087167511E-2</v>
      </c>
      <c r="P131" s="492">
        <f t="shared" si="106"/>
        <v>2.6794229203264876E-2</v>
      </c>
      <c r="Q131" s="492">
        <f t="shared" ref="Q131:Q136" si="107">I131/I$10</f>
        <v>0.11235955056179775</v>
      </c>
      <c r="R131" s="493">
        <f t="shared" ref="R131:R136" si="108">I131/$K$5*100</f>
        <v>38.336582196231319</v>
      </c>
      <c r="S131" s="493">
        <f t="shared" si="99"/>
        <v>115.234375</v>
      </c>
      <c r="T131" s="493">
        <f t="shared" si="100"/>
        <v>0</v>
      </c>
      <c r="U131" s="404"/>
      <c r="V131" s="476" t="str">
        <f t="shared" si="101"/>
        <v>High</v>
      </c>
      <c r="W131" s="476" t="str">
        <f t="shared" si="102"/>
        <v>High</v>
      </c>
      <c r="X131" s="477" t="str">
        <f t="shared" si="103"/>
        <v>Star</v>
      </c>
      <c r="Y131" s="488"/>
      <c r="AA131" s="366"/>
      <c r="AB131" s="503"/>
      <c r="AC131" s="366"/>
      <c r="AD131" s="366"/>
      <c r="AE131" s="366"/>
      <c r="AF131" s="366"/>
      <c r="AG131" s="366"/>
      <c r="AH131" s="366"/>
      <c r="AI131" s="366"/>
      <c r="AJ131" s="366"/>
      <c r="AM131" s="76"/>
      <c r="AN131" s="76"/>
    </row>
    <row r="132" spans="1:40" ht="17.25" customHeight="1" x14ac:dyDescent="0.3">
      <c r="A132" s="366">
        <f>A131+1</f>
        <v>1</v>
      </c>
      <c r="B132" s="590" t="s">
        <v>467</v>
      </c>
      <c r="C132" s="365" t="s">
        <v>469</v>
      </c>
      <c r="D132" s="365"/>
      <c r="E132" s="468" t="s">
        <v>320</v>
      </c>
      <c r="F132" s="581"/>
      <c r="G132" s="470">
        <v>25000</v>
      </c>
      <c r="H132" s="494">
        <f t="shared" ref="H132:H136" si="109">G132-F132</f>
        <v>25000</v>
      </c>
      <c r="I132" s="471">
        <v>0</v>
      </c>
      <c r="J132" s="424"/>
      <c r="K132" s="495">
        <f t="shared" ref="K132:K136" si="110">I132*F132</f>
        <v>0</v>
      </c>
      <c r="L132" s="495">
        <f t="shared" ref="L132:L136" si="111">I132*G132</f>
        <v>0</v>
      </c>
      <c r="M132" s="495">
        <f t="shared" ref="M132:M136" si="112">L132-K132</f>
        <v>0</v>
      </c>
      <c r="N132" s="496" t="e">
        <f t="shared" si="105"/>
        <v>#DIV/0!</v>
      </c>
      <c r="O132" s="497">
        <f t="shared" si="106"/>
        <v>0</v>
      </c>
      <c r="P132" s="497">
        <f t="shared" si="106"/>
        <v>0</v>
      </c>
      <c r="Q132" s="497">
        <f t="shared" si="107"/>
        <v>0</v>
      </c>
      <c r="R132" s="498">
        <f t="shared" si="108"/>
        <v>0</v>
      </c>
      <c r="S132" s="545">
        <f t="shared" si="99"/>
        <v>0</v>
      </c>
      <c r="T132" s="546">
        <f t="shared" si="100"/>
        <v>0</v>
      </c>
      <c r="U132" s="404"/>
      <c r="V132" s="476" t="str">
        <f t="shared" si="101"/>
        <v>Low</v>
      </c>
      <c r="W132" s="476" t="str">
        <f t="shared" si="102"/>
        <v>Low</v>
      </c>
      <c r="X132" s="477" t="str">
        <f t="shared" si="103"/>
        <v>Dog</v>
      </c>
      <c r="Y132" s="488"/>
      <c r="AA132" s="366"/>
      <c r="AB132" s="503"/>
      <c r="AC132" s="366"/>
      <c r="AD132" s="366"/>
      <c r="AE132" s="366"/>
      <c r="AF132" s="366"/>
      <c r="AG132" s="366"/>
      <c r="AH132" s="366"/>
      <c r="AI132" s="366"/>
      <c r="AJ132" s="366"/>
      <c r="AM132" s="76"/>
      <c r="AN132" s="76"/>
    </row>
    <row r="133" spans="1:40" ht="17.25" customHeight="1" x14ac:dyDescent="0.3">
      <c r="A133" s="366">
        <f t="shared" ref="A133:A136" si="113">A132+1</f>
        <v>2</v>
      </c>
      <c r="B133" s="590" t="s">
        <v>438</v>
      </c>
      <c r="C133" s="365" t="s">
        <v>470</v>
      </c>
      <c r="D133" s="365"/>
      <c r="E133" s="468" t="s">
        <v>320</v>
      </c>
      <c r="F133" s="581">
        <v>6083.7673267326736</v>
      </c>
      <c r="G133" s="470">
        <v>25000</v>
      </c>
      <c r="H133" s="494">
        <f t="shared" si="109"/>
        <v>18916.232673267325</v>
      </c>
      <c r="I133" s="471">
        <v>160</v>
      </c>
      <c r="J133" s="424"/>
      <c r="K133" s="495">
        <f t="shared" si="110"/>
        <v>973402.77227722784</v>
      </c>
      <c r="L133" s="495">
        <f t="shared" si="111"/>
        <v>4000000</v>
      </c>
      <c r="M133" s="495">
        <f t="shared" si="112"/>
        <v>3026597.2277227724</v>
      </c>
      <c r="N133" s="496">
        <f t="shared" si="105"/>
        <v>0.24335069306930696</v>
      </c>
      <c r="O133" s="497">
        <f t="shared" si="106"/>
        <v>6.5978510799032759E-3</v>
      </c>
      <c r="P133" s="497">
        <f t="shared" si="106"/>
        <v>7.5879268066402104E-3</v>
      </c>
      <c r="Q133" s="497">
        <f t="shared" si="107"/>
        <v>3.0470386593029898E-2</v>
      </c>
      <c r="R133" s="498">
        <f t="shared" si="108"/>
        <v>10.396361273554255</v>
      </c>
      <c r="S133" s="545">
        <f t="shared" si="99"/>
        <v>31.25</v>
      </c>
      <c r="T133" s="546">
        <f t="shared" si="100"/>
        <v>781250</v>
      </c>
      <c r="U133" s="404"/>
      <c r="V133" s="476" t="str">
        <f t="shared" si="101"/>
        <v>High</v>
      </c>
      <c r="W133" s="476" t="str">
        <f t="shared" si="102"/>
        <v>Low</v>
      </c>
      <c r="X133" s="477" t="str">
        <f t="shared" si="103"/>
        <v>Horse</v>
      </c>
      <c r="Y133" s="488"/>
      <c r="AA133" s="366"/>
      <c r="AB133" s="503"/>
      <c r="AC133" s="366"/>
      <c r="AD133" s="366"/>
      <c r="AE133" s="366"/>
      <c r="AF133" s="366"/>
      <c r="AG133" s="366"/>
      <c r="AH133" s="366"/>
      <c r="AI133" s="366"/>
      <c r="AJ133" s="366"/>
      <c r="AM133" s="76"/>
      <c r="AN133" s="76"/>
    </row>
    <row r="134" spans="1:40" ht="17.25" customHeight="1" x14ac:dyDescent="0.3">
      <c r="A134" s="366">
        <f t="shared" si="113"/>
        <v>3</v>
      </c>
      <c r="B134" s="590" t="s">
        <v>439</v>
      </c>
      <c r="C134" s="365" t="s">
        <v>546</v>
      </c>
      <c r="D134" s="365"/>
      <c r="E134" s="468" t="s">
        <v>307</v>
      </c>
      <c r="F134" s="581">
        <v>3489.6465863453814</v>
      </c>
      <c r="G134" s="470">
        <v>20000</v>
      </c>
      <c r="H134" s="494">
        <f t="shared" si="109"/>
        <v>16510.353413654619</v>
      </c>
      <c r="I134" s="471">
        <v>200</v>
      </c>
      <c r="J134" s="424"/>
      <c r="K134" s="495">
        <f t="shared" si="110"/>
        <v>697929.31726907624</v>
      </c>
      <c r="L134" s="495">
        <f t="shared" si="111"/>
        <v>4000000</v>
      </c>
      <c r="M134" s="495">
        <f t="shared" si="112"/>
        <v>3302070.6827309239</v>
      </c>
      <c r="N134" s="496">
        <f t="shared" si="105"/>
        <v>0.17448232931726906</v>
      </c>
      <c r="O134" s="497">
        <f t="shared" si="106"/>
        <v>6.5978510799032759E-3</v>
      </c>
      <c r="P134" s="497">
        <f t="shared" si="106"/>
        <v>8.2785612903527594E-3</v>
      </c>
      <c r="Q134" s="497">
        <f t="shared" si="107"/>
        <v>3.8087983241287371E-2</v>
      </c>
      <c r="R134" s="498">
        <f t="shared" si="108"/>
        <v>12.995451591942819</v>
      </c>
      <c r="S134" s="545">
        <f t="shared" si="99"/>
        <v>39.0625</v>
      </c>
      <c r="T134" s="546">
        <f t="shared" si="100"/>
        <v>781250</v>
      </c>
      <c r="U134" s="404"/>
      <c r="V134" s="476" t="str">
        <f t="shared" si="101"/>
        <v>High</v>
      </c>
      <c r="W134" s="476" t="str">
        <f t="shared" si="102"/>
        <v>Low</v>
      </c>
      <c r="X134" s="477" t="str">
        <f t="shared" si="103"/>
        <v>Horse</v>
      </c>
      <c r="Y134" s="488"/>
      <c r="AA134" s="366"/>
      <c r="AB134" s="503"/>
      <c r="AC134" s="366"/>
      <c r="AD134" s="366"/>
      <c r="AE134" s="366"/>
      <c r="AF134" s="366"/>
      <c r="AG134" s="366"/>
      <c r="AH134" s="366"/>
      <c r="AI134" s="366"/>
      <c r="AJ134" s="366"/>
      <c r="AM134" s="76"/>
      <c r="AN134" s="76"/>
    </row>
    <row r="135" spans="1:40" ht="17.25" customHeight="1" x14ac:dyDescent="0.3">
      <c r="A135" s="366">
        <f t="shared" si="113"/>
        <v>4</v>
      </c>
      <c r="B135" s="590" t="s">
        <v>513</v>
      </c>
      <c r="C135" s="365" t="s">
        <v>547</v>
      </c>
      <c r="D135" s="365"/>
      <c r="E135" s="468" t="s">
        <v>320</v>
      </c>
      <c r="F135" s="581">
        <v>6370.660550458716</v>
      </c>
      <c r="G135" s="470">
        <v>25000</v>
      </c>
      <c r="H135" s="494">
        <f t="shared" si="109"/>
        <v>18629.339449541283</v>
      </c>
      <c r="I135" s="471">
        <v>127</v>
      </c>
      <c r="J135" s="424"/>
      <c r="K135" s="495">
        <f t="shared" si="110"/>
        <v>809073.88990825694</v>
      </c>
      <c r="L135" s="495">
        <f t="shared" si="111"/>
        <v>3175000</v>
      </c>
      <c r="M135" s="495">
        <f t="shared" si="112"/>
        <v>2365926.1100917431</v>
      </c>
      <c r="N135" s="496">
        <f t="shared" si="105"/>
        <v>0.25482642201834865</v>
      </c>
      <c r="O135" s="497">
        <f t="shared" si="106"/>
        <v>5.2370442946732248E-3</v>
      </c>
      <c r="P135" s="497">
        <f t="shared" si="106"/>
        <v>5.9315702759705057E-3</v>
      </c>
      <c r="Q135" s="497">
        <f t="shared" si="107"/>
        <v>2.4185869358217482E-2</v>
      </c>
      <c r="R135" s="498">
        <f t="shared" si="108"/>
        <v>8.2521117608836896</v>
      </c>
      <c r="S135" s="545">
        <f t="shared" si="99"/>
        <v>24.804687499999996</v>
      </c>
      <c r="T135" s="546">
        <f t="shared" si="100"/>
        <v>620117.18749999988</v>
      </c>
      <c r="U135" s="404"/>
      <c r="V135" s="476" t="str">
        <f t="shared" si="101"/>
        <v>High</v>
      </c>
      <c r="W135" s="476" t="str">
        <f t="shared" si="102"/>
        <v>Low</v>
      </c>
      <c r="X135" s="477" t="str">
        <f t="shared" si="103"/>
        <v>Horse</v>
      </c>
      <c r="Y135" s="488"/>
      <c r="AA135" s="366"/>
      <c r="AB135" s="503"/>
      <c r="AC135" s="366"/>
      <c r="AD135" s="366"/>
      <c r="AE135" s="366"/>
      <c r="AF135" s="366"/>
      <c r="AG135" s="366"/>
      <c r="AH135" s="366"/>
      <c r="AI135" s="366"/>
      <c r="AJ135" s="366"/>
      <c r="AM135" s="76"/>
      <c r="AN135" s="76"/>
    </row>
    <row r="136" spans="1:40" ht="17.25" customHeight="1" x14ac:dyDescent="0.3">
      <c r="A136" s="366">
        <f t="shared" si="113"/>
        <v>5</v>
      </c>
      <c r="B136" s="590" t="s">
        <v>514</v>
      </c>
      <c r="C136" s="365" t="s">
        <v>548</v>
      </c>
      <c r="D136" s="365"/>
      <c r="E136" s="468" t="s">
        <v>320</v>
      </c>
      <c r="F136" s="581">
        <v>5652.2016806722686</v>
      </c>
      <c r="G136" s="470">
        <v>25000</v>
      </c>
      <c r="H136" s="494">
        <f t="shared" si="109"/>
        <v>19347.798319327732</v>
      </c>
      <c r="I136" s="471">
        <v>103</v>
      </c>
      <c r="J136" s="424"/>
      <c r="K136" s="495">
        <f t="shared" si="110"/>
        <v>582176.77310924372</v>
      </c>
      <c r="L136" s="495">
        <f t="shared" si="111"/>
        <v>2575000</v>
      </c>
      <c r="M136" s="495">
        <f t="shared" si="112"/>
        <v>1992823.2268907563</v>
      </c>
      <c r="N136" s="496">
        <f t="shared" si="105"/>
        <v>0.22608806722689076</v>
      </c>
      <c r="O136" s="497">
        <f t="shared" si="106"/>
        <v>4.2473666326877336E-3</v>
      </c>
      <c r="P136" s="497">
        <f t="shared" si="106"/>
        <v>4.9961708303014052E-3</v>
      </c>
      <c r="Q136" s="497">
        <f t="shared" si="107"/>
        <v>1.9615311369262999E-2</v>
      </c>
      <c r="R136" s="498">
        <f t="shared" si="108"/>
        <v>6.6926575698505522</v>
      </c>
      <c r="S136" s="545">
        <f t="shared" si="99"/>
        <v>20.1171875</v>
      </c>
      <c r="T136" s="546">
        <f t="shared" si="100"/>
        <v>502929.6875</v>
      </c>
      <c r="U136" s="404"/>
      <c r="V136" s="476" t="str">
        <f t="shared" si="101"/>
        <v>High</v>
      </c>
      <c r="W136" s="476" t="str">
        <f t="shared" si="102"/>
        <v>Low</v>
      </c>
      <c r="X136" s="477" t="str">
        <f t="shared" si="103"/>
        <v>Horse</v>
      </c>
      <c r="Y136" s="488"/>
      <c r="AA136" s="366"/>
      <c r="AB136" s="503"/>
      <c r="AC136" s="366"/>
      <c r="AD136" s="366"/>
      <c r="AE136" s="366"/>
      <c r="AF136" s="366"/>
      <c r="AG136" s="366"/>
      <c r="AH136" s="366"/>
      <c r="AI136" s="366"/>
      <c r="AJ136" s="366"/>
      <c r="AM136" s="76"/>
      <c r="AN136" s="76"/>
    </row>
    <row r="137" spans="1:40" ht="17.25" customHeight="1" x14ac:dyDescent="0.3">
      <c r="A137" s="366"/>
      <c r="B137" s="518"/>
      <c r="C137" s="518"/>
      <c r="D137" s="495"/>
      <c r="E137" s="468"/>
      <c r="F137" s="478"/>
      <c r="G137" s="470"/>
      <c r="H137" s="494"/>
      <c r="I137" s="471"/>
      <c r="J137" s="424"/>
      <c r="K137" s="495"/>
      <c r="L137" s="495"/>
      <c r="M137" s="495"/>
      <c r="N137" s="496"/>
      <c r="O137" s="497"/>
      <c r="P137" s="497"/>
      <c r="Q137" s="497"/>
      <c r="R137" s="498"/>
      <c r="S137" s="545">
        <f t="shared" si="99"/>
        <v>0</v>
      </c>
      <c r="T137" s="546">
        <f t="shared" si="100"/>
        <v>0</v>
      </c>
      <c r="U137" s="404"/>
      <c r="V137" s="476" t="str">
        <f t="shared" si="101"/>
        <v/>
      </c>
      <c r="W137" s="476" t="str">
        <f t="shared" si="102"/>
        <v/>
      </c>
      <c r="X137" s="477" t="str">
        <f t="shared" si="103"/>
        <v/>
      </c>
      <c r="AA137" s="366"/>
      <c r="AB137" s="503"/>
      <c r="AC137" s="366"/>
      <c r="AD137" s="366"/>
      <c r="AE137" s="366"/>
      <c r="AF137" s="366"/>
      <c r="AG137" s="366"/>
      <c r="AH137" s="366"/>
      <c r="AI137" s="366"/>
      <c r="AJ137" s="366"/>
      <c r="AM137" s="76"/>
      <c r="AN137" s="76"/>
    </row>
    <row r="138" spans="1:40" ht="17.25" customHeight="1" x14ac:dyDescent="0.3">
      <c r="A138" s="453"/>
      <c r="B138" s="479" t="s">
        <v>491</v>
      </c>
      <c r="C138" s="480" t="s">
        <v>492</v>
      </c>
      <c r="D138" s="480"/>
      <c r="E138" s="480"/>
      <c r="F138" s="480"/>
      <c r="G138" s="481"/>
      <c r="H138" s="481"/>
      <c r="I138" s="482">
        <f>SUBTOTAL(9,I139:I154)</f>
        <v>198</v>
      </c>
      <c r="J138" s="484"/>
      <c r="K138" s="480">
        <f>SUBTOTAL(9,K139:K154)</f>
        <v>5838259.3100233097</v>
      </c>
      <c r="L138" s="480">
        <f>SUBTOTAL(9,L139:L154)</f>
        <v>15931000</v>
      </c>
      <c r="M138" s="480">
        <f>SUBTOTAL(9,M139:M154)</f>
        <v>10092740.689976688</v>
      </c>
      <c r="N138" s="491">
        <f t="shared" ref="N138:N153" si="114">K138/L138</f>
        <v>0.36647161571924608</v>
      </c>
      <c r="O138" s="492">
        <f t="shared" ref="O138:P153" si="115">L138/L$10</f>
        <v>2.6277591388484772E-2</v>
      </c>
      <c r="P138" s="492">
        <f t="shared" si="115"/>
        <v>2.5303326432887786E-2</v>
      </c>
      <c r="Q138" s="492">
        <f t="shared" ref="Q138:Q153" si="116">I138/I$10</f>
        <v>3.7707103408874502E-2</v>
      </c>
      <c r="R138" s="493">
        <f t="shared" ref="R138:R153" si="117">I138/$K$5*100</f>
        <v>12.865497076023392</v>
      </c>
      <c r="S138" s="493">
        <f t="shared" si="99"/>
        <v>38.671875</v>
      </c>
      <c r="T138" s="493">
        <f t="shared" si="100"/>
        <v>0</v>
      </c>
      <c r="U138" s="404"/>
      <c r="V138" s="476" t="str">
        <f t="shared" si="101"/>
        <v>High</v>
      </c>
      <c r="W138" s="476" t="str">
        <f t="shared" si="102"/>
        <v>High</v>
      </c>
      <c r="X138" s="477" t="str">
        <f t="shared" si="103"/>
        <v>Star</v>
      </c>
      <c r="Y138" s="488"/>
      <c r="AA138" s="366"/>
      <c r="AB138" s="503"/>
      <c r="AC138" s="366"/>
      <c r="AD138" s="366"/>
      <c r="AE138" s="366"/>
      <c r="AF138" s="366"/>
      <c r="AG138" s="366"/>
      <c r="AH138" s="366"/>
      <c r="AI138" s="366"/>
      <c r="AJ138" s="366"/>
      <c r="AM138" s="76"/>
      <c r="AN138" s="76"/>
    </row>
    <row r="139" spans="1:40" ht="17.25" customHeight="1" x14ac:dyDescent="0.3">
      <c r="A139" s="366">
        <f>A138+1</f>
        <v>1</v>
      </c>
      <c r="B139" s="590" t="s">
        <v>691</v>
      </c>
      <c r="C139" s="365" t="s">
        <v>693</v>
      </c>
      <c r="D139" s="365"/>
      <c r="E139" s="468" t="s">
        <v>320</v>
      </c>
      <c r="F139" s="581">
        <v>16298.333333333334</v>
      </c>
      <c r="G139" s="470">
        <v>49000</v>
      </c>
      <c r="H139" s="494">
        <f t="shared" ref="H139:H153" si="118">G139-F139</f>
        <v>32701.666666666664</v>
      </c>
      <c r="I139" s="471">
        <v>69</v>
      </c>
      <c r="J139" s="424"/>
      <c r="K139" s="495">
        <f t="shared" ref="K139:K153" si="119">I139*F139</f>
        <v>1124585</v>
      </c>
      <c r="L139" s="495">
        <f t="shared" ref="L139:L153" si="120">I139*G139</f>
        <v>3381000</v>
      </c>
      <c r="M139" s="495">
        <f t="shared" ref="M139:M153" si="121">L139-K139</f>
        <v>2256415</v>
      </c>
      <c r="N139" s="496">
        <f t="shared" si="114"/>
        <v>0.33261904761904759</v>
      </c>
      <c r="O139" s="497">
        <f t="shared" si="115"/>
        <v>5.5768336252882437E-3</v>
      </c>
      <c r="P139" s="497">
        <f t="shared" si="115"/>
        <v>5.6570169656460648E-3</v>
      </c>
      <c r="Q139" s="497">
        <f t="shared" si="116"/>
        <v>1.3140354218244143E-2</v>
      </c>
      <c r="R139" s="498">
        <f t="shared" si="117"/>
        <v>4.4834307992202724</v>
      </c>
      <c r="S139" s="545">
        <f t="shared" si="99"/>
        <v>13.476562499999998</v>
      </c>
      <c r="T139" s="546">
        <f t="shared" si="100"/>
        <v>660351.56249999988</v>
      </c>
      <c r="U139" s="404"/>
      <c r="V139" s="476" t="str">
        <f t="shared" si="101"/>
        <v>High</v>
      </c>
      <c r="W139" s="476" t="str">
        <f t="shared" si="102"/>
        <v>Low</v>
      </c>
      <c r="X139" s="477" t="str">
        <f t="shared" si="103"/>
        <v>Horse</v>
      </c>
      <c r="Y139" s="488"/>
      <c r="AA139" s="366"/>
      <c r="AB139" s="503"/>
      <c r="AC139" s="366"/>
      <c r="AD139" s="366"/>
      <c r="AE139" s="366"/>
      <c r="AF139" s="366"/>
      <c r="AG139" s="366"/>
      <c r="AH139" s="366"/>
      <c r="AI139" s="366"/>
      <c r="AJ139" s="366"/>
      <c r="AM139" s="76"/>
      <c r="AN139" s="76"/>
    </row>
    <row r="140" spans="1:40" ht="17.25" customHeight="1" x14ac:dyDescent="0.3">
      <c r="A140" s="366">
        <f>A139+1</f>
        <v>2</v>
      </c>
      <c r="B140" s="590" t="s">
        <v>556</v>
      </c>
      <c r="C140" s="365" t="s">
        <v>549</v>
      </c>
      <c r="D140" s="365"/>
      <c r="E140" s="468" t="s">
        <v>320</v>
      </c>
      <c r="F140" s="581">
        <v>13825.666666666666</v>
      </c>
      <c r="G140" s="470">
        <v>35000</v>
      </c>
      <c r="H140" s="494">
        <f t="shared" si="118"/>
        <v>21174.333333333336</v>
      </c>
      <c r="I140" s="471">
        <v>51</v>
      </c>
      <c r="J140" s="424"/>
      <c r="K140" s="495">
        <f t="shared" si="119"/>
        <v>705109</v>
      </c>
      <c r="L140" s="495">
        <f t="shared" si="120"/>
        <v>1785000</v>
      </c>
      <c r="M140" s="495">
        <f t="shared" si="121"/>
        <v>1079891</v>
      </c>
      <c r="N140" s="496">
        <f t="shared" si="114"/>
        <v>0.3950190476190476</v>
      </c>
      <c r="O140" s="497">
        <f t="shared" si="115"/>
        <v>2.9442910444068366E-3</v>
      </c>
      <c r="P140" s="497">
        <f t="shared" si="115"/>
        <v>2.7073750653352751E-3</v>
      </c>
      <c r="Q140" s="497">
        <f t="shared" si="116"/>
        <v>9.7124357265282804E-3</v>
      </c>
      <c r="R140" s="498">
        <f t="shared" si="117"/>
        <v>3.3138401559454191</v>
      </c>
      <c r="S140" s="545">
        <f t="shared" si="99"/>
        <v>9.9609375</v>
      </c>
      <c r="T140" s="546">
        <f t="shared" si="100"/>
        <v>348632.8125</v>
      </c>
      <c r="U140" s="404"/>
      <c r="V140" s="476" t="str">
        <f t="shared" si="101"/>
        <v>High</v>
      </c>
      <c r="W140" s="476" t="str">
        <f t="shared" si="102"/>
        <v>Low</v>
      </c>
      <c r="X140" s="477" t="str">
        <f t="shared" si="103"/>
        <v>Horse</v>
      </c>
      <c r="Y140" s="488"/>
      <c r="AA140" s="366"/>
      <c r="AB140" s="503"/>
      <c r="AC140" s="366"/>
      <c r="AD140" s="366"/>
      <c r="AE140" s="366"/>
      <c r="AF140" s="366"/>
      <c r="AG140" s="366"/>
      <c r="AH140" s="366"/>
      <c r="AI140" s="366"/>
      <c r="AJ140" s="366"/>
      <c r="AM140" s="76"/>
      <c r="AN140" s="76"/>
    </row>
    <row r="141" spans="1:40" ht="17.25" customHeight="1" x14ac:dyDescent="0.3">
      <c r="A141" s="366">
        <f t="shared" ref="A141:A153" si="122">A140+1</f>
        <v>3</v>
      </c>
      <c r="B141" s="590" t="s">
        <v>515</v>
      </c>
      <c r="C141" s="365" t="s">
        <v>550</v>
      </c>
      <c r="D141" s="365"/>
      <c r="E141" s="468" t="s">
        <v>320</v>
      </c>
      <c r="F141" s="581">
        <v>18522.692307692309</v>
      </c>
      <c r="G141" s="470">
        <v>39000</v>
      </c>
      <c r="H141" s="494">
        <f t="shared" si="118"/>
        <v>20477.307692307691</v>
      </c>
      <c r="I141" s="471">
        <v>5</v>
      </c>
      <c r="J141" s="424"/>
      <c r="K141" s="495">
        <f t="shared" si="119"/>
        <v>92613.461538461546</v>
      </c>
      <c r="L141" s="495">
        <f t="shared" si="120"/>
        <v>195000</v>
      </c>
      <c r="M141" s="495">
        <f t="shared" si="121"/>
        <v>102386.53846153845</v>
      </c>
      <c r="N141" s="496">
        <f t="shared" si="114"/>
        <v>0.4749408284023669</v>
      </c>
      <c r="O141" s="497">
        <f t="shared" si="115"/>
        <v>3.2164524014528469E-4</v>
      </c>
      <c r="P141" s="497">
        <f t="shared" si="115"/>
        <v>2.5669142650208243E-4</v>
      </c>
      <c r="Q141" s="497">
        <f t="shared" si="116"/>
        <v>9.5219958103218432E-4</v>
      </c>
      <c r="R141" s="498">
        <f t="shared" si="117"/>
        <v>0.32488628979857048</v>
      </c>
      <c r="S141" s="545">
        <f t="shared" si="99"/>
        <v>0.9765625</v>
      </c>
      <c r="T141" s="546">
        <f t="shared" si="100"/>
        <v>38085.9375</v>
      </c>
      <c r="U141" s="404"/>
      <c r="V141" s="476" t="str">
        <f t="shared" si="101"/>
        <v>Low</v>
      </c>
      <c r="W141" s="476" t="str">
        <f t="shared" si="102"/>
        <v>Low</v>
      </c>
      <c r="X141" s="477" t="str">
        <f t="shared" si="103"/>
        <v>Dog</v>
      </c>
      <c r="Y141" s="488"/>
      <c r="AA141" s="366"/>
      <c r="AB141" s="503"/>
      <c r="AC141" s="366"/>
      <c r="AD141" s="366"/>
      <c r="AE141" s="366"/>
      <c r="AF141" s="366"/>
      <c r="AG141" s="366"/>
      <c r="AH141" s="366"/>
      <c r="AI141" s="366"/>
      <c r="AJ141" s="366"/>
      <c r="AM141" s="76"/>
      <c r="AN141" s="76"/>
    </row>
    <row r="142" spans="1:40" s="148" customFormat="1" ht="17.25" customHeight="1" x14ac:dyDescent="0.3">
      <c r="A142" s="366">
        <f t="shared" si="122"/>
        <v>4</v>
      </c>
      <c r="B142" s="590" t="s">
        <v>707</v>
      </c>
      <c r="C142" s="365" t="s">
        <v>708</v>
      </c>
      <c r="D142" s="365"/>
      <c r="E142" s="468" t="s">
        <v>471</v>
      </c>
      <c r="F142" s="581">
        <v>26746.25</v>
      </c>
      <c r="G142" s="470">
        <v>67500</v>
      </c>
      <c r="H142" s="494">
        <f t="shared" si="118"/>
        <v>40753.75</v>
      </c>
      <c r="I142" s="471">
        <v>12</v>
      </c>
      <c r="J142" s="424"/>
      <c r="K142" s="495">
        <f t="shared" si="119"/>
        <v>320955</v>
      </c>
      <c r="L142" s="495">
        <f t="shared" si="120"/>
        <v>810000</v>
      </c>
      <c r="M142" s="495">
        <f t="shared" si="121"/>
        <v>489045</v>
      </c>
      <c r="N142" s="496">
        <f t="shared" si="114"/>
        <v>0.39624074074074073</v>
      </c>
      <c r="O142" s="497">
        <f t="shared" si="115"/>
        <v>1.3360648436804134E-3</v>
      </c>
      <c r="P142" s="497">
        <f t="shared" si="115"/>
        <v>1.2260758158248281E-3</v>
      </c>
      <c r="Q142" s="497">
        <f t="shared" si="116"/>
        <v>2.2852789944772423E-3</v>
      </c>
      <c r="R142" s="498">
        <f t="shared" si="117"/>
        <v>0.77972709551656916</v>
      </c>
      <c r="S142" s="545">
        <f t="shared" si="99"/>
        <v>2.34375</v>
      </c>
      <c r="T142" s="546">
        <f t="shared" si="100"/>
        <v>158203.125</v>
      </c>
      <c r="U142" s="404"/>
      <c r="V142" s="476" t="str">
        <f t="shared" si="101"/>
        <v>High</v>
      </c>
      <c r="W142" s="476" t="str">
        <f t="shared" si="102"/>
        <v>Low</v>
      </c>
      <c r="X142" s="477" t="str">
        <f t="shared" si="103"/>
        <v>Horse</v>
      </c>
      <c r="Y142" s="488"/>
      <c r="Z142" s="571"/>
      <c r="AA142" s="366"/>
      <c r="AB142" s="503"/>
      <c r="AC142" s="366"/>
      <c r="AD142" s="366"/>
      <c r="AE142" s="366"/>
      <c r="AF142" s="366"/>
      <c r="AG142" s="366"/>
      <c r="AH142" s="366"/>
      <c r="AI142" s="366"/>
      <c r="AJ142" s="366"/>
      <c r="AK142" s="375"/>
      <c r="AL142" s="376"/>
      <c r="AM142" s="138"/>
      <c r="AN142" s="138"/>
    </row>
    <row r="143" spans="1:40" ht="17.25" customHeight="1" x14ac:dyDescent="0.3">
      <c r="A143" s="366">
        <f t="shared" si="122"/>
        <v>5</v>
      </c>
      <c r="B143" s="590" t="s">
        <v>702</v>
      </c>
      <c r="C143" s="365" t="s">
        <v>703</v>
      </c>
      <c r="D143" s="365"/>
      <c r="E143" s="468" t="s">
        <v>471</v>
      </c>
      <c r="F143" s="581">
        <v>6969.6190476190477</v>
      </c>
      <c r="G143" s="470">
        <v>59285.714285714283</v>
      </c>
      <c r="H143" s="494">
        <f t="shared" si="118"/>
        <v>52316.095238095237</v>
      </c>
      <c r="I143" s="471">
        <v>21</v>
      </c>
      <c r="J143" s="424"/>
      <c r="K143" s="495">
        <f t="shared" si="119"/>
        <v>146362</v>
      </c>
      <c r="L143" s="495">
        <f t="shared" si="120"/>
        <v>1245000</v>
      </c>
      <c r="M143" s="495">
        <f t="shared" si="121"/>
        <v>1098638</v>
      </c>
      <c r="N143" s="496">
        <f t="shared" si="114"/>
        <v>0.11755983935742972</v>
      </c>
      <c r="O143" s="497">
        <f t="shared" si="115"/>
        <v>2.0535811486198947E-3</v>
      </c>
      <c r="P143" s="497">
        <f t="shared" si="115"/>
        <v>2.7543753277227199E-3</v>
      </c>
      <c r="Q143" s="497">
        <f t="shared" si="116"/>
        <v>3.9992382403351741E-3</v>
      </c>
      <c r="R143" s="498">
        <f t="shared" si="117"/>
        <v>1.364522417153996</v>
      </c>
      <c r="S143" s="545">
        <f t="shared" si="99"/>
        <v>4.1015625</v>
      </c>
      <c r="T143" s="546">
        <f t="shared" si="100"/>
        <v>243164.0625</v>
      </c>
      <c r="U143" s="404"/>
      <c r="V143" s="476" t="str">
        <f t="shared" si="101"/>
        <v>High</v>
      </c>
      <c r="W143" s="476" t="str">
        <f t="shared" si="102"/>
        <v>Low</v>
      </c>
      <c r="X143" s="477" t="str">
        <f t="shared" si="103"/>
        <v>Horse</v>
      </c>
      <c r="Y143" s="488"/>
      <c r="AA143" s="366"/>
      <c r="AB143" s="503"/>
      <c r="AC143" s="366"/>
      <c r="AD143" s="366"/>
      <c r="AE143" s="366"/>
      <c r="AF143" s="366"/>
      <c r="AG143" s="366"/>
      <c r="AH143" s="366"/>
      <c r="AI143" s="366"/>
      <c r="AJ143" s="366"/>
      <c r="AM143" s="76"/>
      <c r="AN143" s="76"/>
    </row>
    <row r="144" spans="1:40" ht="17.25" customHeight="1" x14ac:dyDescent="0.3">
      <c r="A144" s="366">
        <f t="shared" si="122"/>
        <v>6</v>
      </c>
      <c r="B144" s="590" t="s">
        <v>692</v>
      </c>
      <c r="C144" s="365" t="s">
        <v>725</v>
      </c>
      <c r="D144" s="365"/>
      <c r="E144" s="468" t="s">
        <v>307</v>
      </c>
      <c r="F144" s="581">
        <v>192000</v>
      </c>
      <c r="G144" s="470">
        <v>450000</v>
      </c>
      <c r="H144" s="494">
        <f t="shared" si="118"/>
        <v>258000</v>
      </c>
      <c r="I144" s="471">
        <v>0</v>
      </c>
      <c r="J144" s="424"/>
      <c r="K144" s="495">
        <f t="shared" si="119"/>
        <v>0</v>
      </c>
      <c r="L144" s="495">
        <f t="shared" si="120"/>
        <v>0</v>
      </c>
      <c r="M144" s="495">
        <f t="shared" si="121"/>
        <v>0</v>
      </c>
      <c r="N144" s="496" t="e">
        <f t="shared" si="114"/>
        <v>#DIV/0!</v>
      </c>
      <c r="O144" s="497">
        <f t="shared" si="115"/>
        <v>0</v>
      </c>
      <c r="P144" s="497">
        <f t="shared" si="115"/>
        <v>0</v>
      </c>
      <c r="Q144" s="497">
        <f t="shared" si="116"/>
        <v>0</v>
      </c>
      <c r="R144" s="498">
        <f t="shared" si="117"/>
        <v>0</v>
      </c>
      <c r="S144" s="545">
        <f t="shared" si="99"/>
        <v>0</v>
      </c>
      <c r="T144" s="546">
        <f t="shared" si="100"/>
        <v>0</v>
      </c>
      <c r="U144" s="404"/>
      <c r="V144" s="476" t="str">
        <f t="shared" si="101"/>
        <v>Low</v>
      </c>
      <c r="W144" s="476" t="str">
        <f t="shared" si="102"/>
        <v>Low</v>
      </c>
      <c r="X144" s="477" t="str">
        <f t="shared" si="103"/>
        <v>Dog</v>
      </c>
      <c r="Y144" s="488"/>
      <c r="AA144" s="366"/>
      <c r="AB144" s="503"/>
      <c r="AC144" s="366"/>
      <c r="AD144" s="366"/>
      <c r="AE144" s="366"/>
      <c r="AF144" s="366"/>
      <c r="AG144" s="366"/>
      <c r="AH144" s="366"/>
      <c r="AI144" s="366"/>
      <c r="AJ144" s="366"/>
      <c r="AM144" s="76"/>
      <c r="AN144" s="76"/>
    </row>
    <row r="145" spans="1:40" ht="17.25" customHeight="1" x14ac:dyDescent="0.3">
      <c r="A145" s="366">
        <f t="shared" si="122"/>
        <v>7</v>
      </c>
      <c r="B145" s="590" t="s">
        <v>697</v>
      </c>
      <c r="C145" s="365" t="s">
        <v>704</v>
      </c>
      <c r="D145" s="365"/>
      <c r="E145" s="468" t="s">
        <v>307</v>
      </c>
      <c r="F145" s="581">
        <v>85796</v>
      </c>
      <c r="G145" s="470">
        <v>195000</v>
      </c>
      <c r="H145" s="494">
        <f t="shared" si="118"/>
        <v>109204</v>
      </c>
      <c r="I145" s="471">
        <v>9</v>
      </c>
      <c r="J145" s="424"/>
      <c r="K145" s="495">
        <f t="shared" si="119"/>
        <v>772164</v>
      </c>
      <c r="L145" s="495">
        <f t="shared" si="120"/>
        <v>1755000</v>
      </c>
      <c r="M145" s="495">
        <f t="shared" si="121"/>
        <v>982836</v>
      </c>
      <c r="N145" s="496">
        <f t="shared" si="114"/>
        <v>0.43997948717948721</v>
      </c>
      <c r="O145" s="497">
        <f t="shared" si="115"/>
        <v>2.894807161307562E-3</v>
      </c>
      <c r="P145" s="497">
        <f t="shared" si="115"/>
        <v>2.4640502418427973E-3</v>
      </c>
      <c r="Q145" s="497">
        <f t="shared" si="116"/>
        <v>1.7139592458579318E-3</v>
      </c>
      <c r="R145" s="498">
        <f t="shared" si="117"/>
        <v>0.58479532163742687</v>
      </c>
      <c r="S145" s="545">
        <f t="shared" si="99"/>
        <v>1.7578125</v>
      </c>
      <c r="T145" s="546">
        <f t="shared" si="100"/>
        <v>342773.4375</v>
      </c>
      <c r="U145" s="404"/>
      <c r="V145" s="476" t="str">
        <f t="shared" si="101"/>
        <v>Low</v>
      </c>
      <c r="W145" s="476" t="str">
        <f t="shared" si="102"/>
        <v>Low</v>
      </c>
      <c r="X145" s="477" t="str">
        <f t="shared" si="103"/>
        <v>Dog</v>
      </c>
      <c r="Y145" s="488"/>
      <c r="AA145" s="366"/>
      <c r="AB145" s="503"/>
      <c r="AC145" s="366"/>
      <c r="AD145" s="366"/>
      <c r="AE145" s="366"/>
      <c r="AF145" s="366"/>
      <c r="AG145" s="366"/>
      <c r="AH145" s="366"/>
      <c r="AI145" s="366"/>
      <c r="AJ145" s="366"/>
      <c r="AM145" s="76"/>
      <c r="AN145" s="76"/>
    </row>
    <row r="146" spans="1:40" ht="17.25" customHeight="1" x14ac:dyDescent="0.3">
      <c r="A146" s="366">
        <f t="shared" si="122"/>
        <v>8</v>
      </c>
      <c r="B146" s="590" t="s">
        <v>699</v>
      </c>
      <c r="C146" s="365" t="s">
        <v>715</v>
      </c>
      <c r="D146" s="365"/>
      <c r="E146" s="468" t="s">
        <v>307</v>
      </c>
      <c r="F146" s="581">
        <v>142955</v>
      </c>
      <c r="G146" s="470">
        <v>380000</v>
      </c>
      <c r="H146" s="494">
        <f t="shared" si="118"/>
        <v>237045</v>
      </c>
      <c r="I146" s="471">
        <v>2</v>
      </c>
      <c r="J146" s="424"/>
      <c r="K146" s="495">
        <f t="shared" si="119"/>
        <v>285910</v>
      </c>
      <c r="L146" s="495">
        <f t="shared" si="120"/>
        <v>760000</v>
      </c>
      <c r="M146" s="495">
        <f t="shared" si="121"/>
        <v>474090</v>
      </c>
      <c r="N146" s="496">
        <f t="shared" si="114"/>
        <v>0.37619736842105261</v>
      </c>
      <c r="O146" s="497">
        <f t="shared" si="115"/>
        <v>1.2535917051816224E-3</v>
      </c>
      <c r="P146" s="497">
        <f t="shared" si="115"/>
        <v>1.188582407599286E-3</v>
      </c>
      <c r="Q146" s="497">
        <f t="shared" si="116"/>
        <v>3.8087983241287375E-4</v>
      </c>
      <c r="R146" s="498">
        <f t="shared" si="117"/>
        <v>0.12995451591942819</v>
      </c>
      <c r="S146" s="545">
        <f t="shared" si="99"/>
        <v>0.390625</v>
      </c>
      <c r="T146" s="546">
        <f t="shared" si="100"/>
        <v>148437.5</v>
      </c>
      <c r="U146" s="404"/>
      <c r="V146" s="476" t="str">
        <f t="shared" si="101"/>
        <v>Low</v>
      </c>
      <c r="W146" s="476" t="str">
        <f t="shared" si="102"/>
        <v>Low</v>
      </c>
      <c r="X146" s="477" t="str">
        <f t="shared" si="103"/>
        <v>Dog</v>
      </c>
      <c r="Y146" s="488"/>
      <c r="AA146" s="366"/>
      <c r="AB146" s="503"/>
      <c r="AC146" s="366"/>
      <c r="AD146" s="366"/>
      <c r="AE146" s="366"/>
      <c r="AF146" s="366"/>
      <c r="AG146" s="366"/>
      <c r="AH146" s="366"/>
      <c r="AI146" s="366"/>
      <c r="AJ146" s="366"/>
      <c r="AM146" s="76"/>
      <c r="AN146" s="76"/>
    </row>
    <row r="147" spans="1:40" ht="17.25" customHeight="1" x14ac:dyDescent="0.3">
      <c r="A147" s="366">
        <f t="shared" si="122"/>
        <v>9</v>
      </c>
      <c r="B147" s="590" t="s">
        <v>709</v>
      </c>
      <c r="C147" s="365" t="s">
        <v>710</v>
      </c>
      <c r="D147" s="365"/>
      <c r="E147" s="468" t="s">
        <v>307</v>
      </c>
      <c r="F147" s="581">
        <v>306818.18181818182</v>
      </c>
      <c r="G147" s="470">
        <v>600000</v>
      </c>
      <c r="H147" s="494">
        <f t="shared" si="118"/>
        <v>293181.81818181818</v>
      </c>
      <c r="I147" s="471">
        <v>1</v>
      </c>
      <c r="J147" s="424"/>
      <c r="K147" s="495">
        <f t="shared" si="119"/>
        <v>306818.18181818182</v>
      </c>
      <c r="L147" s="495">
        <f t="shared" si="120"/>
        <v>600000</v>
      </c>
      <c r="M147" s="495">
        <f t="shared" si="121"/>
        <v>293181.81818181818</v>
      </c>
      <c r="N147" s="496">
        <f t="shared" si="114"/>
        <v>0.51136363636363635</v>
      </c>
      <c r="O147" s="497">
        <f t="shared" si="115"/>
        <v>9.8967766198549138E-4</v>
      </c>
      <c r="P147" s="497">
        <f t="shared" si="115"/>
        <v>7.3503079862237452E-4</v>
      </c>
      <c r="Q147" s="497">
        <f t="shared" si="116"/>
        <v>1.9043991620643687E-4</v>
      </c>
      <c r="R147" s="498">
        <f t="shared" si="117"/>
        <v>6.4977257959714096E-2</v>
      </c>
      <c r="S147" s="545">
        <f t="shared" si="99"/>
        <v>0.1953125</v>
      </c>
      <c r="T147" s="546">
        <f t="shared" si="100"/>
        <v>117187.5</v>
      </c>
      <c r="U147" s="404"/>
      <c r="V147" s="476" t="str">
        <f t="shared" si="101"/>
        <v>Low</v>
      </c>
      <c r="W147" s="476" t="str">
        <f t="shared" si="102"/>
        <v>Low</v>
      </c>
      <c r="X147" s="477" t="str">
        <f t="shared" si="103"/>
        <v>Dog</v>
      </c>
      <c r="Y147" s="488"/>
      <c r="AA147" s="366"/>
      <c r="AB147" s="503"/>
      <c r="AC147" s="366"/>
      <c r="AD147" s="366"/>
      <c r="AE147" s="366"/>
      <c r="AF147" s="366"/>
      <c r="AG147" s="366"/>
      <c r="AH147" s="366"/>
      <c r="AI147" s="366"/>
      <c r="AJ147" s="366"/>
      <c r="AM147" s="76"/>
      <c r="AN147" s="76"/>
    </row>
    <row r="148" spans="1:40" ht="17.25" customHeight="1" x14ac:dyDescent="0.3">
      <c r="A148" s="366">
        <f t="shared" si="122"/>
        <v>10</v>
      </c>
      <c r="B148" s="590" t="s">
        <v>575</v>
      </c>
      <c r="C148" s="365" t="s">
        <v>583</v>
      </c>
      <c r="D148" s="365"/>
      <c r="E148" s="468" t="s">
        <v>307</v>
      </c>
      <c r="F148" s="581">
        <v>175909</v>
      </c>
      <c r="G148" s="470">
        <v>350000</v>
      </c>
      <c r="H148" s="494">
        <f t="shared" si="118"/>
        <v>174091</v>
      </c>
      <c r="I148" s="471">
        <v>2</v>
      </c>
      <c r="J148" s="424"/>
      <c r="K148" s="495">
        <f t="shared" si="119"/>
        <v>351818</v>
      </c>
      <c r="L148" s="495">
        <f t="shared" si="120"/>
        <v>700000</v>
      </c>
      <c r="M148" s="495">
        <f t="shared" si="121"/>
        <v>348182</v>
      </c>
      <c r="N148" s="496">
        <f t="shared" si="114"/>
        <v>0.50259714285714285</v>
      </c>
      <c r="O148" s="497">
        <f t="shared" si="115"/>
        <v>1.1546239389830732E-3</v>
      </c>
      <c r="P148" s="497">
        <f t="shared" si="115"/>
        <v>8.729207531117184E-4</v>
      </c>
      <c r="Q148" s="497">
        <f t="shared" si="116"/>
        <v>3.8087983241287375E-4</v>
      </c>
      <c r="R148" s="498">
        <f t="shared" si="117"/>
        <v>0.12995451591942819</v>
      </c>
      <c r="S148" s="545">
        <f t="shared" si="99"/>
        <v>0.390625</v>
      </c>
      <c r="T148" s="546">
        <f t="shared" si="100"/>
        <v>136718.75</v>
      </c>
      <c r="U148" s="404"/>
      <c r="V148" s="476" t="str">
        <f t="shared" si="101"/>
        <v>Low</v>
      </c>
      <c r="W148" s="476" t="str">
        <f t="shared" si="102"/>
        <v>Low</v>
      </c>
      <c r="X148" s="477" t="str">
        <f t="shared" si="103"/>
        <v>Dog</v>
      </c>
      <c r="Y148" s="488"/>
      <c r="AA148" s="366"/>
      <c r="AB148" s="503"/>
      <c r="AC148" s="366"/>
      <c r="AD148" s="366"/>
      <c r="AE148" s="366"/>
      <c r="AF148" s="366"/>
      <c r="AG148" s="366"/>
      <c r="AH148" s="366"/>
      <c r="AI148" s="366"/>
      <c r="AJ148" s="366"/>
      <c r="AM148" s="76"/>
      <c r="AN148" s="76"/>
    </row>
    <row r="149" spans="1:40" ht="17.25" customHeight="1" x14ac:dyDescent="0.3">
      <c r="A149" s="366">
        <f t="shared" si="122"/>
        <v>11</v>
      </c>
      <c r="B149" s="590" t="s">
        <v>576</v>
      </c>
      <c r="C149" s="365" t="s">
        <v>584</v>
      </c>
      <c r="D149" s="365"/>
      <c r="E149" s="468" t="s">
        <v>307</v>
      </c>
      <c r="F149" s="581">
        <v>162727.33333333334</v>
      </c>
      <c r="G149" s="470">
        <v>350000</v>
      </c>
      <c r="H149" s="494">
        <f t="shared" si="118"/>
        <v>187272.66666666666</v>
      </c>
      <c r="I149" s="471">
        <v>2</v>
      </c>
      <c r="J149" s="424"/>
      <c r="K149" s="495">
        <f t="shared" si="119"/>
        <v>325454.66666666669</v>
      </c>
      <c r="L149" s="495">
        <f t="shared" si="120"/>
        <v>700000</v>
      </c>
      <c r="M149" s="495">
        <f t="shared" si="121"/>
        <v>374545.33333333331</v>
      </c>
      <c r="N149" s="496">
        <f t="shared" si="114"/>
        <v>0.46493523809523812</v>
      </c>
      <c r="O149" s="497">
        <f t="shared" si="115"/>
        <v>1.1546239389830732E-3</v>
      </c>
      <c r="P149" s="497">
        <f t="shared" si="115"/>
        <v>9.390157861343002E-4</v>
      </c>
      <c r="Q149" s="497">
        <f t="shared" si="116"/>
        <v>3.8087983241287375E-4</v>
      </c>
      <c r="R149" s="498">
        <f t="shared" si="117"/>
        <v>0.12995451591942819</v>
      </c>
      <c r="S149" s="545">
        <f t="shared" si="99"/>
        <v>0.390625</v>
      </c>
      <c r="T149" s="546">
        <f t="shared" si="100"/>
        <v>136718.75</v>
      </c>
      <c r="U149" s="404"/>
      <c r="V149" s="476" t="str">
        <f t="shared" si="101"/>
        <v>Low</v>
      </c>
      <c r="W149" s="476" t="str">
        <f t="shared" si="102"/>
        <v>Low</v>
      </c>
      <c r="X149" s="477" t="str">
        <f t="shared" si="103"/>
        <v>Dog</v>
      </c>
      <c r="Y149" s="488"/>
      <c r="AA149" s="366"/>
      <c r="AB149" s="503"/>
      <c r="AC149" s="366"/>
      <c r="AD149" s="366"/>
      <c r="AE149" s="366"/>
      <c r="AF149" s="366"/>
      <c r="AG149" s="366"/>
      <c r="AH149" s="366"/>
      <c r="AI149" s="366"/>
      <c r="AJ149" s="366"/>
      <c r="AM149" s="76"/>
      <c r="AN149" s="76"/>
    </row>
    <row r="150" spans="1:40" ht="20.25" customHeight="1" x14ac:dyDescent="0.3">
      <c r="A150" s="366">
        <f t="shared" si="122"/>
        <v>12</v>
      </c>
      <c r="B150" s="590" t="s">
        <v>698</v>
      </c>
      <c r="C150" s="365" t="s">
        <v>726</v>
      </c>
      <c r="D150" s="365"/>
      <c r="E150" s="468" t="s">
        <v>307</v>
      </c>
      <c r="F150" s="581">
        <v>67910</v>
      </c>
      <c r="G150" s="470">
        <v>190000</v>
      </c>
      <c r="H150" s="494">
        <f t="shared" si="118"/>
        <v>122090</v>
      </c>
      <c r="I150" s="471">
        <v>0</v>
      </c>
      <c r="J150" s="424"/>
      <c r="K150" s="495">
        <f t="shared" si="119"/>
        <v>0</v>
      </c>
      <c r="L150" s="495">
        <f t="shared" si="120"/>
        <v>0</v>
      </c>
      <c r="M150" s="495">
        <f t="shared" si="121"/>
        <v>0</v>
      </c>
      <c r="N150" s="496" t="e">
        <f t="shared" si="114"/>
        <v>#DIV/0!</v>
      </c>
      <c r="O150" s="497">
        <f t="shared" si="115"/>
        <v>0</v>
      </c>
      <c r="P150" s="497">
        <f t="shared" si="115"/>
        <v>0</v>
      </c>
      <c r="Q150" s="497">
        <f t="shared" si="116"/>
        <v>0</v>
      </c>
      <c r="R150" s="498">
        <f t="shared" si="117"/>
        <v>0</v>
      </c>
      <c r="S150" s="545">
        <f t="shared" si="99"/>
        <v>0</v>
      </c>
      <c r="T150" s="546">
        <f t="shared" si="100"/>
        <v>0</v>
      </c>
      <c r="U150" s="404"/>
      <c r="V150" s="476" t="str">
        <f t="shared" si="101"/>
        <v>Low</v>
      </c>
      <c r="W150" s="476" t="str">
        <f t="shared" si="102"/>
        <v>Low</v>
      </c>
      <c r="X150" s="477" t="str">
        <f t="shared" si="103"/>
        <v>Dog</v>
      </c>
      <c r="Y150" s="488"/>
      <c r="AA150" s="366"/>
      <c r="AB150" s="503"/>
      <c r="AC150" s="366"/>
      <c r="AD150" s="366"/>
      <c r="AE150" s="366"/>
      <c r="AF150" s="366"/>
      <c r="AG150" s="366"/>
      <c r="AH150" s="366"/>
      <c r="AI150" s="366"/>
      <c r="AJ150" s="366"/>
      <c r="AM150" s="76"/>
      <c r="AN150" s="76"/>
    </row>
    <row r="151" spans="1:40" ht="17.25" customHeight="1" x14ac:dyDescent="0.3">
      <c r="A151" s="366">
        <f t="shared" si="122"/>
        <v>13</v>
      </c>
      <c r="B151" s="590" t="s">
        <v>733</v>
      </c>
      <c r="C151" s="365" t="s">
        <v>734</v>
      </c>
      <c r="D151" s="365"/>
      <c r="E151" s="468" t="s">
        <v>732</v>
      </c>
      <c r="F151" s="581">
        <v>67910</v>
      </c>
      <c r="G151" s="470">
        <v>190000</v>
      </c>
      <c r="H151" s="494">
        <f t="shared" si="118"/>
        <v>122090</v>
      </c>
      <c r="I151" s="471">
        <v>10</v>
      </c>
      <c r="J151" s="424"/>
      <c r="K151" s="495">
        <f t="shared" si="119"/>
        <v>679100</v>
      </c>
      <c r="L151" s="495">
        <f t="shared" si="120"/>
        <v>1900000</v>
      </c>
      <c r="M151" s="495">
        <f t="shared" si="121"/>
        <v>1220900</v>
      </c>
      <c r="N151" s="496">
        <f t="shared" si="114"/>
        <v>0.35742105263157897</v>
      </c>
      <c r="O151" s="497">
        <f t="shared" si="115"/>
        <v>3.1339792629540559E-3</v>
      </c>
      <c r="P151" s="497">
        <f t="shared" si="115"/>
        <v>3.0608961619902723E-3</v>
      </c>
      <c r="Q151" s="497">
        <f t="shared" si="116"/>
        <v>1.9043991620643686E-3</v>
      </c>
      <c r="R151" s="498">
        <f t="shared" si="117"/>
        <v>0.64977257959714096</v>
      </c>
      <c r="S151" s="545">
        <f t="shared" si="99"/>
        <v>1.953125</v>
      </c>
      <c r="T151" s="546">
        <f t="shared" si="100"/>
        <v>371093.75</v>
      </c>
      <c r="U151" s="404"/>
      <c r="V151" s="476" t="str">
        <f t="shared" si="101"/>
        <v>High</v>
      </c>
      <c r="W151" s="476" t="str">
        <f t="shared" si="102"/>
        <v>Low</v>
      </c>
      <c r="X151" s="477" t="str">
        <f t="shared" si="103"/>
        <v>Horse</v>
      </c>
      <c r="Y151" s="488"/>
      <c r="AA151" s="366"/>
      <c r="AB151" s="503"/>
      <c r="AC151" s="366"/>
      <c r="AD151" s="366"/>
      <c r="AE151" s="366"/>
      <c r="AF151" s="366"/>
      <c r="AG151" s="366"/>
      <c r="AH151" s="366"/>
      <c r="AI151" s="366"/>
      <c r="AJ151" s="366"/>
      <c r="AM151" s="76"/>
      <c r="AN151" s="76"/>
    </row>
    <row r="152" spans="1:40" ht="17.25" customHeight="1" x14ac:dyDescent="0.3">
      <c r="A152" s="366">
        <f t="shared" si="122"/>
        <v>14</v>
      </c>
      <c r="B152" s="590" t="s">
        <v>730</v>
      </c>
      <c r="C152" s="365" t="s">
        <v>731</v>
      </c>
      <c r="D152" s="365"/>
      <c r="E152" s="468" t="s">
        <v>732</v>
      </c>
      <c r="F152" s="581">
        <v>51955</v>
      </c>
      <c r="G152" s="470">
        <v>150000</v>
      </c>
      <c r="H152" s="494">
        <f t="shared" si="118"/>
        <v>98045</v>
      </c>
      <c r="I152" s="471">
        <v>14</v>
      </c>
      <c r="J152" s="424"/>
      <c r="K152" s="495">
        <f t="shared" si="119"/>
        <v>727370</v>
      </c>
      <c r="L152" s="495">
        <f t="shared" si="120"/>
        <v>2100000</v>
      </c>
      <c r="M152" s="495">
        <f t="shared" si="121"/>
        <v>1372630</v>
      </c>
      <c r="N152" s="496">
        <f t="shared" si="114"/>
        <v>0.34636666666666666</v>
      </c>
      <c r="O152" s="497">
        <f t="shared" si="115"/>
        <v>3.4638718169492195E-3</v>
      </c>
      <c r="P152" s="497">
        <f t="shared" si="115"/>
        <v>3.4412956825560716E-3</v>
      </c>
      <c r="Q152" s="497">
        <f t="shared" si="116"/>
        <v>2.6661588268901163E-3</v>
      </c>
      <c r="R152" s="498">
        <f t="shared" si="117"/>
        <v>0.90968161143599735</v>
      </c>
      <c r="S152" s="545">
        <f t="shared" si="99"/>
        <v>2.734375</v>
      </c>
      <c r="T152" s="546">
        <f t="shared" si="100"/>
        <v>410156.25</v>
      </c>
      <c r="U152" s="404"/>
      <c r="V152" s="476" t="str">
        <f t="shared" si="101"/>
        <v>High</v>
      </c>
      <c r="W152" s="476" t="str">
        <f t="shared" si="102"/>
        <v>Low</v>
      </c>
      <c r="X152" s="477" t="str">
        <f t="shared" si="103"/>
        <v>Horse</v>
      </c>
      <c r="Y152" s="488"/>
      <c r="AA152" s="366"/>
      <c r="AB152" s="503"/>
      <c r="AC152" s="366"/>
      <c r="AD152" s="366"/>
      <c r="AE152" s="366"/>
      <c r="AF152" s="366"/>
      <c r="AG152" s="366"/>
      <c r="AH152" s="366"/>
      <c r="AI152" s="366"/>
      <c r="AJ152" s="366"/>
      <c r="AM152" s="76"/>
      <c r="AN152" s="76"/>
    </row>
    <row r="153" spans="1:40" ht="17.25" customHeight="1" x14ac:dyDescent="0.3">
      <c r="A153" s="366">
        <f t="shared" si="122"/>
        <v>15</v>
      </c>
      <c r="B153" s="590" t="s">
        <v>711</v>
      </c>
      <c r="C153" s="365" t="s">
        <v>713</v>
      </c>
      <c r="D153" s="365"/>
      <c r="E153" s="468" t="s">
        <v>307</v>
      </c>
      <c r="F153" s="581">
        <v>450000</v>
      </c>
      <c r="G153" s="470">
        <v>850000</v>
      </c>
      <c r="H153" s="494">
        <f t="shared" si="118"/>
        <v>400000</v>
      </c>
      <c r="I153" s="471">
        <v>0</v>
      </c>
      <c r="J153" s="424"/>
      <c r="K153" s="495">
        <f t="shared" si="119"/>
        <v>0</v>
      </c>
      <c r="L153" s="495">
        <f t="shared" si="120"/>
        <v>0</v>
      </c>
      <c r="M153" s="495">
        <f t="shared" si="121"/>
        <v>0</v>
      </c>
      <c r="N153" s="496" t="e">
        <f t="shared" si="114"/>
        <v>#DIV/0!</v>
      </c>
      <c r="O153" s="497">
        <f t="shared" si="115"/>
        <v>0</v>
      </c>
      <c r="P153" s="497">
        <f t="shared" si="115"/>
        <v>0</v>
      </c>
      <c r="Q153" s="497">
        <f t="shared" si="116"/>
        <v>0</v>
      </c>
      <c r="R153" s="498">
        <f t="shared" si="117"/>
        <v>0</v>
      </c>
      <c r="S153" s="545">
        <f t="shared" si="99"/>
        <v>0</v>
      </c>
      <c r="T153" s="546">
        <f t="shared" si="100"/>
        <v>0</v>
      </c>
      <c r="U153" s="404"/>
      <c r="V153" s="476" t="str">
        <f t="shared" si="101"/>
        <v>Low</v>
      </c>
      <c r="W153" s="476" t="str">
        <f t="shared" si="102"/>
        <v>Low</v>
      </c>
      <c r="X153" s="477" t="str">
        <f t="shared" si="103"/>
        <v>Dog</v>
      </c>
      <c r="Y153" s="488"/>
      <c r="AA153" s="366"/>
      <c r="AB153" s="503"/>
      <c r="AC153" s="366"/>
      <c r="AD153" s="366"/>
      <c r="AE153" s="366"/>
      <c r="AF153" s="366"/>
      <c r="AG153" s="366"/>
      <c r="AH153" s="366"/>
      <c r="AI153" s="366"/>
      <c r="AJ153" s="366"/>
      <c r="AM153" s="76"/>
      <c r="AN153" s="76"/>
    </row>
    <row r="154" spans="1:40" ht="17.25" customHeight="1" x14ac:dyDescent="0.3">
      <c r="A154" s="366"/>
      <c r="B154" s="518"/>
      <c r="C154" s="518"/>
      <c r="D154" s="495"/>
      <c r="E154" s="468"/>
      <c r="F154" s="468"/>
      <c r="G154" s="468"/>
      <c r="H154" s="494"/>
      <c r="I154" s="471"/>
      <c r="J154" s="424"/>
      <c r="K154" s="495"/>
      <c r="L154" s="495"/>
      <c r="M154" s="495"/>
      <c r="N154" s="496"/>
      <c r="O154" s="497"/>
      <c r="P154" s="497"/>
      <c r="Q154" s="497"/>
      <c r="R154" s="498"/>
      <c r="S154" s="545">
        <f t="shared" si="99"/>
        <v>0</v>
      </c>
      <c r="T154" s="546">
        <f t="shared" si="100"/>
        <v>0</v>
      </c>
      <c r="U154" s="404"/>
      <c r="V154" s="476" t="str">
        <f t="shared" si="101"/>
        <v/>
      </c>
      <c r="W154" s="476" t="str">
        <f t="shared" si="102"/>
        <v/>
      </c>
      <c r="X154" s="477" t="str">
        <f t="shared" si="103"/>
        <v/>
      </c>
      <c r="AA154" s="366"/>
      <c r="AB154" s="503"/>
      <c r="AC154" s="366"/>
      <c r="AD154" s="366"/>
      <c r="AE154" s="366"/>
      <c r="AF154" s="366"/>
      <c r="AG154" s="366"/>
      <c r="AH154" s="366"/>
      <c r="AI154" s="366"/>
      <c r="AJ154" s="366"/>
      <c r="AM154" s="76"/>
      <c r="AN154" s="76"/>
    </row>
    <row r="155" spans="1:40" ht="17.25" customHeight="1" x14ac:dyDescent="0.3">
      <c r="A155" s="453"/>
      <c r="B155" s="479" t="s">
        <v>449</v>
      </c>
      <c r="C155" s="480" t="s">
        <v>450</v>
      </c>
      <c r="D155" s="480"/>
      <c r="E155" s="480"/>
      <c r="F155" s="482"/>
      <c r="G155" s="481"/>
      <c r="H155" s="481"/>
      <c r="I155" s="483">
        <f>SUBTOTAL(9,I156:I159)</f>
        <v>649</v>
      </c>
      <c r="J155" s="484"/>
      <c r="K155" s="480">
        <f>SUBTOTAL(9,K156:K159)</f>
        <v>10143540.655072574</v>
      </c>
      <c r="L155" s="480">
        <f>SUBTOTAL(9,L156:L159)</f>
        <v>1410000</v>
      </c>
      <c r="M155" s="480">
        <f>SUBTOTAL(9,M156:M159)</f>
        <v>-8733540.6550725736</v>
      </c>
      <c r="N155" s="485">
        <f>K155/L155</f>
        <v>7.194000464590478</v>
      </c>
      <c r="O155" s="486">
        <f>L155/L$10</f>
        <v>2.3257425056659045E-3</v>
      </c>
      <c r="P155" s="486">
        <f>M155/M$10</f>
        <v>-2.1895700771314319E-2</v>
      </c>
      <c r="Q155" s="486">
        <f>I155/I$10</f>
        <v>0.12359550561797752</v>
      </c>
      <c r="R155" s="487">
        <f t="shared" ref="R155" si="123">I155/$K$5*100</f>
        <v>42.170240415854451</v>
      </c>
      <c r="S155" s="487">
        <f t="shared" si="99"/>
        <v>126.7578125</v>
      </c>
      <c r="T155" s="487">
        <f t="shared" si="100"/>
        <v>0</v>
      </c>
      <c r="U155" s="404"/>
      <c r="V155" s="476" t="str">
        <f t="shared" si="101"/>
        <v>High</v>
      </c>
      <c r="W155" s="476" t="str">
        <f t="shared" si="102"/>
        <v>Low</v>
      </c>
      <c r="X155" s="477" t="str">
        <f t="shared" si="103"/>
        <v>Horse</v>
      </c>
      <c r="AA155" s="366"/>
      <c r="AB155" s="503"/>
      <c r="AC155" s="366"/>
      <c r="AD155" s="366"/>
      <c r="AE155" s="366"/>
      <c r="AF155" s="366"/>
      <c r="AG155" s="366"/>
      <c r="AH155" s="366"/>
      <c r="AI155" s="366"/>
      <c r="AJ155" s="366"/>
      <c r="AM155" s="76"/>
      <c r="AN155" s="76"/>
    </row>
    <row r="156" spans="1:40" s="148" customFormat="1" ht="17.25" customHeight="1" x14ac:dyDescent="0.3">
      <c r="A156" s="366">
        <v>1</v>
      </c>
      <c r="B156" s="467" t="s">
        <v>453</v>
      </c>
      <c r="C156" s="365" t="s">
        <v>451</v>
      </c>
      <c r="D156" s="365"/>
      <c r="E156" s="468"/>
      <c r="F156" s="469">
        <v>1508.5797633136096</v>
      </c>
      <c r="G156" s="470"/>
      <c r="H156" s="470">
        <f>G156-F156</f>
        <v>-1508.5797633136096</v>
      </c>
      <c r="I156" s="471">
        <v>1</v>
      </c>
      <c r="J156" s="424"/>
      <c r="K156" s="472">
        <f>I156*F156*$K$5</f>
        <v>2321704.2557396451</v>
      </c>
      <c r="L156" s="424">
        <f>I156*G156</f>
        <v>0</v>
      </c>
      <c r="M156" s="424">
        <f>L156-K156</f>
        <v>-2321704.2557396451</v>
      </c>
      <c r="N156" s="473" t="e">
        <f>K156/L156</f>
        <v>#DIV/0!</v>
      </c>
      <c r="O156" s="474">
        <f>L156/L$10</f>
        <v>0</v>
      </c>
      <c r="P156" s="474">
        <f>M156/M$10</f>
        <v>-5.8207024700384644E-3</v>
      </c>
      <c r="Q156" s="474">
        <f>I156/I$10</f>
        <v>1.9043991620643687E-4</v>
      </c>
      <c r="R156" s="475">
        <f>I156/$K$5*100</f>
        <v>6.4977257959714096E-2</v>
      </c>
      <c r="S156" s="545">
        <f t="shared" si="99"/>
        <v>0.1953125</v>
      </c>
      <c r="T156" s="546">
        <f t="shared" si="100"/>
        <v>0</v>
      </c>
      <c r="U156" s="404"/>
      <c r="V156" s="476" t="str">
        <f t="shared" si="101"/>
        <v>Low</v>
      </c>
      <c r="W156" s="476" t="str">
        <f t="shared" si="102"/>
        <v>Low</v>
      </c>
      <c r="X156" s="477" t="str">
        <f t="shared" si="103"/>
        <v>Dog</v>
      </c>
      <c r="Y156" s="374"/>
      <c r="Z156" s="571"/>
      <c r="AA156" s="366"/>
      <c r="AB156" s="503"/>
      <c r="AC156" s="366"/>
      <c r="AD156" s="366"/>
      <c r="AE156" s="366"/>
      <c r="AF156" s="366"/>
      <c r="AG156" s="366"/>
      <c r="AH156" s="366"/>
      <c r="AI156" s="366"/>
      <c r="AJ156" s="366"/>
      <c r="AK156" s="375"/>
      <c r="AL156" s="376"/>
      <c r="AM156" s="138"/>
      <c r="AN156" s="138"/>
    </row>
    <row r="157" spans="1:40" ht="17.25" customHeight="1" x14ac:dyDescent="0.3">
      <c r="A157" s="366">
        <f t="shared" ref="A157:A158" si="124">A156+1</f>
        <v>2</v>
      </c>
      <c r="B157" s="590" t="s">
        <v>728</v>
      </c>
      <c r="C157" s="365" t="s">
        <v>729</v>
      </c>
      <c r="D157" s="365"/>
      <c r="E157" s="468" t="s">
        <v>437</v>
      </c>
      <c r="F157" s="581">
        <v>13625.146048109966</v>
      </c>
      <c r="G157" s="470">
        <v>0</v>
      </c>
      <c r="H157" s="494">
        <f t="shared" ref="H157:H158" si="125">G157-F157</f>
        <v>-13625.146048109966</v>
      </c>
      <c r="I157" s="471">
        <v>507</v>
      </c>
      <c r="J157" s="424"/>
      <c r="K157" s="495">
        <f t="shared" ref="K157:K158" si="126">I157*F157</f>
        <v>6907949.0463917525</v>
      </c>
      <c r="L157" s="495">
        <f t="shared" ref="L157:L158" si="127">I157*G157</f>
        <v>0</v>
      </c>
      <c r="M157" s="495">
        <f t="shared" ref="M157:M158" si="128">L157-K157</f>
        <v>-6907949.0463917525</v>
      </c>
      <c r="N157" s="496" t="e">
        <f t="shared" ref="N157:N158" si="129">K157/L157</f>
        <v>#DIV/0!</v>
      </c>
      <c r="O157" s="497">
        <f t="shared" ref="O157:P158" si="130">L157/L$10</f>
        <v>0</v>
      </c>
      <c r="P157" s="497">
        <f t="shared" si="130"/>
        <v>-1.7318793286366513E-2</v>
      </c>
      <c r="Q157" s="497">
        <f t="shared" ref="Q157:Q158" si="131">I157/I$10</f>
        <v>9.6553037516663498E-2</v>
      </c>
      <c r="R157" s="498">
        <f t="shared" ref="R157:R158" si="132">I157/$K$5*100</f>
        <v>32.943469785575047</v>
      </c>
      <c r="S157" s="545">
        <f t="shared" si="99"/>
        <v>99.0234375</v>
      </c>
      <c r="T157" s="546">
        <f t="shared" si="100"/>
        <v>0</v>
      </c>
      <c r="U157" s="404"/>
      <c r="V157" s="476" t="str">
        <f t="shared" si="101"/>
        <v>High</v>
      </c>
      <c r="W157" s="476" t="str">
        <f t="shared" si="102"/>
        <v>Low</v>
      </c>
      <c r="X157" s="477" t="str">
        <f t="shared" si="103"/>
        <v>Horse</v>
      </c>
      <c r="Y157" s="488"/>
      <c r="AA157" s="366"/>
      <c r="AB157" s="503"/>
      <c r="AC157" s="366"/>
      <c r="AD157" s="366"/>
      <c r="AE157" s="366"/>
      <c r="AF157" s="366"/>
      <c r="AG157" s="366"/>
      <c r="AH157" s="366"/>
      <c r="AI157" s="366"/>
      <c r="AJ157" s="366"/>
      <c r="AM157" s="76"/>
      <c r="AN157" s="76"/>
    </row>
    <row r="158" spans="1:40" ht="17.25" customHeight="1" x14ac:dyDescent="0.3">
      <c r="A158" s="366">
        <f t="shared" si="124"/>
        <v>3</v>
      </c>
      <c r="B158" s="590" t="s">
        <v>735</v>
      </c>
      <c r="C158" s="365" t="s">
        <v>737</v>
      </c>
      <c r="D158" s="365"/>
      <c r="E158" s="468" t="s">
        <v>437</v>
      </c>
      <c r="F158" s="581">
        <v>6481.4705882352937</v>
      </c>
      <c r="G158" s="470">
        <v>10000</v>
      </c>
      <c r="H158" s="494">
        <f t="shared" si="125"/>
        <v>3518.5294117647063</v>
      </c>
      <c r="I158" s="471">
        <v>141</v>
      </c>
      <c r="J158" s="424"/>
      <c r="K158" s="495">
        <f t="shared" si="126"/>
        <v>913887.35294117639</v>
      </c>
      <c r="L158" s="495">
        <f t="shared" si="127"/>
        <v>1410000</v>
      </c>
      <c r="M158" s="495">
        <f t="shared" si="128"/>
        <v>496112.64705882361</v>
      </c>
      <c r="N158" s="496">
        <f t="shared" si="129"/>
        <v>0.6481470588235293</v>
      </c>
      <c r="O158" s="497">
        <f t="shared" si="130"/>
        <v>2.3257425056659045E-3</v>
      </c>
      <c r="P158" s="497">
        <f t="shared" si="130"/>
        <v>1.2437949850906608E-3</v>
      </c>
      <c r="Q158" s="497">
        <f t="shared" si="131"/>
        <v>2.6852028185107599E-2</v>
      </c>
      <c r="R158" s="498">
        <f t="shared" si="132"/>
        <v>9.1617933723196874</v>
      </c>
      <c r="S158" s="545">
        <f t="shared" si="99"/>
        <v>27.539062499999996</v>
      </c>
      <c r="T158" s="546">
        <f t="shared" si="100"/>
        <v>275390.62499999994</v>
      </c>
      <c r="U158" s="404"/>
      <c r="V158" s="476" t="str">
        <f t="shared" si="101"/>
        <v>High</v>
      </c>
      <c r="W158" s="476" t="str">
        <f t="shared" si="102"/>
        <v>Low</v>
      </c>
      <c r="X158" s="477" t="str">
        <f t="shared" si="103"/>
        <v>Horse</v>
      </c>
      <c r="Y158" s="488"/>
      <c r="AA158" s="366"/>
      <c r="AB158" s="503"/>
      <c r="AC158" s="366"/>
      <c r="AD158" s="366"/>
      <c r="AE158" s="366"/>
      <c r="AF158" s="366"/>
      <c r="AG158" s="366"/>
      <c r="AH158" s="366"/>
      <c r="AI158" s="366"/>
      <c r="AJ158" s="366"/>
      <c r="AM158" s="76"/>
      <c r="AN158" s="76"/>
    </row>
    <row r="159" spans="1:40" ht="17.25" customHeight="1" x14ac:dyDescent="0.3">
      <c r="A159" s="366"/>
      <c r="B159" s="518"/>
      <c r="C159" s="518"/>
      <c r="D159" s="495"/>
      <c r="E159" s="468"/>
      <c r="F159" s="581"/>
      <c r="G159" s="470"/>
      <c r="H159" s="494"/>
      <c r="I159" s="471"/>
      <c r="J159" s="424"/>
      <c r="K159" s="495"/>
      <c r="L159" s="495"/>
      <c r="M159" s="495"/>
      <c r="N159" s="496"/>
      <c r="O159" s="497"/>
      <c r="P159" s="497"/>
      <c r="Q159" s="497"/>
      <c r="R159" s="498"/>
      <c r="S159" s="545">
        <f t="shared" si="99"/>
        <v>0</v>
      </c>
      <c r="T159" s="546">
        <f t="shared" si="100"/>
        <v>0</v>
      </c>
      <c r="U159" s="404"/>
      <c r="V159" s="476" t="str">
        <f t="shared" si="101"/>
        <v/>
      </c>
      <c r="W159" s="476" t="str">
        <f t="shared" si="102"/>
        <v/>
      </c>
      <c r="X159" s="477" t="str">
        <f t="shared" si="103"/>
        <v/>
      </c>
      <c r="AA159" s="366"/>
      <c r="AB159" s="503"/>
      <c r="AC159" s="366"/>
      <c r="AD159" s="366"/>
      <c r="AE159" s="366"/>
      <c r="AF159" s="366"/>
      <c r="AG159" s="366"/>
      <c r="AH159" s="366"/>
      <c r="AI159" s="366"/>
      <c r="AJ159" s="366"/>
      <c r="AM159" s="76"/>
      <c r="AN159" s="76"/>
    </row>
    <row r="160" spans="1:40" ht="17.25" customHeight="1" x14ac:dyDescent="0.3">
      <c r="A160" s="453"/>
      <c r="B160" s="479" t="s">
        <v>493</v>
      </c>
      <c r="C160" s="479" t="s">
        <v>440</v>
      </c>
      <c r="D160" s="480"/>
      <c r="E160" s="480"/>
      <c r="F160" s="482"/>
      <c r="G160" s="481"/>
      <c r="H160" s="481"/>
      <c r="I160" s="482">
        <f>SUBTOTAL(9,I161:I166)</f>
        <v>1192</v>
      </c>
      <c r="J160" s="484"/>
      <c r="K160" s="480">
        <f>SUBTOTAL(9,K161:K166)</f>
        <v>681810.45454545459</v>
      </c>
      <c r="L160" s="480">
        <f>SUBTOTAL(9,L161:L166)</f>
        <v>3576000</v>
      </c>
      <c r="M160" s="480">
        <f>SUBTOTAL(9,M161:M166)</f>
        <v>2894189.5454545454</v>
      </c>
      <c r="N160" s="485">
        <f t="shared" ref="N160:N165" si="133">K160/L160</f>
        <v>0.1906628787878788</v>
      </c>
      <c r="O160" s="486">
        <f t="shared" ref="O160:P165" si="134">L160/L$10</f>
        <v>5.8984788654335282E-3</v>
      </c>
      <c r="P160" s="486">
        <f t="shared" si="134"/>
        <v>7.2559699170728058E-3</v>
      </c>
      <c r="Q160" s="486">
        <f t="shared" ref="Q160:Q165" si="135">I160/I$10</f>
        <v>0.22700438011807275</v>
      </c>
      <c r="R160" s="487">
        <f t="shared" ref="R160:R165" si="136">I160/$K$5*100</f>
        <v>77.452891487979201</v>
      </c>
      <c r="S160" s="487">
        <f t="shared" si="99"/>
        <v>232.81249999999997</v>
      </c>
      <c r="T160" s="487">
        <f t="shared" si="100"/>
        <v>0</v>
      </c>
      <c r="U160" s="404"/>
      <c r="V160" s="476" t="str">
        <f t="shared" si="101"/>
        <v>High</v>
      </c>
      <c r="W160" s="476" t="str">
        <f t="shared" si="102"/>
        <v>Low</v>
      </c>
      <c r="X160" s="477" t="str">
        <f t="shared" si="103"/>
        <v>Horse</v>
      </c>
      <c r="AA160" s="366"/>
      <c r="AB160" s="503"/>
      <c r="AC160" s="366"/>
      <c r="AD160" s="366"/>
      <c r="AE160" s="366"/>
      <c r="AF160" s="366"/>
      <c r="AG160" s="366"/>
      <c r="AH160" s="366"/>
      <c r="AI160" s="366"/>
      <c r="AJ160" s="366"/>
      <c r="AM160" s="76"/>
      <c r="AN160" s="76"/>
    </row>
    <row r="161" spans="1:40" ht="17.25" customHeight="1" x14ac:dyDescent="0.3">
      <c r="A161" s="366">
        <v>1</v>
      </c>
      <c r="B161" s="518" t="s">
        <v>568</v>
      </c>
      <c r="C161" s="365" t="s">
        <v>569</v>
      </c>
      <c r="D161" s="365"/>
      <c r="E161" s="468" t="s">
        <v>431</v>
      </c>
      <c r="F161" s="581">
        <v>571.98863636363637</v>
      </c>
      <c r="G161" s="470">
        <v>3000</v>
      </c>
      <c r="H161" s="494">
        <f t="shared" ref="H161:H165" si="137">G161-F161</f>
        <v>2428.0113636363635</v>
      </c>
      <c r="I161" s="471">
        <v>1192</v>
      </c>
      <c r="J161" s="424"/>
      <c r="K161" s="495">
        <f t="shared" ref="K161:K165" si="138">I161*F161</f>
        <v>681810.45454545459</v>
      </c>
      <c r="L161" s="495">
        <f t="shared" ref="L161:L165" si="139">I161*G161</f>
        <v>3576000</v>
      </c>
      <c r="M161" s="495">
        <f t="shared" ref="M161:M165" si="140">L161-K161</f>
        <v>2894189.5454545454</v>
      </c>
      <c r="N161" s="496">
        <f t="shared" si="133"/>
        <v>0.1906628787878788</v>
      </c>
      <c r="O161" s="497">
        <f t="shared" si="134"/>
        <v>5.8984788654335282E-3</v>
      </c>
      <c r="P161" s="497">
        <f t="shared" si="134"/>
        <v>7.2559699170728058E-3</v>
      </c>
      <c r="Q161" s="497">
        <f t="shared" si="135"/>
        <v>0.22700438011807275</v>
      </c>
      <c r="R161" s="498">
        <f t="shared" si="136"/>
        <v>77.452891487979201</v>
      </c>
      <c r="S161" s="545">
        <f t="shared" si="99"/>
        <v>232.81249999999997</v>
      </c>
      <c r="T161" s="546">
        <f t="shared" si="100"/>
        <v>698437.49999999988</v>
      </c>
      <c r="U161" s="404"/>
      <c r="V161" s="476" t="str">
        <f t="shared" si="101"/>
        <v>High</v>
      </c>
      <c r="W161" s="476" t="str">
        <f t="shared" si="102"/>
        <v>Low</v>
      </c>
      <c r="X161" s="477" t="str">
        <f t="shared" si="103"/>
        <v>Horse</v>
      </c>
      <c r="AA161" s="366"/>
      <c r="AB161" s="503"/>
      <c r="AC161" s="366"/>
      <c r="AD161" s="366"/>
      <c r="AE161" s="366"/>
      <c r="AF161" s="366"/>
      <c r="AG161" s="366"/>
      <c r="AH161" s="366"/>
      <c r="AI161" s="366"/>
      <c r="AJ161" s="366"/>
      <c r="AM161" s="76"/>
      <c r="AN161" s="76"/>
    </row>
    <row r="162" spans="1:40" ht="17.25" customHeight="1" x14ac:dyDescent="0.3">
      <c r="A162" s="366">
        <f t="shared" ref="A162:A165" si="141">A161+1</f>
        <v>2</v>
      </c>
      <c r="B162" s="518" t="s">
        <v>516</v>
      </c>
      <c r="C162" s="365" t="s">
        <v>551</v>
      </c>
      <c r="D162" s="365"/>
      <c r="E162" s="468" t="s">
        <v>307</v>
      </c>
      <c r="F162" s="478"/>
      <c r="G162" s="470">
        <v>100000</v>
      </c>
      <c r="H162" s="494">
        <f t="shared" si="137"/>
        <v>100000</v>
      </c>
      <c r="I162" s="471">
        <v>0</v>
      </c>
      <c r="J162" s="424"/>
      <c r="K162" s="495">
        <f t="shared" si="138"/>
        <v>0</v>
      </c>
      <c r="L162" s="495">
        <f t="shared" si="139"/>
        <v>0</v>
      </c>
      <c r="M162" s="495">
        <f t="shared" si="140"/>
        <v>0</v>
      </c>
      <c r="N162" s="496" t="e">
        <f t="shared" si="133"/>
        <v>#DIV/0!</v>
      </c>
      <c r="O162" s="497">
        <f t="shared" si="134"/>
        <v>0</v>
      </c>
      <c r="P162" s="497">
        <f t="shared" si="134"/>
        <v>0</v>
      </c>
      <c r="Q162" s="497">
        <f t="shared" si="135"/>
        <v>0</v>
      </c>
      <c r="R162" s="498">
        <f t="shared" si="136"/>
        <v>0</v>
      </c>
      <c r="S162" s="545">
        <f t="shared" si="99"/>
        <v>0</v>
      </c>
      <c r="T162" s="546">
        <f t="shared" si="100"/>
        <v>0</v>
      </c>
      <c r="U162" s="404"/>
      <c r="V162" s="476" t="str">
        <f t="shared" si="101"/>
        <v>Low</v>
      </c>
      <c r="W162" s="476" t="str">
        <f t="shared" si="102"/>
        <v>Low</v>
      </c>
      <c r="X162" s="477" t="str">
        <f t="shared" si="103"/>
        <v>Dog</v>
      </c>
      <c r="AA162" s="366"/>
      <c r="AB162" s="503"/>
      <c r="AC162" s="366"/>
      <c r="AD162" s="366"/>
      <c r="AE162" s="366"/>
      <c r="AF162" s="366"/>
      <c r="AG162" s="366"/>
      <c r="AH162" s="366"/>
      <c r="AI162" s="366"/>
      <c r="AJ162" s="366"/>
      <c r="AM162" s="76"/>
      <c r="AN162" s="76"/>
    </row>
    <row r="163" spans="1:40" ht="27.75" customHeight="1" x14ac:dyDescent="0.3">
      <c r="A163" s="366">
        <f t="shared" si="141"/>
        <v>3</v>
      </c>
      <c r="B163" s="518" t="s">
        <v>517</v>
      </c>
      <c r="C163" s="365" t="s">
        <v>552</v>
      </c>
      <c r="D163" s="365"/>
      <c r="E163" s="468" t="s">
        <v>553</v>
      </c>
      <c r="F163" s="478"/>
      <c r="G163" s="470">
        <v>150000</v>
      </c>
      <c r="H163" s="494">
        <f t="shared" si="137"/>
        <v>150000</v>
      </c>
      <c r="I163" s="471">
        <v>0</v>
      </c>
      <c r="J163" s="424"/>
      <c r="K163" s="495">
        <f t="shared" si="138"/>
        <v>0</v>
      </c>
      <c r="L163" s="495">
        <f t="shared" si="139"/>
        <v>0</v>
      </c>
      <c r="M163" s="495">
        <f t="shared" si="140"/>
        <v>0</v>
      </c>
      <c r="N163" s="496" t="e">
        <f t="shared" si="133"/>
        <v>#DIV/0!</v>
      </c>
      <c r="O163" s="497">
        <f t="shared" si="134"/>
        <v>0</v>
      </c>
      <c r="P163" s="497">
        <f t="shared" si="134"/>
        <v>0</v>
      </c>
      <c r="Q163" s="497">
        <f t="shared" si="135"/>
        <v>0</v>
      </c>
      <c r="R163" s="498">
        <f t="shared" si="136"/>
        <v>0</v>
      </c>
      <c r="S163" s="545">
        <f t="shared" si="99"/>
        <v>0</v>
      </c>
      <c r="T163" s="546">
        <f t="shared" si="100"/>
        <v>0</v>
      </c>
      <c r="U163" s="404"/>
      <c r="V163" s="476" t="str">
        <f t="shared" si="101"/>
        <v>Low</v>
      </c>
      <c r="W163" s="476" t="str">
        <f t="shared" si="102"/>
        <v>Low</v>
      </c>
      <c r="X163" s="477" t="str">
        <f t="shared" si="103"/>
        <v>Dog</v>
      </c>
      <c r="Y163" s="488"/>
      <c r="Z163" s="465"/>
      <c r="AA163" s="366"/>
      <c r="AB163" s="503"/>
      <c r="AC163" s="366"/>
      <c r="AD163" s="366"/>
      <c r="AE163" s="366"/>
      <c r="AF163" s="366"/>
      <c r="AG163" s="366"/>
      <c r="AH163" s="366"/>
      <c r="AI163" s="366"/>
      <c r="AJ163" s="366"/>
      <c r="AM163" s="76"/>
      <c r="AN163" s="76"/>
    </row>
    <row r="164" spans="1:40" ht="17.25" customHeight="1" x14ac:dyDescent="0.3">
      <c r="A164" s="366">
        <f t="shared" si="141"/>
        <v>4</v>
      </c>
      <c r="B164" s="518" t="s">
        <v>518</v>
      </c>
      <c r="C164" s="365" t="s">
        <v>554</v>
      </c>
      <c r="D164" s="365"/>
      <c r="E164" s="468" t="s">
        <v>415</v>
      </c>
      <c r="F164" s="522"/>
      <c r="G164" s="470">
        <v>50000</v>
      </c>
      <c r="H164" s="494">
        <f t="shared" si="137"/>
        <v>50000</v>
      </c>
      <c r="I164" s="471">
        <v>0</v>
      </c>
      <c r="J164" s="424"/>
      <c r="K164" s="495">
        <f t="shared" si="138"/>
        <v>0</v>
      </c>
      <c r="L164" s="495">
        <f t="shared" si="139"/>
        <v>0</v>
      </c>
      <c r="M164" s="495">
        <f t="shared" si="140"/>
        <v>0</v>
      </c>
      <c r="N164" s="496" t="e">
        <f t="shared" si="133"/>
        <v>#DIV/0!</v>
      </c>
      <c r="O164" s="497">
        <f t="shared" si="134"/>
        <v>0</v>
      </c>
      <c r="P164" s="497">
        <f t="shared" si="134"/>
        <v>0</v>
      </c>
      <c r="Q164" s="497">
        <f t="shared" si="135"/>
        <v>0</v>
      </c>
      <c r="R164" s="498">
        <f t="shared" si="136"/>
        <v>0</v>
      </c>
      <c r="S164" s="545">
        <f t="shared" si="99"/>
        <v>0</v>
      </c>
      <c r="T164" s="546">
        <f t="shared" si="100"/>
        <v>0</v>
      </c>
      <c r="U164" s="404"/>
      <c r="V164" s="476" t="str">
        <f t="shared" si="101"/>
        <v>Low</v>
      </c>
      <c r="W164" s="476" t="str">
        <f t="shared" si="102"/>
        <v>Low</v>
      </c>
      <c r="X164" s="477" t="str">
        <f t="shared" si="103"/>
        <v>Dog</v>
      </c>
      <c r="Y164" s="571"/>
      <c r="AA164" s="366"/>
      <c r="AB164" s="503"/>
      <c r="AC164" s="366"/>
      <c r="AD164" s="366"/>
      <c r="AE164" s="366"/>
      <c r="AF164" s="366"/>
      <c r="AG164" s="366"/>
      <c r="AH164" s="366"/>
      <c r="AI164" s="366"/>
      <c r="AJ164" s="366"/>
      <c r="AM164" s="76"/>
      <c r="AN164" s="76"/>
    </row>
    <row r="165" spans="1:40" ht="17.25" customHeight="1" x14ac:dyDescent="0.3">
      <c r="A165" s="366">
        <f t="shared" si="141"/>
        <v>5</v>
      </c>
      <c r="B165" s="518" t="s">
        <v>519</v>
      </c>
      <c r="C165" s="365" t="s">
        <v>441</v>
      </c>
      <c r="D165" s="365"/>
      <c r="E165" s="468" t="s">
        <v>38</v>
      </c>
      <c r="F165" s="478"/>
      <c r="G165" s="470">
        <v>80000</v>
      </c>
      <c r="H165" s="494">
        <f t="shared" si="137"/>
        <v>80000</v>
      </c>
      <c r="I165" s="471">
        <v>0</v>
      </c>
      <c r="J165" s="424"/>
      <c r="K165" s="495">
        <f t="shared" si="138"/>
        <v>0</v>
      </c>
      <c r="L165" s="495">
        <f t="shared" si="139"/>
        <v>0</v>
      </c>
      <c r="M165" s="495">
        <f t="shared" si="140"/>
        <v>0</v>
      </c>
      <c r="N165" s="496" t="e">
        <f t="shared" si="133"/>
        <v>#DIV/0!</v>
      </c>
      <c r="O165" s="497">
        <f t="shared" si="134"/>
        <v>0</v>
      </c>
      <c r="P165" s="497">
        <f t="shared" si="134"/>
        <v>0</v>
      </c>
      <c r="Q165" s="497">
        <f t="shared" si="135"/>
        <v>0</v>
      </c>
      <c r="R165" s="498">
        <f t="shared" si="136"/>
        <v>0</v>
      </c>
      <c r="S165" s="545">
        <f t="shared" si="99"/>
        <v>0</v>
      </c>
      <c r="T165" s="546">
        <f t="shared" si="100"/>
        <v>0</v>
      </c>
      <c r="U165" s="404"/>
      <c r="V165" s="476" t="str">
        <f t="shared" si="101"/>
        <v>Low</v>
      </c>
      <c r="W165" s="476" t="str">
        <f t="shared" si="102"/>
        <v>Low</v>
      </c>
      <c r="X165" s="477" t="str">
        <f t="shared" si="103"/>
        <v>Dog</v>
      </c>
      <c r="Y165" s="571"/>
      <c r="AM165" s="76"/>
      <c r="AN165" s="76"/>
    </row>
    <row r="166" spans="1:40" ht="17.25" customHeight="1" x14ac:dyDescent="0.3">
      <c r="A166" s="366"/>
      <c r="B166" s="519"/>
      <c r="C166" s="520"/>
      <c r="D166" s="520"/>
      <c r="E166" s="521"/>
      <c r="F166" s="522"/>
      <c r="G166" s="523"/>
      <c r="H166" s="524"/>
      <c r="I166" s="525"/>
      <c r="J166" s="499"/>
      <c r="K166" s="526"/>
      <c r="L166" s="526"/>
      <c r="M166" s="526"/>
      <c r="N166" s="527"/>
      <c r="O166" s="528"/>
      <c r="P166" s="528"/>
      <c r="Q166" s="528"/>
      <c r="R166" s="529"/>
      <c r="S166" s="549">
        <f t="shared" si="99"/>
        <v>0</v>
      </c>
      <c r="T166" s="550">
        <f t="shared" si="100"/>
        <v>0</v>
      </c>
      <c r="U166" s="404"/>
      <c r="V166" s="476" t="str">
        <f t="shared" si="101"/>
        <v/>
      </c>
      <c r="W166" s="476" t="str">
        <f t="shared" si="102"/>
        <v/>
      </c>
      <c r="X166" s="477" t="str">
        <f t="shared" si="103"/>
        <v/>
      </c>
      <c r="Y166" s="571"/>
      <c r="AM166" s="76"/>
      <c r="AN166" s="76"/>
    </row>
    <row r="167" spans="1:40" ht="17.25" customHeight="1" x14ac:dyDescent="0.3">
      <c r="U167" s="465"/>
      <c r="V167" s="571" t="str">
        <f t="shared" si="101"/>
        <v/>
      </c>
      <c r="W167" s="571" t="str">
        <f t="shared" si="102"/>
        <v/>
      </c>
      <c r="X167" s="571" t="str">
        <f t="shared" si="103"/>
        <v/>
      </c>
      <c r="AM167" s="76"/>
      <c r="AN167" s="76"/>
    </row>
    <row r="168" spans="1:40" s="148" customFormat="1" ht="17.25" customHeight="1" x14ac:dyDescent="0.3">
      <c r="A168" s="571"/>
      <c r="B168" s="571"/>
      <c r="C168" s="571"/>
      <c r="D168" s="571"/>
      <c r="E168" s="530"/>
      <c r="F168" s="503"/>
      <c r="G168" s="571"/>
      <c r="H168" s="571"/>
      <c r="I168" s="401"/>
      <c r="J168" s="571"/>
      <c r="K168" s="571"/>
      <c r="L168" s="571"/>
      <c r="M168" s="571"/>
      <c r="N168" s="571"/>
      <c r="O168" s="571"/>
      <c r="P168" s="571"/>
      <c r="Q168" s="571"/>
      <c r="R168" s="571"/>
      <c r="S168" s="571"/>
      <c r="T168" s="571"/>
      <c r="U168" s="465"/>
      <c r="V168" s="571" t="str">
        <f t="shared" si="101"/>
        <v/>
      </c>
      <c r="W168" s="571" t="str">
        <f t="shared" si="102"/>
        <v/>
      </c>
      <c r="X168" s="571" t="str">
        <f t="shared" si="103"/>
        <v/>
      </c>
      <c r="Y168" s="374"/>
      <c r="Z168" s="571"/>
      <c r="AA168" s="571"/>
      <c r="AB168" s="571"/>
      <c r="AC168" s="571"/>
      <c r="AD168" s="571"/>
      <c r="AE168" s="571"/>
      <c r="AF168" s="571"/>
      <c r="AG168" s="571"/>
      <c r="AH168" s="571"/>
      <c r="AI168" s="571"/>
      <c r="AJ168" s="571"/>
      <c r="AK168" s="375"/>
      <c r="AL168" s="376"/>
      <c r="AM168" s="138"/>
      <c r="AN168" s="138"/>
    </row>
    <row r="169" spans="1:40" ht="17.25" customHeight="1" x14ac:dyDescent="0.3">
      <c r="V169" s="571"/>
      <c r="W169" s="571"/>
      <c r="X169" s="571"/>
      <c r="AM169" s="76"/>
      <c r="AN169" s="76"/>
    </row>
    <row r="170" spans="1:40" ht="17.25" customHeight="1" x14ac:dyDescent="0.3">
      <c r="AM170" s="76"/>
      <c r="AN170" s="76"/>
    </row>
    <row r="171" spans="1:40" ht="17.25" customHeight="1" x14ac:dyDescent="0.3">
      <c r="AM171" s="76"/>
      <c r="AN171" s="76"/>
    </row>
    <row r="172" spans="1:40" ht="17.25" customHeight="1" x14ac:dyDescent="0.3">
      <c r="AM172" s="76"/>
      <c r="AN172" s="76"/>
    </row>
    <row r="173" spans="1:40" s="148" customFormat="1" ht="17.25" customHeight="1" x14ac:dyDescent="0.3">
      <c r="A173" s="571"/>
      <c r="B173" s="571"/>
      <c r="C173" s="571"/>
      <c r="D173" s="571"/>
      <c r="E173" s="530"/>
      <c r="F173" s="503"/>
      <c r="G173" s="571"/>
      <c r="H173" s="571"/>
      <c r="I173" s="401"/>
      <c r="J173" s="571"/>
      <c r="K173" s="571"/>
      <c r="L173" s="571"/>
      <c r="M173" s="571"/>
      <c r="N173" s="571"/>
      <c r="O173" s="571"/>
      <c r="P173" s="571"/>
      <c r="Q173" s="571"/>
      <c r="R173" s="571"/>
      <c r="S173" s="571"/>
      <c r="T173" s="571"/>
      <c r="U173" s="571"/>
      <c r="V173" s="374"/>
      <c r="W173" s="374"/>
      <c r="X173" s="374"/>
      <c r="Y173" s="374"/>
      <c r="Z173" s="571"/>
      <c r="AA173" s="571"/>
      <c r="AB173" s="571"/>
      <c r="AC173" s="571"/>
      <c r="AD173" s="571"/>
      <c r="AE173" s="571"/>
      <c r="AF173" s="571"/>
      <c r="AG173" s="571"/>
      <c r="AH173" s="571"/>
      <c r="AI173" s="571"/>
      <c r="AJ173" s="571"/>
      <c r="AK173" s="375"/>
      <c r="AL173" s="376"/>
      <c r="AM173" s="138"/>
      <c r="AN173" s="138"/>
    </row>
    <row r="174" spans="1:40" ht="17.25" customHeight="1" x14ac:dyDescent="0.3">
      <c r="AM174" s="76"/>
      <c r="AN174" s="76"/>
    </row>
    <row r="175" spans="1:40" ht="17.25" customHeight="1" x14ac:dyDescent="0.3">
      <c r="AM175" s="76"/>
      <c r="AN175" s="76"/>
    </row>
    <row r="176" spans="1:40" ht="17.25" customHeight="1" x14ac:dyDescent="0.3">
      <c r="AM176" s="76"/>
      <c r="AN176" s="76"/>
    </row>
    <row r="177" spans="1:40" ht="17.25" customHeight="1" x14ac:dyDescent="0.3">
      <c r="AM177" s="76"/>
      <c r="AN177" s="76"/>
    </row>
    <row r="178" spans="1:40" ht="17.25" customHeight="1" x14ac:dyDescent="0.3">
      <c r="AM178" s="76"/>
      <c r="AN178" s="76"/>
    </row>
    <row r="179" spans="1:40" ht="17.25" customHeight="1" x14ac:dyDescent="0.3">
      <c r="AM179" s="76"/>
      <c r="AN179" s="76"/>
    </row>
    <row r="180" spans="1:40" ht="17.25" customHeight="1" x14ac:dyDescent="0.3">
      <c r="AM180" s="76"/>
      <c r="AN180" s="76"/>
    </row>
    <row r="181" spans="1:40" ht="17.25" customHeight="1" x14ac:dyDescent="0.3">
      <c r="AM181" s="76"/>
      <c r="AN181" s="76"/>
    </row>
    <row r="182" spans="1:40" ht="17.25" customHeight="1" x14ac:dyDescent="0.3">
      <c r="AM182" s="76"/>
      <c r="AN182" s="76"/>
    </row>
    <row r="183" spans="1:40" ht="17.25" customHeight="1" x14ac:dyDescent="0.3">
      <c r="AM183" s="76"/>
      <c r="AN183" s="76"/>
    </row>
    <row r="184" spans="1:40" ht="17.25" customHeight="1" x14ac:dyDescent="0.3">
      <c r="AM184" s="76"/>
      <c r="AN184" s="76"/>
    </row>
    <row r="185" spans="1:40" ht="17.25" customHeight="1" x14ac:dyDescent="0.3">
      <c r="AM185" s="76"/>
      <c r="AN185" s="76"/>
    </row>
    <row r="186" spans="1:40" ht="17.25" customHeight="1" x14ac:dyDescent="0.3">
      <c r="AM186" s="76"/>
      <c r="AN186" s="76"/>
    </row>
    <row r="187" spans="1:40" ht="17.25" customHeight="1" x14ac:dyDescent="0.3">
      <c r="AM187" s="76"/>
      <c r="AN187" s="76"/>
    </row>
    <row r="188" spans="1:40" ht="17.25" customHeight="1" x14ac:dyDescent="0.3">
      <c r="AM188" s="76"/>
      <c r="AN188" s="76"/>
    </row>
    <row r="189" spans="1:40" ht="17.25" customHeight="1" x14ac:dyDescent="0.3">
      <c r="AM189" s="76"/>
      <c r="AN189" s="76"/>
    </row>
    <row r="190" spans="1:40" ht="17.25" customHeight="1" x14ac:dyDescent="0.3">
      <c r="AM190" s="76"/>
      <c r="AN190" s="76"/>
    </row>
    <row r="191" spans="1:40" ht="17.25" customHeight="1" x14ac:dyDescent="0.3">
      <c r="AM191" s="76"/>
      <c r="AN191" s="76"/>
    </row>
    <row r="192" spans="1:40" s="148" customFormat="1" ht="17.25" customHeight="1" x14ac:dyDescent="0.3">
      <c r="A192" s="571"/>
      <c r="B192" s="571"/>
      <c r="C192" s="571"/>
      <c r="D192" s="571"/>
      <c r="E192" s="530"/>
      <c r="F192" s="503"/>
      <c r="G192" s="571"/>
      <c r="H192" s="571"/>
      <c r="I192" s="401"/>
      <c r="J192" s="571"/>
      <c r="K192" s="571"/>
      <c r="L192" s="571"/>
      <c r="M192" s="571"/>
      <c r="N192" s="571"/>
      <c r="O192" s="571"/>
      <c r="P192" s="571"/>
      <c r="Q192" s="571"/>
      <c r="R192" s="571"/>
      <c r="S192" s="571"/>
      <c r="T192" s="571"/>
      <c r="U192" s="571"/>
      <c r="V192" s="374"/>
      <c r="W192" s="374"/>
      <c r="X192" s="374"/>
      <c r="Y192" s="374"/>
      <c r="Z192" s="571"/>
      <c r="AA192" s="571"/>
      <c r="AB192" s="571"/>
      <c r="AC192" s="571"/>
      <c r="AD192" s="571"/>
      <c r="AE192" s="571"/>
      <c r="AF192" s="571"/>
      <c r="AG192" s="571"/>
      <c r="AH192" s="571"/>
      <c r="AI192" s="571"/>
      <c r="AJ192" s="571"/>
      <c r="AK192" s="375"/>
      <c r="AL192" s="376"/>
      <c r="AM192" s="138"/>
      <c r="AN192" s="138"/>
    </row>
    <row r="193" spans="1:40" ht="17.25" customHeight="1" x14ac:dyDescent="0.3">
      <c r="AM193" s="76"/>
      <c r="AN193" s="76"/>
    </row>
    <row r="194" spans="1:40" ht="17.25" customHeight="1" x14ac:dyDescent="0.3">
      <c r="AM194" s="76"/>
      <c r="AN194" s="76"/>
    </row>
    <row r="195" spans="1:40" ht="17.25" customHeight="1" x14ac:dyDescent="0.3">
      <c r="AM195" s="76"/>
      <c r="AN195" s="76"/>
    </row>
    <row r="196" spans="1:40" s="148" customFormat="1" ht="17.25" customHeight="1" x14ac:dyDescent="0.3">
      <c r="A196" s="571"/>
      <c r="B196" s="571"/>
      <c r="C196" s="571"/>
      <c r="D196" s="571"/>
      <c r="E196" s="530"/>
      <c r="F196" s="503"/>
      <c r="G196" s="571"/>
      <c r="H196" s="571"/>
      <c r="I196" s="401"/>
      <c r="J196" s="571"/>
      <c r="K196" s="571"/>
      <c r="L196" s="571"/>
      <c r="M196" s="571"/>
      <c r="N196" s="571"/>
      <c r="O196" s="571"/>
      <c r="P196" s="571"/>
      <c r="Q196" s="571"/>
      <c r="R196" s="571"/>
      <c r="S196" s="571"/>
      <c r="T196" s="571"/>
      <c r="U196" s="571"/>
      <c r="V196" s="374"/>
      <c r="W196" s="374"/>
      <c r="X196" s="374"/>
      <c r="Y196" s="374"/>
      <c r="Z196" s="571"/>
      <c r="AA196" s="571"/>
      <c r="AB196" s="571"/>
      <c r="AC196" s="571"/>
      <c r="AD196" s="571"/>
      <c r="AE196" s="571"/>
      <c r="AF196" s="571"/>
      <c r="AG196" s="571"/>
      <c r="AH196" s="571"/>
      <c r="AI196" s="571"/>
      <c r="AJ196" s="571"/>
      <c r="AK196" s="375"/>
      <c r="AL196" s="376"/>
      <c r="AM196" s="138"/>
      <c r="AN196" s="138"/>
    </row>
    <row r="197" spans="1:40" ht="17.25" customHeight="1" x14ac:dyDescent="0.3">
      <c r="AM197" s="76"/>
      <c r="AN197" s="76"/>
    </row>
    <row r="198" spans="1:40" ht="17.25" customHeight="1" x14ac:dyDescent="0.3">
      <c r="AM198" s="76"/>
      <c r="AN198" s="76"/>
    </row>
    <row r="199" spans="1:40" ht="17.25" customHeight="1" x14ac:dyDescent="0.3">
      <c r="AM199" s="76"/>
      <c r="AN199" s="76"/>
    </row>
    <row r="200" spans="1:40" ht="17.25" customHeight="1" x14ac:dyDescent="0.3">
      <c r="AM200" s="76"/>
      <c r="AN200" s="76"/>
    </row>
    <row r="201" spans="1:40" ht="17.25" customHeight="1" x14ac:dyDescent="0.3">
      <c r="AM201" s="76"/>
      <c r="AN201" s="76"/>
    </row>
    <row r="202" spans="1:40" ht="17.25" customHeight="1" x14ac:dyDescent="0.3">
      <c r="AM202" s="76"/>
      <c r="AN202" s="76"/>
    </row>
    <row r="203" spans="1:40" ht="17.25" customHeight="1" x14ac:dyDescent="0.3">
      <c r="AM203" s="76"/>
      <c r="AN203" s="76"/>
    </row>
    <row r="204" spans="1:40" ht="17.25" customHeight="1" x14ac:dyDescent="0.3">
      <c r="AM204" s="76"/>
      <c r="AN204" s="76"/>
    </row>
    <row r="205" spans="1:40" ht="17.25" customHeight="1" x14ac:dyDescent="0.3">
      <c r="AM205" s="76"/>
      <c r="AN205" s="76"/>
    </row>
    <row r="206" spans="1:40" ht="17.25" customHeight="1" x14ac:dyDescent="0.3">
      <c r="AM206" s="76"/>
      <c r="AN206" s="76"/>
    </row>
    <row r="207" spans="1:40" ht="17.25" customHeight="1" x14ac:dyDescent="0.3">
      <c r="AM207" s="76"/>
      <c r="AN207" s="76"/>
    </row>
    <row r="208" spans="1:40" ht="17.25" customHeight="1" x14ac:dyDescent="0.3">
      <c r="AM208" s="76"/>
      <c r="AN208" s="76"/>
    </row>
    <row r="209" spans="1:40" ht="17.25" customHeight="1" x14ac:dyDescent="0.3">
      <c r="AM209" s="76"/>
      <c r="AN209" s="76"/>
    </row>
    <row r="210" spans="1:40" ht="17.25" customHeight="1" x14ac:dyDescent="0.3">
      <c r="AM210" s="76"/>
      <c r="AN210" s="76"/>
    </row>
    <row r="211" spans="1:40" ht="17.25" customHeight="1" x14ac:dyDescent="0.3">
      <c r="AM211" s="76"/>
      <c r="AN211" s="76"/>
    </row>
    <row r="212" spans="1:40" ht="17.25" customHeight="1" x14ac:dyDescent="0.3">
      <c r="AM212" s="76"/>
      <c r="AN212" s="76"/>
    </row>
    <row r="213" spans="1:40" ht="17.25" customHeight="1" x14ac:dyDescent="0.3">
      <c r="AM213" s="76"/>
      <c r="AN213" s="76"/>
    </row>
    <row r="214" spans="1:40" ht="17.25" customHeight="1" x14ac:dyDescent="0.3">
      <c r="AM214" s="76"/>
      <c r="AN214" s="76"/>
    </row>
    <row r="215" spans="1:40" s="148" customFormat="1" ht="17.25" customHeight="1" x14ac:dyDescent="0.3">
      <c r="A215" s="571"/>
      <c r="B215" s="571"/>
      <c r="C215" s="571"/>
      <c r="D215" s="571"/>
      <c r="E215" s="530"/>
      <c r="F215" s="503"/>
      <c r="G215" s="571"/>
      <c r="H215" s="571"/>
      <c r="I215" s="401"/>
      <c r="J215" s="571"/>
      <c r="K215" s="571"/>
      <c r="L215" s="571"/>
      <c r="M215" s="571"/>
      <c r="N215" s="571"/>
      <c r="O215" s="571"/>
      <c r="P215" s="571"/>
      <c r="Q215" s="571"/>
      <c r="R215" s="571"/>
      <c r="S215" s="571"/>
      <c r="T215" s="571"/>
      <c r="U215" s="571"/>
      <c r="V215" s="374"/>
      <c r="W215" s="374"/>
      <c r="X215" s="374"/>
      <c r="Y215" s="374"/>
      <c r="Z215" s="571"/>
      <c r="AA215" s="571"/>
      <c r="AB215" s="571"/>
      <c r="AC215" s="571"/>
      <c r="AD215" s="571"/>
      <c r="AE215" s="571"/>
      <c r="AF215" s="571"/>
      <c r="AG215" s="571"/>
      <c r="AH215" s="571"/>
      <c r="AI215" s="571"/>
      <c r="AJ215" s="571"/>
      <c r="AK215" s="375"/>
      <c r="AL215" s="376"/>
      <c r="AM215" s="138"/>
      <c r="AN215" s="138"/>
    </row>
    <row r="216" spans="1:40" ht="17.25" customHeight="1" x14ac:dyDescent="0.3">
      <c r="AM216" s="76"/>
      <c r="AN216" s="76"/>
    </row>
    <row r="217" spans="1:40" ht="17.25" customHeight="1" x14ac:dyDescent="0.3">
      <c r="AM217" s="76"/>
      <c r="AN217" s="76"/>
    </row>
    <row r="218" spans="1:40" ht="17.25" customHeight="1" x14ac:dyDescent="0.3">
      <c r="AM218" s="76"/>
      <c r="AN218" s="76"/>
    </row>
    <row r="219" spans="1:40" ht="17.25" customHeight="1" x14ac:dyDescent="0.3">
      <c r="AM219" s="76"/>
      <c r="AN219" s="76"/>
    </row>
    <row r="220" spans="1:40" ht="17.25" customHeight="1" x14ac:dyDescent="0.3">
      <c r="AM220" s="76"/>
      <c r="AN220" s="76"/>
    </row>
    <row r="221" spans="1:40" ht="17.25" customHeight="1" x14ac:dyDescent="0.3">
      <c r="AM221" s="76"/>
      <c r="AN221" s="76"/>
    </row>
    <row r="222" spans="1:40" ht="17.25" customHeight="1" x14ac:dyDescent="0.3">
      <c r="AM222" s="76"/>
      <c r="AN222" s="76"/>
    </row>
    <row r="223" spans="1:40" ht="17.25" customHeight="1" x14ac:dyDescent="0.3">
      <c r="AM223" s="76"/>
      <c r="AN223" s="76"/>
    </row>
    <row r="224" spans="1:40" ht="17.25" customHeight="1" x14ac:dyDescent="0.3">
      <c r="AM224" s="76"/>
      <c r="AN224" s="76"/>
    </row>
    <row r="225" spans="39:40" ht="17.25" customHeight="1" x14ac:dyDescent="0.3">
      <c r="AM225" s="76"/>
      <c r="AN225" s="76"/>
    </row>
    <row r="226" spans="39:40" ht="17.25" customHeight="1" x14ac:dyDescent="0.3">
      <c r="AM226" s="76"/>
      <c r="AN226" s="76"/>
    </row>
    <row r="227" spans="39:40" ht="17.25" customHeight="1" x14ac:dyDescent="0.3">
      <c r="AM227" s="76"/>
      <c r="AN227" s="76"/>
    </row>
    <row r="228" spans="39:40" ht="17.25" customHeight="1" x14ac:dyDescent="0.3">
      <c r="AM228" s="76"/>
      <c r="AN228" s="76"/>
    </row>
    <row r="229" spans="39:40" ht="17.25" customHeight="1" x14ac:dyDescent="0.3">
      <c r="AM229" s="76"/>
      <c r="AN229" s="76"/>
    </row>
    <row r="230" spans="39:40" ht="17.25" customHeight="1" x14ac:dyDescent="0.3">
      <c r="AM230" s="76"/>
      <c r="AN230" s="76"/>
    </row>
    <row r="231" spans="39:40" ht="17.25" customHeight="1" x14ac:dyDescent="0.3">
      <c r="AM231" s="76"/>
      <c r="AN231" s="76"/>
    </row>
    <row r="232" spans="39:40" ht="17.25" customHeight="1" x14ac:dyDescent="0.3">
      <c r="AM232" s="76"/>
      <c r="AN232" s="76"/>
    </row>
    <row r="233" spans="39:40" ht="17.25" customHeight="1" x14ac:dyDescent="0.3">
      <c r="AM233" s="76"/>
      <c r="AN233" s="76"/>
    </row>
    <row r="234" spans="39:40" ht="17.25" customHeight="1" x14ac:dyDescent="0.3">
      <c r="AM234" s="76"/>
      <c r="AN234" s="76"/>
    </row>
    <row r="235" spans="39:40" ht="17.25" customHeight="1" x14ac:dyDescent="0.3">
      <c r="AM235" s="76"/>
      <c r="AN235" s="76"/>
    </row>
    <row r="236" spans="39:40" ht="17.25" customHeight="1" x14ac:dyDescent="0.3">
      <c r="AM236" s="76"/>
      <c r="AN236" s="76"/>
    </row>
    <row r="237" spans="39:40" ht="17.25" customHeight="1" x14ac:dyDescent="0.3">
      <c r="AM237" s="76"/>
      <c r="AN237" s="76"/>
    </row>
    <row r="238" spans="39:40" ht="17.25" customHeight="1" x14ac:dyDescent="0.3">
      <c r="AM238" s="76"/>
      <c r="AN238" s="76"/>
    </row>
    <row r="239" spans="39:40" ht="17.25" customHeight="1" x14ac:dyDescent="0.3">
      <c r="AM239" s="76"/>
      <c r="AN239" s="76"/>
    </row>
    <row r="240" spans="39:40" ht="17.25" customHeight="1" x14ac:dyDescent="0.3">
      <c r="AM240" s="76"/>
      <c r="AN240" s="76"/>
    </row>
    <row r="241" spans="1:40" ht="17.25" customHeight="1" x14ac:dyDescent="0.3">
      <c r="AM241" s="76"/>
      <c r="AN241" s="76"/>
    </row>
    <row r="242" spans="1:40" ht="17.25" customHeight="1" x14ac:dyDescent="0.3">
      <c r="AM242" s="76"/>
      <c r="AN242" s="76"/>
    </row>
    <row r="243" spans="1:40" ht="17.25" customHeight="1" x14ac:dyDescent="0.3">
      <c r="AM243" s="76"/>
      <c r="AN243" s="76"/>
    </row>
    <row r="244" spans="1:40" ht="17.25" customHeight="1" x14ac:dyDescent="0.3">
      <c r="AM244" s="76"/>
      <c r="AN244" s="76"/>
    </row>
    <row r="245" spans="1:40" ht="17.25" customHeight="1" x14ac:dyDescent="0.3">
      <c r="AM245" s="76"/>
      <c r="AN245" s="76"/>
    </row>
    <row r="246" spans="1:40" ht="17.25" customHeight="1" x14ac:dyDescent="0.3">
      <c r="AM246" s="76"/>
      <c r="AN246" s="76"/>
    </row>
    <row r="247" spans="1:40" ht="17.25" customHeight="1" x14ac:dyDescent="0.3">
      <c r="AM247" s="76"/>
      <c r="AN247" s="76"/>
    </row>
    <row r="248" spans="1:40" s="189" customFormat="1" ht="17.25" customHeight="1" x14ac:dyDescent="0.3">
      <c r="A248" s="571"/>
      <c r="B248" s="571"/>
      <c r="C248" s="571"/>
      <c r="D248" s="571"/>
      <c r="E248" s="530"/>
      <c r="F248" s="503"/>
      <c r="G248" s="571"/>
      <c r="H248" s="571"/>
      <c r="I248" s="401"/>
      <c r="J248" s="571"/>
      <c r="K248" s="571"/>
      <c r="L248" s="571"/>
      <c r="M248" s="571"/>
      <c r="N248" s="571"/>
      <c r="O248" s="571"/>
      <c r="P248" s="571"/>
      <c r="Q248" s="571"/>
      <c r="R248" s="571"/>
      <c r="S248" s="571"/>
      <c r="T248" s="571"/>
      <c r="U248" s="571"/>
      <c r="V248" s="374"/>
      <c r="W248" s="374"/>
      <c r="X248" s="374"/>
      <c r="Y248" s="374"/>
      <c r="Z248" s="571"/>
      <c r="AA248" s="571"/>
      <c r="AB248" s="571"/>
      <c r="AC248" s="571"/>
      <c r="AD248" s="571"/>
      <c r="AE248" s="571"/>
      <c r="AF248" s="571"/>
      <c r="AG248" s="571"/>
      <c r="AH248" s="571"/>
      <c r="AI248" s="571"/>
      <c r="AJ248" s="571"/>
      <c r="AK248" s="375"/>
      <c r="AL248" s="376"/>
      <c r="AM248" s="100"/>
      <c r="AN248" s="100"/>
    </row>
    <row r="249" spans="1:40" s="148" customFormat="1" ht="17.25" customHeight="1" x14ac:dyDescent="0.3">
      <c r="A249" s="571"/>
      <c r="B249" s="571"/>
      <c r="C249" s="571"/>
      <c r="D249" s="571"/>
      <c r="E249" s="530"/>
      <c r="F249" s="503"/>
      <c r="G249" s="571"/>
      <c r="H249" s="571"/>
      <c r="I249" s="401"/>
      <c r="J249" s="571"/>
      <c r="K249" s="571"/>
      <c r="L249" s="571"/>
      <c r="M249" s="571"/>
      <c r="N249" s="571"/>
      <c r="O249" s="571"/>
      <c r="P249" s="571"/>
      <c r="Q249" s="571"/>
      <c r="R249" s="571"/>
      <c r="S249" s="571"/>
      <c r="T249" s="571"/>
      <c r="U249" s="571"/>
      <c r="V249" s="374"/>
      <c r="W249" s="374"/>
      <c r="X249" s="374"/>
      <c r="Y249" s="374"/>
      <c r="Z249" s="571"/>
      <c r="AA249" s="571"/>
      <c r="AB249" s="571"/>
      <c r="AC249" s="571"/>
      <c r="AD249" s="571"/>
      <c r="AE249" s="571"/>
      <c r="AF249" s="571"/>
      <c r="AG249" s="571"/>
      <c r="AH249" s="571"/>
      <c r="AI249" s="571"/>
      <c r="AJ249" s="571"/>
      <c r="AK249" s="375"/>
      <c r="AL249" s="376"/>
      <c r="AM249" s="138"/>
      <c r="AN249" s="138"/>
    </row>
    <row r="250" spans="1:40" ht="17.25" customHeight="1" x14ac:dyDescent="0.3">
      <c r="AM250" s="76"/>
      <c r="AN250" s="76"/>
    </row>
    <row r="251" spans="1:40" ht="17.25" customHeight="1" x14ac:dyDescent="0.3">
      <c r="AM251" s="76"/>
      <c r="AN251" s="76"/>
    </row>
    <row r="252" spans="1:40" ht="27.75" customHeight="1" x14ac:dyDescent="0.3">
      <c r="AM252" s="76"/>
      <c r="AN252" s="76"/>
    </row>
    <row r="253" spans="1:40" ht="17.25" customHeight="1" x14ac:dyDescent="0.3">
      <c r="AM253" s="76"/>
      <c r="AN253" s="76"/>
    </row>
    <row r="254" spans="1:40" ht="17.25" customHeight="1" x14ac:dyDescent="0.3">
      <c r="AM254" s="76"/>
      <c r="AN254" s="76"/>
    </row>
    <row r="255" spans="1:40" ht="17.25" customHeight="1" x14ac:dyDescent="0.3">
      <c r="AM255" s="76"/>
      <c r="AN255" s="76"/>
    </row>
    <row r="256" spans="1:40" ht="17.25" customHeight="1" x14ac:dyDescent="0.3">
      <c r="AM256" s="76"/>
      <c r="AN256" s="76"/>
    </row>
    <row r="257" spans="1:40" s="148" customFormat="1" ht="17.25" customHeight="1" x14ac:dyDescent="0.3">
      <c r="A257" s="571"/>
      <c r="B257" s="571"/>
      <c r="C257" s="571"/>
      <c r="D257" s="571"/>
      <c r="E257" s="530"/>
      <c r="F257" s="503"/>
      <c r="G257" s="571"/>
      <c r="H257" s="571"/>
      <c r="I257" s="401"/>
      <c r="J257" s="571"/>
      <c r="K257" s="571"/>
      <c r="L257" s="571"/>
      <c r="M257" s="571"/>
      <c r="N257" s="571"/>
      <c r="O257" s="571"/>
      <c r="P257" s="571"/>
      <c r="Q257" s="571"/>
      <c r="R257" s="571"/>
      <c r="S257" s="571"/>
      <c r="T257" s="571"/>
      <c r="U257" s="571"/>
      <c r="V257" s="374"/>
      <c r="W257" s="374"/>
      <c r="X257" s="374"/>
      <c r="Y257" s="374"/>
      <c r="Z257" s="571"/>
      <c r="AA257" s="571"/>
      <c r="AB257" s="571"/>
      <c r="AC257" s="571"/>
      <c r="AD257" s="571"/>
      <c r="AE257" s="571"/>
      <c r="AF257" s="571"/>
      <c r="AG257" s="571"/>
      <c r="AH257" s="571"/>
      <c r="AI257" s="571"/>
      <c r="AJ257" s="571"/>
      <c r="AK257" s="375"/>
      <c r="AL257" s="376"/>
      <c r="AM257" s="138"/>
      <c r="AN257" s="138"/>
    </row>
    <row r="258" spans="1:40" ht="17.25" customHeight="1" x14ac:dyDescent="0.3">
      <c r="AM258" s="76"/>
      <c r="AN258" s="76"/>
    </row>
    <row r="259" spans="1:40" ht="17.25" customHeight="1" x14ac:dyDescent="0.3">
      <c r="AM259" s="76"/>
      <c r="AN259" s="76"/>
    </row>
    <row r="260" spans="1:40" ht="17.25" customHeight="1" x14ac:dyDescent="0.3">
      <c r="AM260" s="76"/>
      <c r="AN260" s="76"/>
    </row>
    <row r="261" spans="1:40" ht="17.25" customHeight="1" x14ac:dyDescent="0.3">
      <c r="AM261" s="76"/>
      <c r="AN261" s="76"/>
    </row>
    <row r="262" spans="1:40" ht="17.25" customHeight="1" x14ac:dyDescent="0.3">
      <c r="AM262" s="76"/>
      <c r="AN262" s="76"/>
    </row>
    <row r="263" spans="1:40" ht="17.25" customHeight="1" x14ac:dyDescent="0.3">
      <c r="AM263" s="76"/>
      <c r="AN263" s="76"/>
    </row>
    <row r="264" spans="1:40" ht="17.25" customHeight="1" x14ac:dyDescent="0.3">
      <c r="AM264" s="76"/>
      <c r="AN264" s="76"/>
    </row>
    <row r="265" spans="1:40" ht="27" customHeight="1" x14ac:dyDescent="0.3">
      <c r="AM265" s="76"/>
      <c r="AN265" s="76"/>
    </row>
    <row r="266" spans="1:40" ht="17.25" customHeight="1" x14ac:dyDescent="0.3">
      <c r="AM266" s="76"/>
      <c r="AN266" s="76"/>
    </row>
    <row r="267" spans="1:40" ht="17.25" customHeight="1" x14ac:dyDescent="0.3">
      <c r="AM267" s="76"/>
      <c r="AN267" s="76"/>
    </row>
    <row r="268" spans="1:40" ht="17.25" customHeight="1" x14ac:dyDescent="0.3">
      <c r="AM268" s="76"/>
      <c r="AN268" s="76"/>
    </row>
    <row r="269" spans="1:40" ht="17.25" customHeight="1" x14ac:dyDescent="0.3">
      <c r="AM269" s="76"/>
      <c r="AN269" s="76"/>
    </row>
    <row r="270" spans="1:40" ht="17.25" customHeight="1" x14ac:dyDescent="0.3">
      <c r="AM270" s="76"/>
      <c r="AN270" s="76"/>
    </row>
    <row r="271" spans="1:40" ht="17.25" customHeight="1" x14ac:dyDescent="0.3">
      <c r="AM271" s="76"/>
      <c r="AN271" s="76"/>
    </row>
    <row r="272" spans="1:40" ht="17.25" customHeight="1" x14ac:dyDescent="0.3">
      <c r="AM272" s="76"/>
      <c r="AN272" s="76"/>
    </row>
    <row r="273" spans="1:40" ht="17.25" customHeight="1" x14ac:dyDescent="0.3">
      <c r="AM273" s="76"/>
      <c r="AN273" s="76"/>
    </row>
    <row r="274" spans="1:40" ht="17.25" customHeight="1" x14ac:dyDescent="0.3">
      <c r="AM274" s="76"/>
      <c r="AN274" s="76"/>
    </row>
    <row r="275" spans="1:40" ht="17.25" customHeight="1" x14ac:dyDescent="0.3">
      <c r="AM275" s="76"/>
      <c r="AN275" s="76"/>
    </row>
    <row r="276" spans="1:40" ht="27" customHeight="1" x14ac:dyDescent="0.3">
      <c r="AM276" s="76"/>
      <c r="AN276" s="76"/>
    </row>
    <row r="277" spans="1:40" ht="17.25" customHeight="1" x14ac:dyDescent="0.3">
      <c r="AM277" s="76"/>
      <c r="AN277" s="76"/>
    </row>
    <row r="278" spans="1:40" s="148" customFormat="1" ht="17.25" customHeight="1" x14ac:dyDescent="0.3">
      <c r="A278" s="571"/>
      <c r="B278" s="571"/>
      <c r="C278" s="571"/>
      <c r="D278" s="571"/>
      <c r="E278" s="530"/>
      <c r="F278" s="503"/>
      <c r="G278" s="571"/>
      <c r="H278" s="571"/>
      <c r="I278" s="401"/>
      <c r="J278" s="571"/>
      <c r="K278" s="571"/>
      <c r="L278" s="571"/>
      <c r="M278" s="571"/>
      <c r="N278" s="571"/>
      <c r="O278" s="571"/>
      <c r="P278" s="571"/>
      <c r="Q278" s="571"/>
      <c r="R278" s="571"/>
      <c r="S278" s="571"/>
      <c r="T278" s="571"/>
      <c r="U278" s="571"/>
      <c r="V278" s="374"/>
      <c r="W278" s="374"/>
      <c r="X278" s="374"/>
      <c r="Y278" s="374"/>
      <c r="Z278" s="571"/>
      <c r="AA278" s="571"/>
      <c r="AB278" s="571"/>
      <c r="AC278" s="571"/>
      <c r="AD278" s="571"/>
      <c r="AE278" s="571"/>
      <c r="AF278" s="571"/>
      <c r="AG278" s="571"/>
      <c r="AH278" s="571"/>
      <c r="AI278" s="571"/>
      <c r="AJ278" s="571"/>
      <c r="AK278" s="375"/>
      <c r="AL278" s="376"/>
      <c r="AM278" s="138"/>
      <c r="AN278" s="138"/>
    </row>
    <row r="279" spans="1:40" ht="17.25" customHeight="1" x14ac:dyDescent="0.3">
      <c r="AM279" s="76"/>
      <c r="AN279" s="76"/>
    </row>
    <row r="280" spans="1:40" ht="17.25" customHeight="1" x14ac:dyDescent="0.3">
      <c r="AM280" s="76"/>
      <c r="AN280" s="76"/>
    </row>
    <row r="281" spans="1:40" ht="17.25" customHeight="1" x14ac:dyDescent="0.3">
      <c r="AM281" s="76"/>
      <c r="AN281" s="76"/>
    </row>
    <row r="282" spans="1:40" ht="17.25" customHeight="1" x14ac:dyDescent="0.3">
      <c r="AM282" s="76"/>
      <c r="AN282" s="76"/>
    </row>
    <row r="283" spans="1:40" ht="17.25" customHeight="1" x14ac:dyDescent="0.3">
      <c r="AM283" s="76"/>
      <c r="AN283" s="76"/>
    </row>
    <row r="284" spans="1:40" ht="17.25" customHeight="1" x14ac:dyDescent="0.3">
      <c r="AM284" s="76"/>
      <c r="AN284" s="76"/>
    </row>
    <row r="285" spans="1:40" s="148" customFormat="1" ht="17.25" customHeight="1" x14ac:dyDescent="0.3">
      <c r="A285" s="571"/>
      <c r="B285" s="571"/>
      <c r="C285" s="571"/>
      <c r="D285" s="571"/>
      <c r="E285" s="530"/>
      <c r="F285" s="503"/>
      <c r="G285" s="571"/>
      <c r="H285" s="571"/>
      <c r="I285" s="401"/>
      <c r="J285" s="571"/>
      <c r="K285" s="571"/>
      <c r="L285" s="571"/>
      <c r="M285" s="571"/>
      <c r="N285" s="571"/>
      <c r="O285" s="571"/>
      <c r="P285" s="571"/>
      <c r="Q285" s="571"/>
      <c r="R285" s="571"/>
      <c r="S285" s="571"/>
      <c r="T285" s="571"/>
      <c r="U285" s="571"/>
      <c r="V285" s="374"/>
      <c r="W285" s="374"/>
      <c r="X285" s="374"/>
      <c r="Y285" s="374"/>
      <c r="Z285" s="571"/>
      <c r="AA285" s="571"/>
      <c r="AB285" s="571"/>
      <c r="AC285" s="571"/>
      <c r="AD285" s="571"/>
      <c r="AE285" s="571"/>
      <c r="AF285" s="571"/>
      <c r="AG285" s="571"/>
      <c r="AH285" s="571"/>
      <c r="AI285" s="571"/>
      <c r="AJ285" s="571"/>
      <c r="AK285" s="375"/>
      <c r="AL285" s="376"/>
      <c r="AM285" s="138"/>
      <c r="AN285" s="138"/>
    </row>
    <row r="286" spans="1:40" ht="17.25" customHeight="1" x14ac:dyDescent="0.3">
      <c r="AM286" s="76"/>
      <c r="AN286" s="76"/>
    </row>
    <row r="287" spans="1:40" ht="17.25" customHeight="1" x14ac:dyDescent="0.3">
      <c r="AM287" s="76"/>
      <c r="AN287" s="76"/>
    </row>
    <row r="288" spans="1:40" ht="17.25" customHeight="1" x14ac:dyDescent="0.3">
      <c r="AM288" s="76"/>
      <c r="AN288" s="76"/>
    </row>
    <row r="289" spans="1:40" ht="17.25" customHeight="1" x14ac:dyDescent="0.3">
      <c r="AM289" s="76"/>
      <c r="AN289" s="76"/>
    </row>
    <row r="290" spans="1:40" ht="17.25" customHeight="1" x14ac:dyDescent="0.3">
      <c r="AM290" s="76"/>
      <c r="AN290" s="76"/>
    </row>
    <row r="291" spans="1:40" ht="17.25" customHeight="1" x14ac:dyDescent="0.3">
      <c r="AM291" s="76"/>
      <c r="AN291" s="76"/>
    </row>
    <row r="292" spans="1:40" ht="17.25" customHeight="1" x14ac:dyDescent="0.3">
      <c r="AM292" s="76"/>
      <c r="AN292" s="76"/>
    </row>
    <row r="293" spans="1:40" ht="17.25" customHeight="1" x14ac:dyDescent="0.3">
      <c r="AM293" s="76"/>
      <c r="AN293" s="76"/>
    </row>
    <row r="294" spans="1:40" ht="17.25" customHeight="1" x14ac:dyDescent="0.3">
      <c r="AM294" s="76"/>
      <c r="AN294" s="76"/>
    </row>
    <row r="295" spans="1:40" ht="17.25" customHeight="1" x14ac:dyDescent="0.3">
      <c r="AM295" s="76"/>
      <c r="AN295" s="76"/>
    </row>
    <row r="296" spans="1:40" ht="17.25" customHeight="1" x14ac:dyDescent="0.3">
      <c r="AM296" s="76"/>
      <c r="AN296" s="76"/>
    </row>
    <row r="297" spans="1:40" ht="17.25" customHeight="1" x14ac:dyDescent="0.3">
      <c r="AM297" s="76"/>
      <c r="AN297" s="76"/>
    </row>
    <row r="298" spans="1:40" ht="17.25" customHeight="1" x14ac:dyDescent="0.3">
      <c r="AM298" s="76"/>
      <c r="AN298" s="76"/>
    </row>
    <row r="299" spans="1:40" ht="17.25" customHeight="1" x14ac:dyDescent="0.3">
      <c r="AM299" s="76"/>
      <c r="AN299" s="76"/>
    </row>
    <row r="300" spans="1:40" s="148" customFormat="1" ht="17.25" customHeight="1" x14ac:dyDescent="0.3">
      <c r="A300" s="571"/>
      <c r="B300" s="571"/>
      <c r="C300" s="571"/>
      <c r="D300" s="571"/>
      <c r="E300" s="530"/>
      <c r="F300" s="503"/>
      <c r="G300" s="571"/>
      <c r="H300" s="571"/>
      <c r="I300" s="401"/>
      <c r="J300" s="571"/>
      <c r="K300" s="571"/>
      <c r="L300" s="571"/>
      <c r="M300" s="571"/>
      <c r="N300" s="571"/>
      <c r="O300" s="571"/>
      <c r="P300" s="571"/>
      <c r="Q300" s="571"/>
      <c r="R300" s="571"/>
      <c r="S300" s="571"/>
      <c r="T300" s="571"/>
      <c r="U300" s="571"/>
      <c r="V300" s="374"/>
      <c r="W300" s="374"/>
      <c r="X300" s="374"/>
      <c r="Y300" s="374"/>
      <c r="Z300" s="571"/>
      <c r="AA300" s="571"/>
      <c r="AB300" s="571"/>
      <c r="AC300" s="571"/>
      <c r="AD300" s="571"/>
      <c r="AE300" s="571"/>
      <c r="AF300" s="571"/>
      <c r="AG300" s="571"/>
      <c r="AH300" s="571"/>
      <c r="AI300" s="571"/>
      <c r="AJ300" s="571"/>
      <c r="AK300" s="375"/>
      <c r="AL300" s="376"/>
      <c r="AM300" s="138"/>
      <c r="AN300" s="138"/>
    </row>
    <row r="301" spans="1:40" ht="17.25" customHeight="1" x14ac:dyDescent="0.3">
      <c r="AM301" s="76"/>
      <c r="AN301" s="76"/>
    </row>
    <row r="302" spans="1:40" ht="17.25" customHeight="1" x14ac:dyDescent="0.3">
      <c r="AM302" s="76"/>
      <c r="AN302" s="76"/>
    </row>
    <row r="303" spans="1:40" ht="17.25" customHeight="1" x14ac:dyDescent="0.3">
      <c r="AM303" s="76"/>
      <c r="AN303" s="76"/>
    </row>
    <row r="304" spans="1:40" s="148" customFormat="1" ht="17.25" customHeight="1" x14ac:dyDescent="0.3">
      <c r="A304" s="571"/>
      <c r="B304" s="571"/>
      <c r="C304" s="571"/>
      <c r="D304" s="571"/>
      <c r="E304" s="530"/>
      <c r="F304" s="503"/>
      <c r="G304" s="571"/>
      <c r="H304" s="571"/>
      <c r="I304" s="401"/>
      <c r="J304" s="571"/>
      <c r="K304" s="571"/>
      <c r="L304" s="571"/>
      <c r="M304" s="571"/>
      <c r="N304" s="571"/>
      <c r="O304" s="571"/>
      <c r="P304" s="571"/>
      <c r="Q304" s="571"/>
      <c r="R304" s="571"/>
      <c r="S304" s="571"/>
      <c r="T304" s="571"/>
      <c r="U304" s="571"/>
      <c r="V304" s="374"/>
      <c r="W304" s="374"/>
      <c r="X304" s="374"/>
      <c r="Y304" s="374"/>
      <c r="Z304" s="571"/>
      <c r="AA304" s="571"/>
      <c r="AB304" s="571"/>
      <c r="AC304" s="571"/>
      <c r="AD304" s="571"/>
      <c r="AE304" s="571"/>
      <c r="AF304" s="571"/>
      <c r="AG304" s="571"/>
      <c r="AH304" s="571"/>
      <c r="AI304" s="571"/>
      <c r="AJ304" s="571"/>
      <c r="AK304" s="375"/>
      <c r="AL304" s="376"/>
      <c r="AM304" s="138"/>
      <c r="AN304" s="138"/>
    </row>
    <row r="305" spans="1:40" ht="29.25" customHeight="1" x14ac:dyDescent="0.3">
      <c r="AM305" s="76"/>
      <c r="AN305" s="76"/>
    </row>
    <row r="306" spans="1:40" ht="17.25" customHeight="1" x14ac:dyDescent="0.3">
      <c r="AM306" s="76"/>
      <c r="AN306" s="76"/>
    </row>
    <row r="307" spans="1:40" ht="17.25" customHeight="1" x14ac:dyDescent="0.3">
      <c r="AM307" s="76"/>
      <c r="AN307" s="76"/>
    </row>
    <row r="308" spans="1:40" s="148" customFormat="1" ht="17.25" customHeight="1" x14ac:dyDescent="0.3">
      <c r="A308" s="571"/>
      <c r="B308" s="571"/>
      <c r="C308" s="571"/>
      <c r="D308" s="571"/>
      <c r="E308" s="530"/>
      <c r="F308" s="503"/>
      <c r="G308" s="571"/>
      <c r="H308" s="571"/>
      <c r="I308" s="401"/>
      <c r="J308" s="571"/>
      <c r="K308" s="571"/>
      <c r="L308" s="571"/>
      <c r="M308" s="571"/>
      <c r="N308" s="571"/>
      <c r="O308" s="571"/>
      <c r="P308" s="571"/>
      <c r="Q308" s="571"/>
      <c r="R308" s="571"/>
      <c r="S308" s="571"/>
      <c r="T308" s="571"/>
      <c r="U308" s="571"/>
      <c r="V308" s="374"/>
      <c r="W308" s="374"/>
      <c r="X308" s="374"/>
      <c r="Y308" s="374"/>
      <c r="Z308" s="571"/>
      <c r="AA308" s="571"/>
      <c r="AB308" s="571"/>
      <c r="AC308" s="571"/>
      <c r="AD308" s="571"/>
      <c r="AE308" s="571"/>
      <c r="AF308" s="571"/>
      <c r="AG308" s="571"/>
      <c r="AH308" s="571"/>
      <c r="AI308" s="571"/>
      <c r="AJ308" s="571"/>
      <c r="AK308" s="375"/>
      <c r="AL308" s="376"/>
      <c r="AM308" s="138"/>
      <c r="AN308" s="138"/>
    </row>
    <row r="309" spans="1:40" ht="17.25" customHeight="1" x14ac:dyDescent="0.3">
      <c r="AM309" s="76"/>
      <c r="AN309" s="76"/>
    </row>
    <row r="310" spans="1:40" ht="17.25" customHeight="1" x14ac:dyDescent="0.3">
      <c r="AM310" s="76"/>
      <c r="AN310" s="76"/>
    </row>
    <row r="311" spans="1:40" ht="17.25" customHeight="1" x14ac:dyDescent="0.3">
      <c r="AM311" s="76"/>
      <c r="AN311" s="76"/>
    </row>
    <row r="312" spans="1:40" ht="17.25" customHeight="1" x14ac:dyDescent="0.3">
      <c r="AM312" s="76"/>
      <c r="AN312" s="76"/>
    </row>
    <row r="313" spans="1:40" ht="17.25" customHeight="1" x14ac:dyDescent="0.3">
      <c r="AM313" s="76"/>
      <c r="AN313" s="76"/>
    </row>
    <row r="314" spans="1:40" ht="17.25" customHeight="1" x14ac:dyDescent="0.3"/>
    <row r="315" spans="1:40" ht="17.25" customHeight="1" x14ac:dyDescent="0.3"/>
    <row r="316" spans="1:40" ht="17.25" customHeight="1" x14ac:dyDescent="0.3"/>
    <row r="317" spans="1:40" ht="15" customHeight="1" x14ac:dyDescent="0.3"/>
    <row r="318" spans="1:40" ht="15" customHeight="1" x14ac:dyDescent="0.3"/>
    <row r="319" spans="1:40" ht="15" customHeight="1" x14ac:dyDescent="0.3"/>
    <row r="320" spans="1:40" ht="15" customHeight="1" x14ac:dyDescent="0.3"/>
    <row r="321" ht="15" customHeight="1" x14ac:dyDescent="0.3"/>
  </sheetData>
  <mergeCells count="29">
    <mergeCell ref="B7:B8"/>
    <mergeCell ref="C7:C8"/>
    <mergeCell ref="D7:D8"/>
    <mergeCell ref="E7:E8"/>
    <mergeCell ref="O7:O8"/>
    <mergeCell ref="K7:K8"/>
    <mergeCell ref="AC6:AF6"/>
    <mergeCell ref="AG6:AJ6"/>
    <mergeCell ref="C4:D4"/>
    <mergeCell ref="C5:D5"/>
    <mergeCell ref="P7:P8"/>
    <mergeCell ref="Q7:Q8"/>
    <mergeCell ref="R7:R8"/>
    <mergeCell ref="L4:M4"/>
    <mergeCell ref="N4:O4"/>
    <mergeCell ref="N5:O5"/>
    <mergeCell ref="L5:M5"/>
    <mergeCell ref="L7:L8"/>
    <mergeCell ref="M7:M8"/>
    <mergeCell ref="N7:N8"/>
    <mergeCell ref="V7:V8"/>
    <mergeCell ref="V12:W12"/>
    <mergeCell ref="S7:S8"/>
    <mergeCell ref="T7:T8"/>
    <mergeCell ref="X7:X8"/>
    <mergeCell ref="AB7:AB8"/>
    <mergeCell ref="V10:W10"/>
    <mergeCell ref="AA7:AA8"/>
    <mergeCell ref="W7:W8"/>
  </mergeCells>
  <conditionalFormatting sqref="B157:B1048576 B1:B14 B16:B95 B103:B155">
    <cfRule type="duplicateValues" dxfId="497" priority="15"/>
  </conditionalFormatting>
  <conditionalFormatting sqref="B15">
    <cfRule type="duplicateValues" dxfId="496" priority="3"/>
    <cfRule type="duplicateValues" dxfId="495" priority="4"/>
  </conditionalFormatting>
  <conditionalFormatting sqref="B96:B102">
    <cfRule type="duplicateValues" dxfId="494" priority="21"/>
  </conditionalFormatting>
  <conditionalFormatting sqref="B156">
    <cfRule type="duplicateValues" dxfId="493" priority="5"/>
    <cfRule type="duplicateValues" dxfId="492" priority="6"/>
  </conditionalFormatting>
  <conditionalFormatting sqref="B16:C16 C15">
    <cfRule type="duplicateValues" dxfId="491" priority="13"/>
  </conditionalFormatting>
  <conditionalFormatting sqref="B96:C96 B97:B102">
    <cfRule type="duplicateValues" dxfId="490" priority="22"/>
  </conditionalFormatting>
  <conditionalFormatting sqref="B157:C157">
    <cfRule type="duplicateValues" dxfId="489" priority="1"/>
  </conditionalFormatting>
  <conditionalFormatting sqref="B158:C158">
    <cfRule type="duplicateValues" dxfId="488" priority="2"/>
  </conditionalFormatting>
  <conditionalFormatting sqref="B159:C159">
    <cfRule type="duplicateValues" dxfId="487" priority="8"/>
  </conditionalFormatting>
  <conditionalFormatting sqref="B160:C165 B18:C32 B34:C95 C97:C102 B103:C154">
    <cfRule type="duplicateValues" dxfId="486" priority="23"/>
  </conditionalFormatting>
  <conditionalFormatting sqref="C156">
    <cfRule type="duplicateValues" dxfId="485" priority="7"/>
  </conditionalFormatting>
  <conditionalFormatting sqref="J2:J3 J7:J166">
    <cfRule type="cellIs" dxfId="484" priority="20" operator="equal">
      <formula>"Disc"</formula>
    </cfRule>
  </conditionalFormatting>
  <conditionalFormatting sqref="V2:V5">
    <cfRule type="containsText" dxfId="483" priority="16" operator="containsText" text="dog">
      <formula>NOT(ISERROR(SEARCH("dog",V2)))</formula>
    </cfRule>
    <cfRule type="containsText" dxfId="482" priority="17" operator="containsText" text="star">
      <formula>NOT(ISERROR(SEARCH("star",V2)))</formula>
    </cfRule>
    <cfRule type="containsText" dxfId="481" priority="18" operator="containsText" text="PUZZLE">
      <formula>NOT(ISERROR(SEARCH("PUZZLE",V2)))</formula>
    </cfRule>
    <cfRule type="containsText" dxfId="480" priority="19" operator="containsText" text="HORSE">
      <formula>NOT(ISERROR(SEARCH("HORSE",V2)))</formula>
    </cfRule>
  </conditionalFormatting>
  <conditionalFormatting sqref="X15:X166">
    <cfRule type="containsText" dxfId="479" priority="9" operator="containsText" text="star">
      <formula>NOT(ISERROR(SEARCH("star",X15)))</formula>
    </cfRule>
    <cfRule type="containsText" dxfId="478" priority="10" operator="containsText" text="dog">
      <formula>NOT(ISERROR(SEARCH("dog",X15)))</formula>
    </cfRule>
    <cfRule type="containsText" dxfId="477" priority="11" operator="containsText" text="puzzle">
      <formula>NOT(ISERROR(SEARCH("puzzle",X15)))</formula>
    </cfRule>
    <cfRule type="containsText" dxfId="476" priority="12" operator="containsText" text="horse">
      <formula>NOT(ISERROR(SEARCH("horse",X15)))</formula>
    </cfRule>
  </conditionalFormatting>
  <conditionalFormatting sqref="AA7:AA8">
    <cfRule type="duplicateValues" dxfId="475" priority="14"/>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W338"/>
  <sheetViews>
    <sheetView zoomScale="85" zoomScaleNormal="85" workbookViewId="0">
      <pane ySplit="10" topLeftCell="A47"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98"/>
      <c r="M4" s="699"/>
      <c r="N4" s="698"/>
      <c r="O4" s="699"/>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700"/>
      <c r="N5" s="670"/>
      <c r="O5" s="700"/>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89"/>
      <c r="AE6" s="689"/>
      <c r="AF6" s="689"/>
      <c r="AG6" s="660"/>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43"/>
      <c r="T7" s="645"/>
      <c r="U7" s="404"/>
      <c r="V7" s="658"/>
      <c r="W7" s="658"/>
      <c r="X7" s="658"/>
      <c r="Y7" s="405"/>
      <c r="AA7" s="688"/>
      <c r="AB7" s="686"/>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44"/>
      <c r="T8" s="646"/>
      <c r="U8" s="404"/>
      <c r="V8" s="659"/>
      <c r="W8" s="659"/>
      <c r="X8" s="659"/>
      <c r="Y8" s="415"/>
      <c r="AA8" s="687"/>
      <c r="AB8" s="687"/>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6"/>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6"/>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sheetData>
  <mergeCells count="29">
    <mergeCell ref="C4:D4"/>
    <mergeCell ref="L4:M4"/>
    <mergeCell ref="N4:O4"/>
    <mergeCell ref="C5:D5"/>
    <mergeCell ref="L5:M5"/>
    <mergeCell ref="N5:O5"/>
    <mergeCell ref="AC6:AF6"/>
    <mergeCell ref="AG6:AJ6"/>
    <mergeCell ref="R7:R8"/>
    <mergeCell ref="B7:B8"/>
    <mergeCell ref="C7:C8"/>
    <mergeCell ref="D7:D8"/>
    <mergeCell ref="E7:E8"/>
    <mergeCell ref="K7:K8"/>
    <mergeCell ref="L7:L8"/>
    <mergeCell ref="M7:M8"/>
    <mergeCell ref="N7:N8"/>
    <mergeCell ref="O7:O8"/>
    <mergeCell ref="P7:P8"/>
    <mergeCell ref="Q7:Q8"/>
    <mergeCell ref="V7:V8"/>
    <mergeCell ref="V12:W12"/>
    <mergeCell ref="S7:S8"/>
    <mergeCell ref="T7:T8"/>
    <mergeCell ref="X7:X8"/>
    <mergeCell ref="AB7:AB8"/>
    <mergeCell ref="V10:W10"/>
    <mergeCell ref="AA7:AA8"/>
    <mergeCell ref="W7:W8"/>
  </mergeCells>
  <conditionalFormatting sqref="B15">
    <cfRule type="duplicateValues" dxfId="474" priority="10"/>
    <cfRule type="duplicateValues" dxfId="473" priority="11"/>
  </conditionalFormatting>
  <conditionalFormatting sqref="B102:B106">
    <cfRule type="duplicateValues" dxfId="472" priority="9"/>
  </conditionalFormatting>
  <conditionalFormatting sqref="B171">
    <cfRule type="duplicateValues" dxfId="471" priority="12"/>
    <cfRule type="duplicateValues" dxfId="470" priority="13"/>
  </conditionalFormatting>
  <conditionalFormatting sqref="B172:B1048576 B1:B14 B16:B101 B107:B170">
    <cfRule type="duplicateValues" dxfId="469" priority="22"/>
  </conditionalFormatting>
  <conditionalFormatting sqref="B16:C16 C15">
    <cfRule type="duplicateValues" dxfId="468" priority="20"/>
  </conditionalFormatting>
  <conditionalFormatting sqref="B102:C102 B103:B106">
    <cfRule type="duplicateValues" dxfId="467" priority="8"/>
  </conditionalFormatting>
  <conditionalFormatting sqref="B172:C172">
    <cfRule type="duplicateValues" dxfId="466" priority="15"/>
  </conditionalFormatting>
  <conditionalFormatting sqref="B173:C178 B24:C24 B40:C41 B101:C101 B95:B100 B93:C94 B67:B92 B65:C66 B61:B64 B59:C60 B42:B58 B26:B39 B18:B23 B107:C169">
    <cfRule type="duplicateValues" dxfId="465" priority="28"/>
  </conditionalFormatting>
  <conditionalFormatting sqref="C18:C23">
    <cfRule type="duplicateValues" dxfId="464" priority="1"/>
  </conditionalFormatting>
  <conditionalFormatting sqref="C26:C39">
    <cfRule type="duplicateValues" dxfId="463" priority="2"/>
  </conditionalFormatting>
  <conditionalFormatting sqref="C42:C58">
    <cfRule type="duplicateValues" dxfId="462" priority="3"/>
  </conditionalFormatting>
  <conditionalFormatting sqref="C61:C64">
    <cfRule type="duplicateValues" dxfId="461" priority="4"/>
  </conditionalFormatting>
  <conditionalFormatting sqref="C67:C92">
    <cfRule type="duplicateValues" dxfId="460" priority="5"/>
  </conditionalFormatting>
  <conditionalFormatting sqref="C95:C100">
    <cfRule type="duplicateValues" dxfId="459" priority="6"/>
  </conditionalFormatting>
  <conditionalFormatting sqref="C103:C106">
    <cfRule type="duplicateValues" dxfId="458" priority="7"/>
  </conditionalFormatting>
  <conditionalFormatting sqref="C171">
    <cfRule type="duplicateValues" dxfId="457" priority="14"/>
  </conditionalFormatting>
  <conditionalFormatting sqref="J2:J3 J7:J179">
    <cfRule type="cellIs" dxfId="456" priority="27" operator="equal">
      <formula>"Disc"</formula>
    </cfRule>
  </conditionalFormatting>
  <conditionalFormatting sqref="V2:V5">
    <cfRule type="containsText" dxfId="455" priority="23" operator="containsText" text="dog">
      <formula>NOT(ISERROR(SEARCH("dog",V2)))</formula>
    </cfRule>
    <cfRule type="containsText" dxfId="454" priority="24" operator="containsText" text="star">
      <formula>NOT(ISERROR(SEARCH("star",V2)))</formula>
    </cfRule>
    <cfRule type="containsText" dxfId="453" priority="25" operator="containsText" text="PUZZLE">
      <formula>NOT(ISERROR(SEARCH("PUZZLE",V2)))</formula>
    </cfRule>
    <cfRule type="containsText" dxfId="452" priority="26" operator="containsText" text="HORSE">
      <formula>NOT(ISERROR(SEARCH("HORSE",V2)))</formula>
    </cfRule>
  </conditionalFormatting>
  <conditionalFormatting sqref="X15:X179">
    <cfRule type="containsText" dxfId="451" priority="16" operator="containsText" text="star">
      <formula>NOT(ISERROR(SEARCH("star",X15)))</formula>
    </cfRule>
    <cfRule type="containsText" dxfId="450" priority="17" operator="containsText" text="dog">
      <formula>NOT(ISERROR(SEARCH("dog",X15)))</formula>
    </cfRule>
    <cfRule type="containsText" dxfId="449" priority="18" operator="containsText" text="puzzle">
      <formula>NOT(ISERROR(SEARCH("puzzle",X15)))</formula>
    </cfRule>
    <cfRule type="containsText" dxfId="448" priority="19" operator="containsText" text="horse">
      <formula>NOT(ISERROR(SEARCH("horse",X15)))</formula>
    </cfRule>
  </conditionalFormatting>
  <conditionalFormatting sqref="AA7:AA8">
    <cfRule type="duplicateValues" dxfId="447" priority="2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W338"/>
  <sheetViews>
    <sheetView zoomScale="85" zoomScaleNormal="85" workbookViewId="0">
      <pane ySplit="10" topLeftCell="A152"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69"/>
      <c r="M4" s="669"/>
      <c r="N4" s="669"/>
      <c r="O4" s="669"/>
      <c r="P4" s="394"/>
      <c r="Q4" s="371"/>
      <c r="R4" s="372"/>
      <c r="S4" s="564"/>
      <c r="T4" s="565"/>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671"/>
      <c r="N5" s="670"/>
      <c r="O5" s="670"/>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60"/>
      <c r="AE6" s="660"/>
      <c r="AF6" s="660"/>
      <c r="AG6" s="660"/>
      <c r="AH6" s="660"/>
      <c r="AI6" s="660"/>
      <c r="AJ6" s="660"/>
    </row>
    <row r="7" spans="1:49" ht="19.5" customHeight="1" x14ac:dyDescent="0.35">
      <c r="A7" s="400"/>
      <c r="B7" s="678"/>
      <c r="C7" s="680"/>
      <c r="D7" s="680"/>
      <c r="E7" s="682"/>
      <c r="F7" s="402"/>
      <c r="G7" s="567"/>
      <c r="H7" s="567"/>
      <c r="I7" s="403"/>
      <c r="J7" s="567"/>
      <c r="K7" s="680"/>
      <c r="L7" s="680"/>
      <c r="M7" s="680"/>
      <c r="N7" s="684"/>
      <c r="O7" s="665"/>
      <c r="P7" s="665"/>
      <c r="Q7" s="665"/>
      <c r="R7" s="667"/>
      <c r="S7" s="672"/>
      <c r="T7" s="674"/>
      <c r="U7" s="404"/>
      <c r="V7" s="658"/>
      <c r="W7" s="658"/>
      <c r="X7" s="658"/>
      <c r="Y7" s="405"/>
      <c r="AA7" s="661"/>
      <c r="AB7" s="656"/>
      <c r="AC7" s="406"/>
      <c r="AD7" s="407"/>
      <c r="AE7" s="407"/>
      <c r="AF7" s="407"/>
      <c r="AG7" s="406"/>
      <c r="AH7" s="407"/>
      <c r="AI7" s="407"/>
      <c r="AJ7" s="407"/>
      <c r="AK7" s="408"/>
      <c r="AL7" s="409"/>
      <c r="AM7" s="400"/>
      <c r="AN7" s="400"/>
    </row>
    <row r="8" spans="1:49" ht="15" customHeight="1" x14ac:dyDescent="0.35">
      <c r="A8" s="410"/>
      <c r="B8" s="679"/>
      <c r="C8" s="681"/>
      <c r="D8" s="681"/>
      <c r="E8" s="683"/>
      <c r="F8" s="411"/>
      <c r="G8" s="568"/>
      <c r="H8" s="568"/>
      <c r="I8" s="412"/>
      <c r="J8" s="413"/>
      <c r="K8" s="681"/>
      <c r="L8" s="681"/>
      <c r="M8" s="681"/>
      <c r="N8" s="685"/>
      <c r="O8" s="666"/>
      <c r="P8" s="666"/>
      <c r="Q8" s="666"/>
      <c r="R8" s="668"/>
      <c r="S8" s="673"/>
      <c r="T8" s="675"/>
      <c r="U8" s="404"/>
      <c r="V8" s="659"/>
      <c r="W8" s="659"/>
      <c r="X8" s="659"/>
      <c r="Y8" s="415"/>
      <c r="AA8" s="662"/>
      <c r="AB8" s="657"/>
      <c r="AC8" s="573"/>
      <c r="AD8" s="573"/>
      <c r="AE8" s="573"/>
      <c r="AF8" s="573"/>
      <c r="AG8" s="573"/>
      <c r="AH8" s="573"/>
      <c r="AI8" s="573"/>
      <c r="AJ8" s="573"/>
      <c r="AK8" s="573"/>
      <c r="AL8" s="573"/>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574"/>
      <c r="AB9" s="574"/>
      <c r="AC9" s="575"/>
      <c r="AD9" s="575"/>
      <c r="AE9" s="575"/>
      <c r="AF9" s="576"/>
      <c r="AG9" s="575"/>
      <c r="AH9" s="575"/>
      <c r="AI9" s="575"/>
      <c r="AJ9" s="576"/>
      <c r="AK9" s="577"/>
      <c r="AL9" s="57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7"/>
      <c r="X10" s="435"/>
      <c r="Y10" s="423"/>
      <c r="Z10" s="436"/>
      <c r="AA10" s="579"/>
      <c r="AB10" s="579"/>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579"/>
      <c r="AB11" s="579"/>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7"/>
      <c r="X12" s="435"/>
      <c r="Y12" s="423"/>
      <c r="AA12" s="579"/>
      <c r="AB12" s="579"/>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579"/>
      <c r="AB13" s="579"/>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579"/>
      <c r="AB14" s="579"/>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579"/>
      <c r="AB15" s="579"/>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579"/>
      <c r="AB16" s="579"/>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579"/>
      <c r="AB17" s="579"/>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581"/>
      <c r="G18" s="470"/>
      <c r="H18" s="470"/>
      <c r="I18" s="471"/>
      <c r="J18" s="424"/>
      <c r="K18" s="424"/>
      <c r="L18" s="424"/>
      <c r="M18" s="424"/>
      <c r="N18" s="473"/>
      <c r="O18" s="474"/>
      <c r="P18" s="474"/>
      <c r="Q18" s="474"/>
      <c r="R18" s="475"/>
      <c r="S18" s="545"/>
      <c r="T18" s="546"/>
      <c r="U18" s="404"/>
      <c r="V18" s="476"/>
      <c r="W18" s="476"/>
      <c r="X18" s="477"/>
      <c r="AA18" s="579"/>
      <c r="AB18" s="579"/>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581"/>
      <c r="G19" s="470"/>
      <c r="H19" s="470"/>
      <c r="I19" s="471"/>
      <c r="J19" s="424"/>
      <c r="K19" s="424"/>
      <c r="L19" s="424"/>
      <c r="M19" s="424"/>
      <c r="N19" s="473"/>
      <c r="O19" s="474"/>
      <c r="P19" s="474"/>
      <c r="Q19" s="474"/>
      <c r="R19" s="475"/>
      <c r="S19" s="545"/>
      <c r="T19" s="546"/>
      <c r="U19" s="404"/>
      <c r="V19" s="476"/>
      <c r="W19" s="476"/>
      <c r="X19" s="477"/>
      <c r="AA19" s="579"/>
      <c r="AB19" s="579"/>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581"/>
      <c r="G20" s="470"/>
      <c r="H20" s="470"/>
      <c r="I20" s="471"/>
      <c r="J20" s="424"/>
      <c r="K20" s="424"/>
      <c r="L20" s="424"/>
      <c r="M20" s="424"/>
      <c r="N20" s="473"/>
      <c r="O20" s="474"/>
      <c r="P20" s="474"/>
      <c r="Q20" s="474"/>
      <c r="R20" s="475"/>
      <c r="S20" s="545"/>
      <c r="T20" s="546"/>
      <c r="U20" s="404"/>
      <c r="V20" s="476"/>
      <c r="W20" s="476"/>
      <c r="X20" s="477"/>
      <c r="AA20" s="579"/>
      <c r="AB20" s="579"/>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581"/>
      <c r="G21" s="470"/>
      <c r="H21" s="470"/>
      <c r="I21" s="471"/>
      <c r="J21" s="424"/>
      <c r="K21" s="424"/>
      <c r="L21" s="424"/>
      <c r="M21" s="424"/>
      <c r="N21" s="473"/>
      <c r="O21" s="474"/>
      <c r="P21" s="474"/>
      <c r="Q21" s="474"/>
      <c r="R21" s="475"/>
      <c r="S21" s="545"/>
      <c r="T21" s="546"/>
      <c r="U21" s="404"/>
      <c r="V21" s="476"/>
      <c r="W21" s="476"/>
      <c r="X21" s="477"/>
      <c r="AA21" s="579"/>
      <c r="AB21" s="579"/>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581"/>
      <c r="G22" s="470"/>
      <c r="H22" s="470"/>
      <c r="I22" s="471"/>
      <c r="J22" s="424"/>
      <c r="K22" s="424"/>
      <c r="L22" s="424"/>
      <c r="M22" s="424"/>
      <c r="N22" s="473"/>
      <c r="O22" s="474"/>
      <c r="P22" s="474"/>
      <c r="Q22" s="474"/>
      <c r="R22" s="475"/>
      <c r="S22" s="545"/>
      <c r="T22" s="546"/>
      <c r="U22" s="404"/>
      <c r="V22" s="476"/>
      <c r="W22" s="476"/>
      <c r="X22" s="477"/>
      <c r="AA22" s="579"/>
      <c r="AB22" s="579"/>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581"/>
      <c r="G23" s="470"/>
      <c r="H23" s="470"/>
      <c r="I23" s="471"/>
      <c r="J23" s="424"/>
      <c r="K23" s="424"/>
      <c r="L23" s="424"/>
      <c r="M23" s="424"/>
      <c r="N23" s="473"/>
      <c r="O23" s="474"/>
      <c r="P23" s="474"/>
      <c r="Q23" s="474"/>
      <c r="R23" s="475"/>
      <c r="S23" s="545"/>
      <c r="T23" s="546"/>
      <c r="U23" s="404"/>
      <c r="V23" s="476"/>
      <c r="W23" s="476"/>
      <c r="X23" s="477"/>
      <c r="AA23" s="579"/>
      <c r="AB23" s="579"/>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581"/>
      <c r="G24" s="470"/>
      <c r="H24" s="470"/>
      <c r="I24" s="471"/>
      <c r="J24" s="424"/>
      <c r="K24" s="424"/>
      <c r="L24" s="424"/>
      <c r="M24" s="424"/>
      <c r="N24" s="473"/>
      <c r="O24" s="474"/>
      <c r="P24" s="474"/>
      <c r="Q24" s="474"/>
      <c r="R24" s="475"/>
      <c r="S24" s="545"/>
      <c r="T24" s="546"/>
      <c r="U24" s="404"/>
      <c r="V24" s="476"/>
      <c r="W24" s="476"/>
      <c r="X24" s="477"/>
      <c r="AA24" s="580"/>
      <c r="AB24" s="580"/>
      <c r="AC24" s="499"/>
      <c r="AD24" s="499"/>
      <c r="AE24" s="499"/>
      <c r="AF24" s="500"/>
      <c r="AG24" s="499"/>
      <c r="AH24" s="499"/>
      <c r="AI24" s="499"/>
      <c r="AJ24" s="500"/>
      <c r="AK24" s="501"/>
      <c r="AL24" s="502"/>
      <c r="AM24" s="366"/>
      <c r="AN24" s="366"/>
    </row>
    <row r="25" spans="1:49" ht="20.25" customHeight="1" x14ac:dyDescent="0.35">
      <c r="A25" s="366"/>
      <c r="B25" s="467"/>
      <c r="C25" s="365"/>
      <c r="D25" s="365"/>
      <c r="E25" s="468"/>
      <c r="F25" s="581"/>
      <c r="G25" s="470"/>
      <c r="H25" s="470"/>
      <c r="I25" s="471"/>
      <c r="J25" s="424"/>
      <c r="K25" s="424"/>
      <c r="L25" s="424"/>
      <c r="M25" s="424"/>
      <c r="N25" s="473"/>
      <c r="O25" s="474"/>
      <c r="P25" s="474"/>
      <c r="Q25" s="474"/>
      <c r="R25" s="475"/>
      <c r="S25" s="545"/>
      <c r="T25" s="546"/>
      <c r="U25" s="404"/>
      <c r="V25" s="476"/>
      <c r="W25" s="476"/>
      <c r="X25" s="477"/>
      <c r="AA25" s="366"/>
      <c r="AB25" s="534"/>
      <c r="AC25" s="366"/>
      <c r="AD25" s="366"/>
      <c r="AE25" s="366"/>
      <c r="AF25" s="572"/>
      <c r="AG25" s="366"/>
      <c r="AH25" s="366"/>
      <c r="AI25" s="366"/>
      <c r="AJ25" s="572"/>
      <c r="AK25" s="535"/>
      <c r="AL25" s="536"/>
      <c r="AM25" s="366"/>
      <c r="AN25" s="366"/>
    </row>
    <row r="26" spans="1:49" ht="20.25" customHeight="1" x14ac:dyDescent="0.35">
      <c r="A26" s="366"/>
      <c r="B26" s="467"/>
      <c r="C26" s="365"/>
      <c r="D26" s="365"/>
      <c r="E26" s="468"/>
      <c r="F26" s="581"/>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35"/>
      <c r="AL26" s="536"/>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s="466" customFormat="1" ht="20.25" customHeight="1" x14ac:dyDescent="0.35">
      <c r="A28" s="453"/>
      <c r="B28" s="479"/>
      <c r="C28" s="480"/>
      <c r="D28" s="480"/>
      <c r="E28" s="480"/>
      <c r="F28" s="480"/>
      <c r="G28" s="481"/>
      <c r="H28" s="481"/>
      <c r="I28" s="483"/>
      <c r="J28" s="484"/>
      <c r="K28" s="480"/>
      <c r="L28" s="480"/>
      <c r="M28" s="480"/>
      <c r="N28" s="485"/>
      <c r="O28" s="486"/>
      <c r="P28" s="486"/>
      <c r="Q28" s="486"/>
      <c r="R28" s="487"/>
      <c r="S28" s="487"/>
      <c r="T28" s="487"/>
      <c r="U28" s="404"/>
      <c r="V28" s="476"/>
      <c r="W28" s="476"/>
      <c r="X28" s="477"/>
      <c r="Y28" s="374"/>
      <c r="Z28" s="571"/>
      <c r="AA28" s="366"/>
      <c r="AB28" s="534"/>
      <c r="AC28" s="366"/>
      <c r="AD28" s="366"/>
      <c r="AE28" s="366"/>
      <c r="AF28" s="572"/>
      <c r="AG28" s="366"/>
      <c r="AH28" s="366"/>
      <c r="AI28" s="366"/>
      <c r="AJ28" s="572"/>
      <c r="AK28" s="535"/>
      <c r="AL28" s="536"/>
      <c r="AM28" s="400"/>
      <c r="AN28" s="400"/>
      <c r="AO28" s="465"/>
      <c r="AP28" s="465"/>
      <c r="AQ28" s="571"/>
      <c r="AR28" s="571"/>
      <c r="AS28" s="571"/>
      <c r="AT28" s="571"/>
      <c r="AU28" s="571"/>
      <c r="AV28" s="571"/>
      <c r="AW28" s="571"/>
    </row>
    <row r="29" spans="1:49" ht="20.25" customHeight="1" x14ac:dyDescent="0.35">
      <c r="A29" s="366"/>
      <c r="B29" s="467"/>
      <c r="C29" s="365"/>
      <c r="D29" s="365"/>
      <c r="E29" s="468"/>
      <c r="F29" s="581"/>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581"/>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581"/>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581"/>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581"/>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581"/>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581"/>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581"/>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581"/>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581"/>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581"/>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581"/>
      <c r="G40" s="470"/>
      <c r="H40" s="470"/>
      <c r="I40" s="471"/>
      <c r="J40" s="424"/>
      <c r="K40" s="424"/>
      <c r="L40" s="424"/>
      <c r="M40" s="424"/>
      <c r="N40" s="473"/>
      <c r="O40" s="474"/>
      <c r="P40" s="474"/>
      <c r="Q40" s="474"/>
      <c r="R40" s="475"/>
      <c r="S40" s="545"/>
      <c r="T40" s="546"/>
      <c r="U40" s="404"/>
      <c r="V40" s="476"/>
      <c r="W40" s="476"/>
      <c r="X40" s="477"/>
      <c r="AA40" s="366"/>
      <c r="AB40" s="534"/>
      <c r="AC40" s="366"/>
      <c r="AD40" s="366"/>
      <c r="AE40" s="366"/>
      <c r="AF40" s="572"/>
      <c r="AG40" s="366"/>
      <c r="AH40" s="366"/>
      <c r="AI40" s="366"/>
      <c r="AJ40" s="572"/>
      <c r="AK40" s="535"/>
      <c r="AL40" s="536"/>
      <c r="AM40" s="366"/>
      <c r="AN40" s="366"/>
    </row>
    <row r="41" spans="1:40" ht="20.25" customHeight="1" x14ac:dyDescent="0.35">
      <c r="A41" s="366"/>
      <c r="B41" s="467"/>
      <c r="C41" s="365"/>
      <c r="D41" s="365"/>
      <c r="E41" s="468"/>
      <c r="F41" s="581"/>
      <c r="G41" s="470"/>
      <c r="H41" s="470"/>
      <c r="I41" s="471"/>
      <c r="J41" s="424"/>
      <c r="K41" s="424"/>
      <c r="L41" s="424"/>
      <c r="M41" s="424"/>
      <c r="N41" s="473"/>
      <c r="O41" s="474"/>
      <c r="P41" s="474"/>
      <c r="Q41" s="474"/>
      <c r="R41" s="475"/>
      <c r="S41" s="545"/>
      <c r="T41" s="546"/>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581"/>
      <c r="G42" s="470"/>
      <c r="H42" s="470"/>
      <c r="I42" s="471"/>
      <c r="J42" s="424"/>
      <c r="K42" s="424"/>
      <c r="L42" s="424"/>
      <c r="M42" s="424"/>
      <c r="N42" s="473"/>
      <c r="O42" s="474"/>
      <c r="P42" s="474"/>
      <c r="Q42" s="474"/>
      <c r="R42" s="475"/>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581"/>
      <c r="G43" s="470"/>
      <c r="H43" s="470"/>
      <c r="I43" s="471"/>
      <c r="J43" s="424"/>
      <c r="K43" s="424"/>
      <c r="L43" s="424"/>
      <c r="M43" s="424"/>
      <c r="N43" s="473"/>
      <c r="O43" s="474"/>
      <c r="P43" s="474"/>
      <c r="Q43" s="474"/>
      <c r="R43" s="475"/>
      <c r="S43" s="545"/>
      <c r="T43" s="546"/>
      <c r="U43" s="404"/>
      <c r="V43" s="476"/>
      <c r="W43" s="476"/>
      <c r="X43" s="477"/>
      <c r="AA43" s="366"/>
      <c r="AB43" s="534"/>
      <c r="AC43" s="366"/>
      <c r="AD43" s="366"/>
      <c r="AE43" s="366"/>
      <c r="AF43" s="572"/>
      <c r="AG43" s="366"/>
      <c r="AH43" s="366"/>
      <c r="AI43" s="366"/>
      <c r="AJ43" s="572"/>
      <c r="AK43" s="535"/>
      <c r="AL43" s="536"/>
      <c r="AM43" s="366"/>
      <c r="AN43" s="366"/>
    </row>
    <row r="44" spans="1:40" ht="20.25" customHeight="1" x14ac:dyDescent="0.35">
      <c r="A44" s="366"/>
      <c r="B44" s="467"/>
      <c r="C44" s="365"/>
      <c r="D44" s="365"/>
      <c r="E44" s="468"/>
      <c r="F44" s="581"/>
      <c r="G44" s="470"/>
      <c r="H44" s="470"/>
      <c r="I44" s="471"/>
      <c r="J44" s="424"/>
      <c r="K44" s="424"/>
      <c r="L44" s="424"/>
      <c r="M44" s="424"/>
      <c r="N44" s="473"/>
      <c r="O44" s="474"/>
      <c r="P44" s="474"/>
      <c r="Q44" s="474"/>
      <c r="R44" s="475"/>
      <c r="S44" s="545"/>
      <c r="T44" s="546"/>
      <c r="U44" s="404"/>
      <c r="V44" s="476"/>
      <c r="W44" s="476"/>
      <c r="X44" s="477"/>
      <c r="AA44" s="366"/>
      <c r="AB44" s="534"/>
      <c r="AC44" s="366"/>
      <c r="AD44" s="366"/>
      <c r="AE44" s="366"/>
      <c r="AF44" s="572"/>
      <c r="AG44" s="366"/>
      <c r="AH44" s="366"/>
      <c r="AI44" s="366"/>
      <c r="AJ44" s="572"/>
      <c r="AK44" s="535"/>
      <c r="AL44" s="536"/>
      <c r="AM44" s="366"/>
      <c r="AN44" s="366"/>
    </row>
    <row r="45" spans="1:40" ht="20.25" customHeight="1" x14ac:dyDescent="0.35">
      <c r="A45" s="366"/>
      <c r="B45" s="467"/>
      <c r="C45" s="365"/>
      <c r="D45" s="365"/>
      <c r="E45" s="468"/>
      <c r="F45" s="478"/>
      <c r="G45" s="470"/>
      <c r="H45" s="470"/>
      <c r="I45" s="471"/>
      <c r="J45" s="424"/>
      <c r="K45" s="424"/>
      <c r="L45" s="424"/>
      <c r="M45" s="424"/>
      <c r="N45" s="473"/>
      <c r="O45" s="474"/>
      <c r="P45" s="474"/>
      <c r="Q45" s="474"/>
      <c r="R45" s="475"/>
      <c r="S45" s="545"/>
      <c r="T45" s="546"/>
      <c r="U45" s="404"/>
      <c r="V45" s="476"/>
      <c r="W45" s="476"/>
      <c r="X45" s="477"/>
      <c r="Y45" s="488"/>
      <c r="AA45" s="366"/>
      <c r="AB45" s="534"/>
      <c r="AC45" s="366"/>
      <c r="AD45" s="366"/>
      <c r="AE45" s="366"/>
      <c r="AF45" s="572"/>
      <c r="AG45" s="366"/>
      <c r="AH45" s="366"/>
      <c r="AI45" s="366"/>
      <c r="AJ45" s="572"/>
      <c r="AK45" s="535"/>
      <c r="AL45" s="536"/>
      <c r="AM45" s="366"/>
      <c r="AN45" s="366"/>
    </row>
    <row r="46" spans="1:40" ht="20.25" customHeight="1" x14ac:dyDescent="0.35">
      <c r="A46" s="366"/>
      <c r="B46" s="479"/>
      <c r="C46" s="484"/>
      <c r="D46" s="484"/>
      <c r="E46" s="484"/>
      <c r="F46" s="484"/>
      <c r="G46" s="489"/>
      <c r="H46" s="489"/>
      <c r="I46" s="489"/>
      <c r="J46" s="484"/>
      <c r="K46" s="480"/>
      <c r="L46" s="480"/>
      <c r="M46" s="480"/>
      <c r="N46" s="491"/>
      <c r="O46" s="492"/>
      <c r="P46" s="492"/>
      <c r="Q46" s="492"/>
      <c r="R46" s="493"/>
      <c r="S46" s="493"/>
      <c r="T46" s="493"/>
      <c r="U46" s="404"/>
      <c r="V46" s="476"/>
      <c r="W46" s="476"/>
      <c r="X46" s="477"/>
      <c r="AA46" s="366"/>
      <c r="AB46" s="534"/>
      <c r="AC46" s="366"/>
      <c r="AD46" s="366"/>
      <c r="AE46" s="366"/>
      <c r="AF46" s="572"/>
      <c r="AG46" s="366"/>
      <c r="AH46" s="366"/>
      <c r="AI46" s="366"/>
      <c r="AJ46" s="572"/>
      <c r="AK46" s="535"/>
      <c r="AL46" s="536"/>
      <c r="AM46" s="366"/>
      <c r="AN46" s="366"/>
    </row>
    <row r="47" spans="1:40" ht="20.25" customHeight="1" x14ac:dyDescent="0.35">
      <c r="A47" s="366"/>
      <c r="B47" s="467"/>
      <c r="C47" s="365"/>
      <c r="D47" s="365"/>
      <c r="E47" s="468"/>
      <c r="F47" s="581"/>
      <c r="G47" s="470"/>
      <c r="H47" s="494"/>
      <c r="I47" s="471"/>
      <c r="J47" s="424"/>
      <c r="K47" s="495"/>
      <c r="L47" s="495"/>
      <c r="M47" s="495"/>
      <c r="N47" s="496"/>
      <c r="O47" s="497"/>
      <c r="P47" s="497"/>
      <c r="Q47" s="497"/>
      <c r="R47" s="498"/>
      <c r="S47" s="545"/>
      <c r="T47" s="546"/>
      <c r="U47" s="404"/>
      <c r="V47" s="476"/>
      <c r="W47" s="476"/>
      <c r="X47" s="477"/>
      <c r="AA47" s="366"/>
      <c r="AB47" s="534"/>
      <c r="AC47" s="366"/>
      <c r="AD47" s="366"/>
      <c r="AE47" s="366"/>
      <c r="AF47" s="572"/>
      <c r="AG47" s="366"/>
      <c r="AH47" s="366"/>
      <c r="AI47" s="366"/>
      <c r="AJ47" s="572"/>
      <c r="AK47" s="535"/>
      <c r="AL47" s="536"/>
      <c r="AM47" s="366"/>
      <c r="AN47" s="366"/>
    </row>
    <row r="48" spans="1:40" ht="20.25" customHeight="1" x14ac:dyDescent="0.35">
      <c r="A48" s="366"/>
      <c r="B48" s="467"/>
      <c r="C48" s="365"/>
      <c r="D48" s="365"/>
      <c r="E48" s="468"/>
      <c r="F48" s="581"/>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581"/>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581"/>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581"/>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495"/>
      <c r="E52" s="468"/>
      <c r="F52" s="478"/>
      <c r="G52" s="470"/>
      <c r="H52" s="494"/>
      <c r="I52" s="471"/>
      <c r="J52" s="424"/>
      <c r="K52" s="495"/>
      <c r="L52" s="495"/>
      <c r="M52" s="495"/>
      <c r="N52" s="496"/>
      <c r="O52" s="497"/>
      <c r="P52" s="497"/>
      <c r="Q52" s="497"/>
      <c r="R52" s="498"/>
      <c r="S52" s="545"/>
      <c r="T52" s="546"/>
      <c r="U52" s="404"/>
      <c r="V52" s="476"/>
      <c r="W52" s="476"/>
      <c r="X52" s="477"/>
      <c r="AA52" s="366"/>
      <c r="AB52" s="503"/>
      <c r="AC52" s="366"/>
      <c r="AD52" s="366"/>
      <c r="AE52" s="366"/>
      <c r="AF52" s="366"/>
      <c r="AG52" s="366"/>
      <c r="AH52" s="366"/>
      <c r="AI52" s="366"/>
      <c r="AJ52" s="366"/>
      <c r="AM52" s="366"/>
      <c r="AN52" s="366"/>
    </row>
    <row r="53" spans="1:40" ht="20.25" customHeight="1" x14ac:dyDescent="0.35">
      <c r="A53" s="453"/>
      <c r="B53" s="479"/>
      <c r="C53" s="480"/>
      <c r="D53" s="480"/>
      <c r="E53" s="480"/>
      <c r="F53" s="480"/>
      <c r="G53" s="481"/>
      <c r="H53" s="481"/>
      <c r="I53" s="481"/>
      <c r="J53" s="484"/>
      <c r="K53" s="480"/>
      <c r="L53" s="480"/>
      <c r="M53" s="480"/>
      <c r="N53" s="485"/>
      <c r="O53" s="486"/>
      <c r="P53" s="486"/>
      <c r="Q53" s="486"/>
      <c r="R53" s="487"/>
      <c r="S53" s="487"/>
      <c r="T53" s="487"/>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581"/>
      <c r="G54" s="470"/>
      <c r="H54" s="494"/>
      <c r="I54" s="471"/>
      <c r="J54" s="424"/>
      <c r="K54" s="495"/>
      <c r="L54" s="495"/>
      <c r="M54" s="495"/>
      <c r="N54" s="496"/>
      <c r="O54" s="497"/>
      <c r="P54" s="497"/>
      <c r="Q54" s="497"/>
      <c r="R54" s="498"/>
      <c r="S54" s="545"/>
      <c r="T54" s="546"/>
      <c r="U54" s="404"/>
      <c r="V54" s="476"/>
      <c r="W54" s="476"/>
      <c r="X54" s="477"/>
      <c r="Y54" s="488"/>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581"/>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581"/>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581"/>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95"/>
      <c r="C58" s="495"/>
      <c r="D58" s="495"/>
      <c r="E58" s="468"/>
      <c r="F58" s="507"/>
      <c r="G58" s="494"/>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453"/>
      <c r="B59" s="479"/>
      <c r="C59" s="484"/>
      <c r="D59" s="484"/>
      <c r="E59" s="484"/>
      <c r="F59" s="484"/>
      <c r="G59" s="489"/>
      <c r="H59" s="489"/>
      <c r="I59" s="490"/>
      <c r="J59" s="484"/>
      <c r="K59" s="480"/>
      <c r="L59" s="480"/>
      <c r="M59" s="480"/>
      <c r="N59" s="491"/>
      <c r="O59" s="486"/>
      <c r="P59" s="486"/>
      <c r="Q59" s="486"/>
      <c r="R59" s="487"/>
      <c r="S59" s="487"/>
      <c r="T59" s="487"/>
      <c r="U59" s="404"/>
      <c r="V59" s="476"/>
      <c r="W59" s="476"/>
      <c r="X59" s="477"/>
      <c r="AA59" s="366"/>
      <c r="AB59" s="503"/>
      <c r="AC59" s="366"/>
      <c r="AD59" s="366"/>
      <c r="AE59" s="366"/>
      <c r="AF59" s="366"/>
      <c r="AG59" s="366"/>
      <c r="AH59" s="366"/>
      <c r="AI59" s="366"/>
      <c r="AJ59" s="366"/>
      <c r="AM59" s="366"/>
      <c r="AN59" s="366"/>
    </row>
    <row r="60" spans="1:40" ht="20.25" customHeight="1" x14ac:dyDescent="0.35">
      <c r="A60" s="366"/>
      <c r="B60" s="508"/>
      <c r="C60" s="365"/>
      <c r="D60" s="365"/>
      <c r="E60" s="468"/>
      <c r="F60" s="581"/>
      <c r="G60" s="470"/>
      <c r="H60" s="494"/>
      <c r="I60" s="471"/>
      <c r="J60" s="424"/>
      <c r="K60" s="495"/>
      <c r="L60" s="495"/>
      <c r="M60" s="495"/>
      <c r="N60" s="496"/>
      <c r="O60" s="497"/>
      <c r="P60" s="497"/>
      <c r="Q60" s="497"/>
      <c r="R60" s="498"/>
      <c r="S60" s="545"/>
      <c r="T60" s="546"/>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508"/>
      <c r="C61" s="365"/>
      <c r="D61" s="365"/>
      <c r="E61" s="468"/>
      <c r="F61" s="581"/>
      <c r="G61" s="470"/>
      <c r="H61" s="494"/>
      <c r="I61" s="471"/>
      <c r="J61" s="424"/>
      <c r="K61" s="495"/>
      <c r="L61" s="495"/>
      <c r="M61" s="495"/>
      <c r="N61" s="496"/>
      <c r="O61" s="497"/>
      <c r="P61" s="497"/>
      <c r="Q61" s="497"/>
      <c r="R61" s="498"/>
      <c r="S61" s="545"/>
      <c r="T61" s="546"/>
      <c r="U61" s="404"/>
      <c r="V61" s="476"/>
      <c r="W61" s="476"/>
      <c r="X61" s="477"/>
      <c r="AA61" s="366"/>
      <c r="AB61" s="503"/>
      <c r="AC61" s="366"/>
      <c r="AD61" s="366"/>
      <c r="AE61" s="366"/>
      <c r="AF61" s="366"/>
      <c r="AG61" s="366"/>
      <c r="AH61" s="366"/>
      <c r="AI61" s="366"/>
      <c r="AJ61" s="366"/>
      <c r="AM61" s="366"/>
      <c r="AN61" s="366"/>
    </row>
    <row r="62" spans="1:40" ht="20.25" customHeight="1" x14ac:dyDescent="0.35">
      <c r="A62" s="366"/>
      <c r="B62" s="508"/>
      <c r="C62" s="365"/>
      <c r="D62" s="365"/>
      <c r="E62" s="468"/>
      <c r="F62" s="581"/>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508"/>
      <c r="C63" s="365"/>
      <c r="D63" s="365"/>
      <c r="E63" s="468"/>
      <c r="F63" s="581"/>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508"/>
      <c r="C64" s="365"/>
      <c r="D64" s="365"/>
      <c r="E64" s="468"/>
      <c r="F64" s="581"/>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508"/>
      <c r="C65" s="365"/>
      <c r="D65" s="365"/>
      <c r="E65" s="468"/>
      <c r="F65" s="581"/>
      <c r="G65" s="470"/>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366"/>
      <c r="B66" s="508"/>
      <c r="C66" s="365"/>
      <c r="D66" s="365"/>
      <c r="E66" s="468"/>
      <c r="F66" s="581"/>
      <c r="G66" s="470"/>
      <c r="H66" s="494"/>
      <c r="I66" s="471"/>
      <c r="J66" s="424"/>
      <c r="K66" s="495"/>
      <c r="L66" s="495"/>
      <c r="M66" s="495"/>
      <c r="N66" s="496"/>
      <c r="O66" s="497"/>
      <c r="P66" s="497"/>
      <c r="Q66" s="497"/>
      <c r="R66" s="498"/>
      <c r="S66" s="545"/>
      <c r="T66" s="546"/>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581"/>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581"/>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581"/>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49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453"/>
      <c r="B71" s="331"/>
      <c r="C71" s="332"/>
      <c r="D71" s="484"/>
      <c r="E71" s="484"/>
      <c r="F71" s="490"/>
      <c r="G71" s="489"/>
      <c r="H71" s="489"/>
      <c r="I71" s="489"/>
      <c r="J71" s="484"/>
      <c r="K71" s="480"/>
      <c r="L71" s="480"/>
      <c r="M71" s="480"/>
      <c r="N71" s="491"/>
      <c r="O71" s="486"/>
      <c r="P71" s="486"/>
      <c r="Q71" s="486"/>
      <c r="R71" s="487"/>
      <c r="S71" s="487"/>
      <c r="T71" s="487"/>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276"/>
      <c r="C72" s="365"/>
      <c r="D72" s="365"/>
      <c r="E72" s="468"/>
      <c r="F72" s="581"/>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467"/>
      <c r="C73" s="365"/>
      <c r="D73" s="365"/>
      <c r="E73" s="468"/>
      <c r="F73" s="581"/>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467"/>
      <c r="C74" s="365"/>
      <c r="D74" s="49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453"/>
      <c r="B75" s="331"/>
      <c r="C75" s="332"/>
      <c r="D75" s="484"/>
      <c r="E75" s="484"/>
      <c r="F75" s="484"/>
      <c r="G75" s="489"/>
      <c r="H75" s="489"/>
      <c r="I75" s="489"/>
      <c r="J75" s="484"/>
      <c r="K75" s="480"/>
      <c r="L75" s="480"/>
      <c r="M75" s="480"/>
      <c r="N75" s="491"/>
      <c r="O75" s="486"/>
      <c r="P75" s="486"/>
      <c r="Q75" s="486"/>
      <c r="R75" s="487"/>
      <c r="S75" s="487"/>
      <c r="T75" s="487"/>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276"/>
      <c r="C76" s="365"/>
      <c r="D76" s="365"/>
      <c r="E76" s="468"/>
      <c r="F76" s="581"/>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467"/>
      <c r="C77" s="365"/>
      <c r="D77" s="365"/>
      <c r="E77" s="468"/>
      <c r="F77" s="581"/>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467"/>
      <c r="C78" s="365"/>
      <c r="D78" s="365"/>
      <c r="E78" s="468"/>
      <c r="F78" s="581"/>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467"/>
      <c r="C79" s="365"/>
      <c r="D79" s="365"/>
      <c r="E79" s="468"/>
      <c r="F79" s="581"/>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467"/>
      <c r="C80" s="365"/>
      <c r="D80" s="365"/>
      <c r="E80" s="468"/>
      <c r="F80" s="581"/>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467"/>
      <c r="C81" s="365"/>
      <c r="D81" s="365"/>
      <c r="E81" s="468"/>
      <c r="F81" s="581"/>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467"/>
      <c r="C82" s="365"/>
      <c r="D82" s="365"/>
      <c r="E82" s="468"/>
      <c r="F82" s="581"/>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467"/>
      <c r="C83" s="365"/>
      <c r="D83" s="365"/>
      <c r="E83" s="468"/>
      <c r="F83" s="581"/>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467"/>
      <c r="C84" s="365"/>
      <c r="D84" s="49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453"/>
      <c r="B85" s="479"/>
      <c r="C85" s="479"/>
      <c r="D85" s="484"/>
      <c r="E85" s="484"/>
      <c r="F85" s="484"/>
      <c r="G85" s="489"/>
      <c r="H85" s="489"/>
      <c r="I85" s="489"/>
      <c r="J85" s="484"/>
      <c r="K85" s="480"/>
      <c r="L85" s="480"/>
      <c r="M85" s="480"/>
      <c r="N85" s="491"/>
      <c r="O85" s="486"/>
      <c r="P85" s="486"/>
      <c r="Q85" s="486"/>
      <c r="R85" s="487"/>
      <c r="S85" s="487"/>
      <c r="T85" s="487"/>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9"/>
      <c r="C86" s="365"/>
      <c r="D86" s="365"/>
      <c r="E86" s="468"/>
      <c r="F86" s="581"/>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467"/>
      <c r="C87" s="365"/>
      <c r="D87" s="365"/>
      <c r="E87" s="468"/>
      <c r="F87" s="581"/>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467"/>
      <c r="C88" s="365"/>
      <c r="D88" s="365"/>
      <c r="E88" s="468"/>
      <c r="F88" s="581"/>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467"/>
      <c r="C89" s="365"/>
      <c r="D89" s="365"/>
      <c r="E89" s="468"/>
      <c r="F89" s="581"/>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495"/>
      <c r="C90" s="495"/>
      <c r="D90" s="495"/>
      <c r="E90" s="468"/>
      <c r="F90" s="507"/>
      <c r="G90" s="494"/>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453"/>
      <c r="B91" s="479"/>
      <c r="C91" s="479"/>
      <c r="D91" s="484"/>
      <c r="E91" s="484"/>
      <c r="F91" s="484"/>
      <c r="G91" s="489"/>
      <c r="H91" s="489"/>
      <c r="I91" s="490"/>
      <c r="J91" s="484"/>
      <c r="K91" s="480"/>
      <c r="L91" s="480"/>
      <c r="M91" s="480"/>
      <c r="N91" s="491"/>
      <c r="O91" s="486"/>
      <c r="P91" s="486"/>
      <c r="Q91" s="486"/>
      <c r="R91" s="487"/>
      <c r="S91" s="487"/>
      <c r="T91" s="487"/>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467"/>
      <c r="C92" s="365"/>
      <c r="D92" s="365"/>
      <c r="E92" s="468"/>
      <c r="F92" s="581"/>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467"/>
      <c r="C93" s="365"/>
      <c r="D93" s="365"/>
      <c r="E93" s="468"/>
      <c r="F93" s="581"/>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467"/>
      <c r="C94" s="365"/>
      <c r="D94" s="365"/>
      <c r="E94" s="468"/>
      <c r="F94" s="581"/>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495"/>
      <c r="C95" s="495"/>
      <c r="D95" s="495"/>
      <c r="E95" s="468"/>
      <c r="F95" s="507"/>
      <c r="G95" s="494"/>
      <c r="H95" s="494"/>
      <c r="I95" s="471"/>
      <c r="J95" s="424"/>
      <c r="K95" s="495"/>
      <c r="L95" s="495"/>
      <c r="M95" s="495"/>
      <c r="N95" s="496"/>
      <c r="O95" s="497"/>
      <c r="P95" s="497"/>
      <c r="Q95" s="497"/>
      <c r="R95" s="498"/>
      <c r="S95" s="545"/>
      <c r="T95" s="546"/>
      <c r="U95" s="404"/>
      <c r="V95" s="476"/>
      <c r="W95" s="476"/>
      <c r="X95" s="477"/>
      <c r="Y95" s="488"/>
      <c r="AA95" s="366"/>
      <c r="AB95" s="503"/>
      <c r="AC95" s="366"/>
      <c r="AD95" s="366"/>
      <c r="AE95" s="366"/>
      <c r="AF95" s="366"/>
      <c r="AG95" s="366"/>
      <c r="AH95" s="366"/>
      <c r="AI95" s="366"/>
      <c r="AJ95" s="366"/>
      <c r="AM95" s="366"/>
      <c r="AN95" s="366"/>
    </row>
    <row r="96" spans="1:40" ht="20.25" customHeight="1" x14ac:dyDescent="0.35">
      <c r="A96" s="453"/>
      <c r="B96" s="479"/>
      <c r="C96" s="479"/>
      <c r="D96" s="484"/>
      <c r="E96" s="484"/>
      <c r="F96" s="490"/>
      <c r="G96" s="489"/>
      <c r="H96" s="489"/>
      <c r="I96" s="490"/>
      <c r="J96" s="484"/>
      <c r="K96" s="480"/>
      <c r="L96" s="480"/>
      <c r="M96" s="480"/>
      <c r="N96" s="491"/>
      <c r="O96" s="486"/>
      <c r="P96" s="486"/>
      <c r="Q96" s="486"/>
      <c r="R96" s="487"/>
      <c r="S96" s="487"/>
      <c r="T96" s="487"/>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467"/>
      <c r="C97" s="365"/>
      <c r="D97" s="365"/>
      <c r="E97" s="468"/>
      <c r="F97" s="581"/>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467"/>
      <c r="C98" s="365"/>
      <c r="D98" s="365"/>
      <c r="E98" s="468"/>
      <c r="F98" s="581"/>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467"/>
      <c r="C99" s="365"/>
      <c r="D99" s="365"/>
      <c r="E99" s="468"/>
      <c r="F99" s="581"/>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467"/>
      <c r="C100" s="365"/>
      <c r="D100" s="365"/>
      <c r="E100" s="468"/>
      <c r="F100" s="581"/>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467"/>
      <c r="C101" s="365"/>
      <c r="D101" s="365"/>
      <c r="E101" s="468"/>
      <c r="F101" s="581"/>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366"/>
      <c r="B102" s="467"/>
      <c r="C102" s="365"/>
      <c r="D102" s="365"/>
      <c r="E102" s="468"/>
      <c r="F102" s="581"/>
      <c r="G102" s="470"/>
      <c r="H102" s="494"/>
      <c r="I102" s="471"/>
      <c r="J102" s="424"/>
      <c r="K102" s="495"/>
      <c r="L102" s="495"/>
      <c r="M102" s="495"/>
      <c r="N102" s="496"/>
      <c r="O102" s="497"/>
      <c r="P102" s="497"/>
      <c r="Q102" s="497"/>
      <c r="R102" s="498"/>
      <c r="S102" s="545"/>
      <c r="T102" s="546"/>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467"/>
      <c r="C103" s="365"/>
      <c r="D103" s="365"/>
      <c r="E103" s="468"/>
      <c r="F103" s="581"/>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581"/>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581"/>
      <c r="G105" s="470"/>
      <c r="H105" s="494"/>
      <c r="I105" s="471"/>
      <c r="J105" s="424"/>
      <c r="K105" s="495"/>
      <c r="L105" s="495"/>
      <c r="M105" s="495"/>
      <c r="N105" s="496"/>
      <c r="O105" s="497"/>
      <c r="P105" s="497"/>
      <c r="Q105" s="497"/>
      <c r="R105" s="498"/>
      <c r="S105" s="545"/>
      <c r="T105" s="546"/>
      <c r="U105" s="404"/>
      <c r="V105" s="476"/>
      <c r="W105" s="476"/>
      <c r="X105" s="477"/>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581"/>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365"/>
      <c r="E107" s="468"/>
      <c r="F107" s="581"/>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366"/>
      <c r="B108" s="467"/>
      <c r="C108" s="365"/>
      <c r="D108" s="365"/>
      <c r="E108" s="468"/>
      <c r="F108" s="581"/>
      <c r="G108" s="470"/>
      <c r="H108" s="494"/>
      <c r="I108" s="471"/>
      <c r="J108" s="424"/>
      <c r="K108" s="495"/>
      <c r="L108" s="495"/>
      <c r="M108" s="495"/>
      <c r="N108" s="496"/>
      <c r="O108" s="497"/>
      <c r="P108" s="497"/>
      <c r="Q108" s="497"/>
      <c r="R108" s="498"/>
      <c r="S108" s="545"/>
      <c r="T108" s="546"/>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467"/>
      <c r="C109" s="365"/>
      <c r="D109" s="365"/>
      <c r="E109" s="468"/>
      <c r="F109" s="581"/>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67"/>
      <c r="C110" s="365"/>
      <c r="D110" s="365"/>
      <c r="E110" s="468"/>
      <c r="F110" s="581"/>
      <c r="G110" s="470"/>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366"/>
      <c r="B111" s="467"/>
      <c r="C111" s="365"/>
      <c r="D111" s="365"/>
      <c r="E111" s="468"/>
      <c r="F111" s="581"/>
      <c r="G111" s="470"/>
      <c r="H111" s="494"/>
      <c r="I111" s="471"/>
      <c r="J111" s="424"/>
      <c r="K111" s="495"/>
      <c r="L111" s="495"/>
      <c r="M111" s="495"/>
      <c r="N111" s="496"/>
      <c r="O111" s="497"/>
      <c r="P111" s="497"/>
      <c r="Q111" s="497"/>
      <c r="R111" s="498"/>
      <c r="S111" s="545"/>
      <c r="T111" s="546"/>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581"/>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581"/>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581"/>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581"/>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581"/>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581"/>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581"/>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95"/>
      <c r="C119" s="365"/>
      <c r="D119" s="365"/>
      <c r="E119" s="468"/>
      <c r="F119" s="581"/>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95"/>
      <c r="C120" s="495"/>
      <c r="D120" s="495"/>
      <c r="E120" s="468"/>
      <c r="F120" s="507"/>
      <c r="G120" s="494"/>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453"/>
      <c r="B121" s="479"/>
      <c r="C121" s="479"/>
      <c r="D121" s="484"/>
      <c r="E121" s="484"/>
      <c r="F121" s="490"/>
      <c r="G121" s="489"/>
      <c r="H121" s="489"/>
      <c r="I121" s="490"/>
      <c r="J121" s="484"/>
      <c r="K121" s="480"/>
      <c r="L121" s="480"/>
      <c r="M121" s="480"/>
      <c r="N121" s="491"/>
      <c r="O121" s="486"/>
      <c r="P121" s="486"/>
      <c r="Q121" s="486"/>
      <c r="R121" s="487"/>
      <c r="S121" s="487"/>
      <c r="T121" s="487"/>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509"/>
      <c r="C122" s="365"/>
      <c r="D122" s="365"/>
      <c r="E122" s="468"/>
      <c r="F122" s="581"/>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509"/>
      <c r="C123" s="365"/>
      <c r="D123" s="365"/>
      <c r="E123" s="468"/>
      <c r="F123" s="581"/>
      <c r="G123" s="470"/>
      <c r="H123" s="494"/>
      <c r="I123" s="471"/>
      <c r="J123" s="424"/>
      <c r="K123" s="495"/>
      <c r="L123" s="495"/>
      <c r="M123" s="495"/>
      <c r="N123" s="496"/>
      <c r="O123" s="497"/>
      <c r="P123" s="497"/>
      <c r="Q123" s="497"/>
      <c r="R123" s="498"/>
      <c r="S123" s="545"/>
      <c r="T123" s="546"/>
      <c r="U123" s="404"/>
      <c r="V123" s="476"/>
      <c r="W123" s="476"/>
      <c r="X123" s="477"/>
      <c r="Y123" s="488"/>
      <c r="AA123" s="366"/>
      <c r="AB123" s="503"/>
      <c r="AC123" s="366"/>
      <c r="AD123" s="366"/>
      <c r="AE123" s="366"/>
      <c r="AF123" s="366"/>
      <c r="AG123" s="366"/>
      <c r="AH123" s="366"/>
      <c r="AI123" s="366"/>
      <c r="AJ123" s="366"/>
      <c r="AM123" s="366"/>
      <c r="AN123" s="366"/>
    </row>
    <row r="124" spans="1:40" ht="20.25" customHeight="1" x14ac:dyDescent="0.35">
      <c r="A124" s="366"/>
      <c r="B124" s="509"/>
      <c r="C124" s="365"/>
      <c r="D124" s="495"/>
      <c r="E124" s="468"/>
      <c r="F124" s="581"/>
      <c r="G124" s="470"/>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366"/>
      <c r="B125" s="509"/>
      <c r="C125" s="365"/>
      <c r="D125" s="495"/>
      <c r="E125" s="468"/>
      <c r="F125" s="581"/>
      <c r="G125" s="470"/>
      <c r="H125" s="494"/>
      <c r="I125" s="471"/>
      <c r="J125" s="424"/>
      <c r="K125" s="495"/>
      <c r="L125" s="495"/>
      <c r="M125" s="495"/>
      <c r="N125" s="496"/>
      <c r="O125" s="497"/>
      <c r="P125" s="497"/>
      <c r="Q125" s="497"/>
      <c r="R125" s="498"/>
      <c r="S125" s="545"/>
      <c r="T125" s="546"/>
      <c r="U125" s="404"/>
      <c r="V125" s="476"/>
      <c r="W125" s="476"/>
      <c r="X125" s="477"/>
      <c r="Y125" s="488"/>
      <c r="AA125" s="366"/>
      <c r="AB125" s="503"/>
      <c r="AC125" s="366"/>
      <c r="AD125" s="366"/>
      <c r="AE125" s="366"/>
      <c r="AF125" s="366"/>
      <c r="AG125" s="366"/>
      <c r="AH125" s="366"/>
      <c r="AI125" s="366"/>
      <c r="AJ125" s="366"/>
      <c r="AM125" s="366"/>
      <c r="AN125" s="366"/>
    </row>
    <row r="126" spans="1:40" ht="20.25" customHeight="1" x14ac:dyDescent="0.35">
      <c r="A126" s="366"/>
      <c r="B126" s="509"/>
      <c r="C126" s="365"/>
      <c r="D126" s="495"/>
      <c r="E126" s="468"/>
      <c r="F126" s="581"/>
      <c r="G126" s="470"/>
      <c r="H126" s="494"/>
      <c r="I126" s="471"/>
      <c r="J126" s="424"/>
      <c r="K126" s="495"/>
      <c r="L126" s="495"/>
      <c r="M126" s="495"/>
      <c r="N126" s="496"/>
      <c r="O126" s="497"/>
      <c r="P126" s="497"/>
      <c r="Q126" s="497"/>
      <c r="R126" s="498"/>
      <c r="S126" s="545"/>
      <c r="T126" s="546"/>
      <c r="U126" s="404"/>
      <c r="V126" s="476"/>
      <c r="W126" s="476"/>
      <c r="X126" s="477"/>
      <c r="Y126" s="488"/>
      <c r="AA126" s="366"/>
      <c r="AB126" s="503"/>
      <c r="AC126" s="366"/>
      <c r="AD126" s="366"/>
      <c r="AE126" s="366"/>
      <c r="AF126" s="366"/>
      <c r="AG126" s="366"/>
      <c r="AH126" s="366"/>
      <c r="AI126" s="366"/>
      <c r="AJ126" s="366"/>
      <c r="AM126" s="366"/>
      <c r="AN126" s="366"/>
    </row>
    <row r="127" spans="1:40" ht="20.25" customHeight="1" x14ac:dyDescent="0.35">
      <c r="A127" s="366"/>
      <c r="B127" s="509"/>
      <c r="C127" s="365"/>
      <c r="D127" s="495"/>
      <c r="E127" s="468"/>
      <c r="F127" s="581"/>
      <c r="G127" s="470"/>
      <c r="H127" s="494"/>
      <c r="I127" s="471"/>
      <c r="J127" s="424"/>
      <c r="K127" s="495"/>
      <c r="L127" s="495"/>
      <c r="M127" s="495"/>
      <c r="N127" s="496"/>
      <c r="O127" s="497"/>
      <c r="P127" s="497"/>
      <c r="Q127" s="497"/>
      <c r="R127" s="498"/>
      <c r="S127" s="545"/>
      <c r="T127" s="546"/>
      <c r="U127" s="404"/>
      <c r="V127" s="476"/>
      <c r="W127" s="476"/>
      <c r="X127" s="477"/>
      <c r="Y127" s="488"/>
      <c r="AA127" s="366"/>
      <c r="AB127" s="503"/>
      <c r="AC127" s="366"/>
      <c r="AD127" s="366"/>
      <c r="AE127" s="366"/>
      <c r="AF127" s="366"/>
      <c r="AG127" s="366"/>
      <c r="AH127" s="366"/>
      <c r="AI127" s="366"/>
      <c r="AJ127" s="366"/>
      <c r="AM127" s="366"/>
      <c r="AN127" s="366"/>
    </row>
    <row r="128" spans="1:40" ht="20.25" customHeight="1" x14ac:dyDescent="0.35">
      <c r="A128" s="366"/>
      <c r="B128" s="495"/>
      <c r="C128" s="495"/>
      <c r="D128" s="495"/>
      <c r="E128" s="468"/>
      <c r="F128" s="478"/>
      <c r="G128" s="494"/>
      <c r="H128" s="494"/>
      <c r="I128" s="471"/>
      <c r="J128" s="424"/>
      <c r="K128" s="495"/>
      <c r="L128" s="495"/>
      <c r="M128" s="495"/>
      <c r="N128" s="496"/>
      <c r="O128" s="497"/>
      <c r="P128" s="497"/>
      <c r="Q128" s="497"/>
      <c r="R128" s="498"/>
      <c r="S128" s="545"/>
      <c r="T128" s="546"/>
      <c r="U128" s="404"/>
      <c r="V128" s="476"/>
      <c r="W128" s="476"/>
      <c r="X128" s="477"/>
      <c r="AA128" s="453"/>
      <c r="AB128" s="504"/>
      <c r="AC128" s="453"/>
      <c r="AD128" s="453"/>
      <c r="AE128" s="453"/>
      <c r="AF128" s="453"/>
      <c r="AG128" s="453"/>
      <c r="AH128" s="453"/>
      <c r="AI128" s="453"/>
      <c r="AJ128" s="453"/>
      <c r="AK128" s="505"/>
      <c r="AL128" s="506"/>
      <c r="AM128" s="366"/>
      <c r="AN128" s="366"/>
    </row>
    <row r="129" spans="1:40" ht="20.25" customHeight="1" x14ac:dyDescent="0.35">
      <c r="A129" s="366"/>
      <c r="B129" s="510"/>
      <c r="C129" s="510"/>
      <c r="D129" s="510"/>
      <c r="E129" s="510"/>
      <c r="F129" s="510"/>
      <c r="G129" s="511"/>
      <c r="H129" s="511"/>
      <c r="I129" s="513"/>
      <c r="J129" s="514"/>
      <c r="K129" s="514"/>
      <c r="L129" s="514"/>
      <c r="M129" s="514"/>
      <c r="N129" s="515"/>
      <c r="O129" s="516"/>
      <c r="P129" s="516"/>
      <c r="Q129" s="516"/>
      <c r="R129" s="517"/>
      <c r="S129" s="517"/>
      <c r="T129" s="517"/>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453"/>
      <c r="B130" s="479"/>
      <c r="C130" s="480"/>
      <c r="D130" s="480"/>
      <c r="E130" s="480"/>
      <c r="F130" s="482"/>
      <c r="G130" s="481"/>
      <c r="H130" s="481"/>
      <c r="I130" s="482"/>
      <c r="J130" s="484"/>
      <c r="K130" s="480"/>
      <c r="L130" s="480"/>
      <c r="M130" s="480"/>
      <c r="N130" s="491"/>
      <c r="O130" s="492"/>
      <c r="P130" s="492"/>
      <c r="Q130" s="492"/>
      <c r="R130" s="493"/>
      <c r="S130" s="543"/>
      <c r="T130" s="543"/>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366"/>
      <c r="B131" s="518"/>
      <c r="C131" s="365"/>
      <c r="D131" s="365"/>
      <c r="E131" s="468"/>
      <c r="F131" s="581"/>
      <c r="G131" s="470"/>
      <c r="H131" s="494"/>
      <c r="I131" s="471"/>
      <c r="J131" s="424"/>
      <c r="K131" s="495"/>
      <c r="L131" s="495"/>
      <c r="M131" s="495"/>
      <c r="N131" s="496"/>
      <c r="O131" s="497"/>
      <c r="P131" s="497"/>
      <c r="Q131" s="497"/>
      <c r="R131" s="498"/>
      <c r="S131" s="545"/>
      <c r="T131" s="546"/>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18"/>
      <c r="C132" s="365"/>
      <c r="D132" s="365"/>
      <c r="E132" s="468"/>
      <c r="F132" s="581"/>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18"/>
      <c r="C133" s="365"/>
      <c r="D133" s="365"/>
      <c r="E133" s="468"/>
      <c r="F133" s="581"/>
      <c r="G133" s="470"/>
      <c r="H133" s="494"/>
      <c r="I133" s="471"/>
      <c r="J133" s="424"/>
      <c r="K133" s="495"/>
      <c r="L133" s="495"/>
      <c r="M133" s="495"/>
      <c r="N133" s="496"/>
      <c r="O133" s="497"/>
      <c r="P133" s="497"/>
      <c r="Q133" s="497"/>
      <c r="R133" s="498"/>
      <c r="S133" s="545"/>
      <c r="T133" s="546"/>
      <c r="U133" s="404"/>
      <c r="V133" s="476"/>
      <c r="W133" s="476"/>
      <c r="X133" s="477"/>
      <c r="AA133" s="366"/>
      <c r="AB133" s="503"/>
      <c r="AC133" s="366"/>
      <c r="AD133" s="366"/>
      <c r="AE133" s="366"/>
      <c r="AF133" s="366"/>
      <c r="AG133" s="366"/>
      <c r="AH133" s="366"/>
      <c r="AI133" s="366"/>
      <c r="AJ133" s="366"/>
      <c r="AM133" s="366"/>
      <c r="AN133" s="366"/>
    </row>
    <row r="134" spans="1:40" ht="20.25" customHeight="1" x14ac:dyDescent="0.35">
      <c r="A134" s="366"/>
      <c r="B134" s="518"/>
      <c r="C134" s="365"/>
      <c r="D134" s="365"/>
      <c r="E134" s="468"/>
      <c r="F134" s="581"/>
      <c r="G134" s="470"/>
      <c r="H134" s="494"/>
      <c r="I134" s="471"/>
      <c r="J134" s="424"/>
      <c r="K134" s="495"/>
      <c r="L134" s="495"/>
      <c r="M134" s="495"/>
      <c r="N134" s="496"/>
      <c r="O134" s="497"/>
      <c r="P134" s="497"/>
      <c r="Q134" s="497"/>
      <c r="R134" s="498"/>
      <c r="S134" s="545"/>
      <c r="T134" s="546"/>
      <c r="U134" s="404"/>
      <c r="V134" s="476"/>
      <c r="W134" s="476"/>
      <c r="X134" s="477"/>
      <c r="AA134" s="366"/>
      <c r="AB134" s="503"/>
      <c r="AC134" s="366"/>
      <c r="AD134" s="366"/>
      <c r="AE134" s="366"/>
      <c r="AF134" s="366"/>
      <c r="AG134" s="366"/>
      <c r="AH134" s="366"/>
      <c r="AI134" s="366"/>
      <c r="AJ134" s="366"/>
      <c r="AM134" s="366"/>
      <c r="AN134" s="366"/>
    </row>
    <row r="135" spans="1:40" ht="20.25" customHeight="1" x14ac:dyDescent="0.35">
      <c r="A135" s="366"/>
      <c r="B135" s="518"/>
      <c r="C135" s="365"/>
      <c r="D135" s="365"/>
      <c r="E135" s="468"/>
      <c r="F135" s="581"/>
      <c r="G135" s="470"/>
      <c r="H135" s="494"/>
      <c r="I135" s="471"/>
      <c r="J135" s="424"/>
      <c r="K135" s="495"/>
      <c r="L135" s="495"/>
      <c r="M135" s="495"/>
      <c r="N135" s="496"/>
      <c r="O135" s="497"/>
      <c r="P135" s="497"/>
      <c r="Q135" s="497"/>
      <c r="R135" s="498"/>
      <c r="S135" s="545"/>
      <c r="T135" s="546"/>
      <c r="U135" s="404"/>
      <c r="V135" s="476"/>
      <c r="W135" s="476"/>
      <c r="X135" s="477"/>
      <c r="AA135" s="366"/>
      <c r="AB135" s="503"/>
      <c r="AC135" s="366"/>
      <c r="AD135" s="366"/>
      <c r="AE135" s="366"/>
      <c r="AF135" s="366"/>
      <c r="AG135" s="366"/>
      <c r="AH135" s="366"/>
      <c r="AI135" s="366"/>
      <c r="AJ135" s="366"/>
      <c r="AM135" s="366"/>
      <c r="AN135" s="366"/>
    </row>
    <row r="136" spans="1:40" ht="20.25" customHeight="1" x14ac:dyDescent="0.35">
      <c r="A136" s="366"/>
      <c r="B136" s="518"/>
      <c r="C136" s="365"/>
      <c r="D136" s="365"/>
      <c r="E136" s="468"/>
      <c r="F136" s="581"/>
      <c r="G136" s="470"/>
      <c r="H136" s="494"/>
      <c r="I136" s="471"/>
      <c r="J136" s="424"/>
      <c r="K136" s="495"/>
      <c r="L136" s="495"/>
      <c r="M136" s="495"/>
      <c r="N136" s="496"/>
      <c r="O136" s="497"/>
      <c r="P136" s="497"/>
      <c r="Q136" s="497"/>
      <c r="R136" s="498"/>
      <c r="S136" s="545"/>
      <c r="T136" s="546"/>
      <c r="U136" s="404"/>
      <c r="V136" s="476"/>
      <c r="W136" s="476"/>
      <c r="X136" s="477"/>
      <c r="AA136" s="366"/>
      <c r="AB136" s="503"/>
      <c r="AC136" s="366"/>
      <c r="AD136" s="366"/>
      <c r="AE136" s="366"/>
      <c r="AF136" s="366"/>
      <c r="AG136" s="366"/>
      <c r="AH136" s="366"/>
      <c r="AI136" s="366"/>
      <c r="AJ136" s="366"/>
      <c r="AM136" s="366"/>
      <c r="AN136" s="366"/>
    </row>
    <row r="137" spans="1:40" ht="20.25" customHeight="1" x14ac:dyDescent="0.35">
      <c r="A137" s="366"/>
      <c r="B137" s="518"/>
      <c r="C137" s="365"/>
      <c r="D137" s="365"/>
      <c r="E137" s="468"/>
      <c r="F137" s="581"/>
      <c r="G137" s="470"/>
      <c r="H137" s="494"/>
      <c r="I137" s="471"/>
      <c r="J137" s="424"/>
      <c r="K137" s="495"/>
      <c r="L137" s="495"/>
      <c r="M137" s="495"/>
      <c r="N137" s="496"/>
      <c r="O137" s="497"/>
      <c r="P137" s="497"/>
      <c r="Q137" s="497"/>
      <c r="R137" s="498"/>
      <c r="S137" s="545"/>
      <c r="T137" s="546"/>
      <c r="U137" s="404"/>
      <c r="V137" s="476"/>
      <c r="W137" s="476"/>
      <c r="X137" s="477"/>
      <c r="AA137" s="366"/>
      <c r="AB137" s="503"/>
      <c r="AC137" s="366"/>
      <c r="AD137" s="366"/>
      <c r="AE137" s="366"/>
      <c r="AF137" s="366"/>
      <c r="AG137" s="366"/>
      <c r="AH137" s="366"/>
      <c r="AI137" s="366"/>
      <c r="AJ137" s="366"/>
      <c r="AM137" s="366"/>
      <c r="AN137" s="366"/>
    </row>
    <row r="138" spans="1:40" s="466" customFormat="1" ht="20.25" customHeight="1" x14ac:dyDescent="0.35">
      <c r="A138" s="366"/>
      <c r="B138" s="518"/>
      <c r="C138" s="365"/>
      <c r="D138" s="365"/>
      <c r="E138" s="468"/>
      <c r="F138" s="581"/>
      <c r="G138" s="470"/>
      <c r="H138" s="494"/>
      <c r="I138" s="471"/>
      <c r="J138" s="424"/>
      <c r="K138" s="495"/>
      <c r="L138" s="495"/>
      <c r="M138" s="495"/>
      <c r="N138" s="496"/>
      <c r="O138" s="497"/>
      <c r="P138" s="497"/>
      <c r="Q138" s="497"/>
      <c r="R138" s="498"/>
      <c r="S138" s="545"/>
      <c r="T138" s="546"/>
      <c r="U138" s="404"/>
      <c r="V138" s="476"/>
      <c r="W138" s="476"/>
      <c r="X138" s="477"/>
      <c r="Y138" s="374"/>
      <c r="Z138" s="571"/>
      <c r="AA138" s="366"/>
      <c r="AB138" s="503"/>
      <c r="AC138" s="366"/>
      <c r="AD138" s="366"/>
      <c r="AE138" s="366"/>
      <c r="AF138" s="366"/>
      <c r="AG138" s="366"/>
      <c r="AH138" s="366"/>
      <c r="AI138" s="366"/>
      <c r="AJ138" s="366"/>
      <c r="AK138" s="375"/>
      <c r="AL138" s="376"/>
      <c r="AM138" s="453"/>
      <c r="AN138" s="453"/>
    </row>
    <row r="139" spans="1:40" s="466" customFormat="1" ht="20.25" customHeight="1" x14ac:dyDescent="0.35">
      <c r="A139" s="366"/>
      <c r="B139" s="518"/>
      <c r="C139" s="365"/>
      <c r="D139" s="365"/>
      <c r="E139" s="468"/>
      <c r="F139" s="581"/>
      <c r="G139" s="470"/>
      <c r="H139" s="494"/>
      <c r="I139" s="471"/>
      <c r="J139" s="424"/>
      <c r="K139" s="495"/>
      <c r="L139" s="495"/>
      <c r="M139" s="495"/>
      <c r="N139" s="496"/>
      <c r="O139" s="497"/>
      <c r="P139" s="497"/>
      <c r="Q139" s="497"/>
      <c r="R139" s="498"/>
      <c r="S139" s="545"/>
      <c r="T139" s="546"/>
      <c r="U139" s="404"/>
      <c r="V139" s="476"/>
      <c r="W139" s="476"/>
      <c r="X139" s="477"/>
      <c r="Y139" s="374"/>
      <c r="Z139" s="571"/>
      <c r="AA139" s="366"/>
      <c r="AB139" s="503"/>
      <c r="AC139" s="366"/>
      <c r="AD139" s="366"/>
      <c r="AE139" s="366"/>
      <c r="AF139" s="366"/>
      <c r="AG139" s="366"/>
      <c r="AH139" s="366"/>
      <c r="AI139" s="366"/>
      <c r="AJ139" s="366"/>
      <c r="AK139" s="375"/>
      <c r="AL139" s="376"/>
      <c r="AM139" s="453"/>
      <c r="AN139" s="453"/>
    </row>
    <row r="140" spans="1:40" s="466" customFormat="1" ht="20.25" customHeight="1" x14ac:dyDescent="0.35">
      <c r="A140" s="366"/>
      <c r="B140" s="518"/>
      <c r="C140" s="365"/>
      <c r="D140" s="365"/>
      <c r="E140" s="468"/>
      <c r="F140" s="581"/>
      <c r="G140" s="470"/>
      <c r="H140" s="494"/>
      <c r="I140" s="471"/>
      <c r="J140" s="424"/>
      <c r="K140" s="495"/>
      <c r="L140" s="495"/>
      <c r="M140" s="495"/>
      <c r="N140" s="496"/>
      <c r="O140" s="497"/>
      <c r="P140" s="497"/>
      <c r="Q140" s="497"/>
      <c r="R140" s="498"/>
      <c r="S140" s="545"/>
      <c r="T140" s="546"/>
      <c r="U140" s="404"/>
      <c r="V140" s="476"/>
      <c r="W140" s="476"/>
      <c r="X140" s="477"/>
      <c r="Y140" s="374"/>
      <c r="Z140" s="571"/>
      <c r="AA140" s="366"/>
      <c r="AB140" s="503"/>
      <c r="AC140" s="366"/>
      <c r="AD140" s="366"/>
      <c r="AE140" s="366"/>
      <c r="AF140" s="366"/>
      <c r="AG140" s="366"/>
      <c r="AH140" s="366"/>
      <c r="AI140" s="366"/>
      <c r="AJ140" s="366"/>
      <c r="AK140" s="375"/>
      <c r="AL140" s="376"/>
      <c r="AM140" s="453"/>
      <c r="AN140" s="453"/>
    </row>
    <row r="141" spans="1:40" s="466" customFormat="1" ht="20.25" customHeight="1" x14ac:dyDescent="0.35">
      <c r="A141" s="366"/>
      <c r="B141" s="518"/>
      <c r="C141" s="365"/>
      <c r="D141" s="365"/>
      <c r="E141" s="468"/>
      <c r="F141" s="581"/>
      <c r="G141" s="470"/>
      <c r="H141" s="494"/>
      <c r="I141" s="471"/>
      <c r="J141" s="424"/>
      <c r="K141" s="495"/>
      <c r="L141" s="495"/>
      <c r="M141" s="495"/>
      <c r="N141" s="496"/>
      <c r="O141" s="497"/>
      <c r="P141" s="497"/>
      <c r="Q141" s="497"/>
      <c r="R141" s="498"/>
      <c r="S141" s="545"/>
      <c r="T141" s="546"/>
      <c r="U141" s="404"/>
      <c r="V141" s="476"/>
      <c r="W141" s="476"/>
      <c r="X141" s="477"/>
      <c r="Y141" s="374"/>
      <c r="Z141" s="571"/>
      <c r="AA141" s="366"/>
      <c r="AB141" s="503"/>
      <c r="AC141" s="366"/>
      <c r="AD141" s="366"/>
      <c r="AE141" s="366"/>
      <c r="AF141" s="366"/>
      <c r="AG141" s="366"/>
      <c r="AH141" s="366"/>
      <c r="AI141" s="366"/>
      <c r="AJ141" s="366"/>
      <c r="AK141" s="375"/>
      <c r="AL141" s="376"/>
      <c r="AM141" s="453"/>
      <c r="AN141" s="453"/>
    </row>
    <row r="142" spans="1:40" s="466" customFormat="1" ht="20.25" customHeight="1" x14ac:dyDescent="0.35">
      <c r="A142" s="366"/>
      <c r="B142" s="518"/>
      <c r="C142" s="365"/>
      <c r="D142" s="365"/>
      <c r="E142" s="468"/>
      <c r="F142" s="581"/>
      <c r="G142" s="470"/>
      <c r="H142" s="494"/>
      <c r="I142" s="471"/>
      <c r="J142" s="424"/>
      <c r="K142" s="495"/>
      <c r="L142" s="495"/>
      <c r="M142" s="495"/>
      <c r="N142" s="496"/>
      <c r="O142" s="497"/>
      <c r="P142" s="497"/>
      <c r="Q142" s="497"/>
      <c r="R142" s="498"/>
      <c r="S142" s="545"/>
      <c r="T142" s="546"/>
      <c r="U142" s="404"/>
      <c r="V142" s="476"/>
      <c r="W142" s="476"/>
      <c r="X142" s="477"/>
      <c r="Y142" s="374"/>
      <c r="Z142" s="571"/>
      <c r="AA142" s="366"/>
      <c r="AB142" s="503"/>
      <c r="AC142" s="366"/>
      <c r="AD142" s="366"/>
      <c r="AE142" s="366"/>
      <c r="AF142" s="366"/>
      <c r="AG142" s="366"/>
      <c r="AH142" s="366"/>
      <c r="AI142" s="366"/>
      <c r="AJ142" s="366"/>
      <c r="AK142" s="375"/>
      <c r="AL142" s="376"/>
      <c r="AM142" s="453"/>
      <c r="AN142" s="453"/>
    </row>
    <row r="143" spans="1:40" s="466" customFormat="1" ht="20.25" customHeight="1" x14ac:dyDescent="0.35">
      <c r="A143" s="366"/>
      <c r="B143" s="518"/>
      <c r="C143" s="365"/>
      <c r="D143" s="365"/>
      <c r="E143" s="468"/>
      <c r="F143" s="581"/>
      <c r="G143" s="470"/>
      <c r="H143" s="494"/>
      <c r="I143" s="471"/>
      <c r="J143" s="424"/>
      <c r="K143" s="495"/>
      <c r="L143" s="495"/>
      <c r="M143" s="495"/>
      <c r="N143" s="496"/>
      <c r="O143" s="497"/>
      <c r="P143" s="497"/>
      <c r="Q143" s="497"/>
      <c r="R143" s="498"/>
      <c r="S143" s="545"/>
      <c r="T143" s="546"/>
      <c r="U143" s="404"/>
      <c r="V143" s="476"/>
      <c r="W143" s="476"/>
      <c r="X143" s="477"/>
      <c r="Y143" s="374"/>
      <c r="Z143" s="571"/>
      <c r="AA143" s="366"/>
      <c r="AB143" s="503"/>
      <c r="AC143" s="366"/>
      <c r="AD143" s="366"/>
      <c r="AE143" s="366"/>
      <c r="AF143" s="366"/>
      <c r="AG143" s="366"/>
      <c r="AH143" s="366"/>
      <c r="AI143" s="366"/>
      <c r="AJ143" s="366"/>
      <c r="AK143" s="375"/>
      <c r="AL143" s="376"/>
      <c r="AM143" s="453"/>
      <c r="AN143" s="453"/>
    </row>
    <row r="144" spans="1:40" ht="20.25" customHeight="1" x14ac:dyDescent="0.35">
      <c r="A144" s="366"/>
      <c r="B144" s="518"/>
      <c r="C144" s="365"/>
      <c r="D144" s="365"/>
      <c r="E144" s="468"/>
      <c r="F144" s="581"/>
      <c r="G144" s="470"/>
      <c r="H144" s="494"/>
      <c r="I144" s="471"/>
      <c r="J144" s="424"/>
      <c r="K144" s="495"/>
      <c r="L144" s="495"/>
      <c r="M144" s="495"/>
      <c r="N144" s="496"/>
      <c r="O144" s="497"/>
      <c r="P144" s="497"/>
      <c r="Q144" s="497"/>
      <c r="R144" s="498"/>
      <c r="S144" s="545"/>
      <c r="T144" s="546"/>
      <c r="U144" s="404"/>
      <c r="V144" s="476"/>
      <c r="W144" s="476"/>
      <c r="X144" s="477"/>
      <c r="AA144" s="453"/>
      <c r="AB144" s="504"/>
      <c r="AC144" s="453"/>
      <c r="AD144" s="453"/>
      <c r="AE144" s="453"/>
      <c r="AF144" s="453"/>
      <c r="AG144" s="453"/>
      <c r="AH144" s="453"/>
      <c r="AI144" s="453"/>
      <c r="AJ144" s="453"/>
      <c r="AK144" s="505"/>
      <c r="AL144" s="506"/>
      <c r="AM144" s="366"/>
      <c r="AN144" s="366"/>
    </row>
    <row r="145" spans="1:40" ht="20.25" customHeight="1" x14ac:dyDescent="0.35">
      <c r="A145" s="366"/>
      <c r="B145" s="518"/>
      <c r="C145" s="518"/>
      <c r="D145" s="49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453"/>
      <c r="B146" s="479"/>
      <c r="C146" s="480"/>
      <c r="D146" s="480"/>
      <c r="E146" s="480"/>
      <c r="F146" s="480"/>
      <c r="G146" s="481"/>
      <c r="H146" s="481"/>
      <c r="I146" s="482"/>
      <c r="J146" s="484"/>
      <c r="K146" s="480"/>
      <c r="L146" s="480"/>
      <c r="M146" s="480"/>
      <c r="N146" s="491"/>
      <c r="O146" s="492"/>
      <c r="P146" s="492"/>
      <c r="Q146" s="492"/>
      <c r="R146" s="493"/>
      <c r="S146" s="493"/>
      <c r="T146" s="493"/>
      <c r="U146" s="404"/>
      <c r="V146" s="476"/>
      <c r="W146" s="476"/>
      <c r="X146" s="477"/>
      <c r="Y146" s="488"/>
      <c r="AA146" s="366"/>
      <c r="AB146" s="503"/>
      <c r="AC146" s="366"/>
      <c r="AD146" s="366"/>
      <c r="AE146" s="366"/>
      <c r="AF146" s="366"/>
      <c r="AG146" s="366"/>
      <c r="AH146" s="366"/>
      <c r="AI146" s="366"/>
      <c r="AJ146" s="366"/>
      <c r="AM146" s="366"/>
      <c r="AN146" s="366"/>
    </row>
    <row r="147" spans="1:40" ht="20.25" customHeight="1" x14ac:dyDescent="0.35">
      <c r="A147" s="366"/>
      <c r="B147" s="509"/>
      <c r="C147" s="365"/>
      <c r="D147" s="365"/>
      <c r="E147" s="468"/>
      <c r="F147" s="581"/>
      <c r="G147" s="470"/>
      <c r="H147" s="494"/>
      <c r="I147" s="471"/>
      <c r="J147" s="424"/>
      <c r="K147" s="495"/>
      <c r="L147" s="495"/>
      <c r="M147" s="495"/>
      <c r="N147" s="496"/>
      <c r="O147" s="497"/>
      <c r="P147" s="497"/>
      <c r="Q147" s="497"/>
      <c r="R147" s="498"/>
      <c r="S147" s="545"/>
      <c r="T147" s="546"/>
      <c r="U147" s="404"/>
      <c r="V147" s="476"/>
      <c r="W147" s="476"/>
      <c r="X147" s="477"/>
      <c r="Y147" s="488"/>
      <c r="AA147" s="366"/>
      <c r="AB147" s="503"/>
      <c r="AC147" s="366"/>
      <c r="AD147" s="366"/>
      <c r="AE147" s="366"/>
      <c r="AF147" s="366"/>
      <c r="AG147" s="366"/>
      <c r="AH147" s="366"/>
      <c r="AI147" s="366"/>
      <c r="AJ147" s="366"/>
      <c r="AM147" s="366"/>
      <c r="AN147" s="366"/>
    </row>
    <row r="148" spans="1:40" ht="20.25" customHeight="1" x14ac:dyDescent="0.35">
      <c r="A148" s="366"/>
      <c r="B148" s="509"/>
      <c r="C148" s="365"/>
      <c r="D148" s="365"/>
      <c r="E148" s="468"/>
      <c r="F148" s="581"/>
      <c r="G148" s="470"/>
      <c r="H148" s="494"/>
      <c r="I148" s="471"/>
      <c r="J148" s="424"/>
      <c r="K148" s="495"/>
      <c r="L148" s="495"/>
      <c r="M148" s="495"/>
      <c r="N148" s="496"/>
      <c r="O148" s="497"/>
      <c r="P148" s="497"/>
      <c r="Q148" s="497"/>
      <c r="R148" s="498"/>
      <c r="S148" s="545"/>
      <c r="T148" s="546"/>
      <c r="U148" s="404"/>
      <c r="V148" s="476"/>
      <c r="W148" s="476"/>
      <c r="X148" s="477"/>
      <c r="Y148" s="488"/>
      <c r="AA148" s="366"/>
      <c r="AB148" s="503"/>
      <c r="AC148" s="366"/>
      <c r="AD148" s="366"/>
      <c r="AE148" s="366"/>
      <c r="AF148" s="366"/>
      <c r="AG148" s="366"/>
      <c r="AH148" s="366"/>
      <c r="AI148" s="366"/>
      <c r="AJ148" s="366"/>
      <c r="AM148" s="366"/>
      <c r="AN148" s="366"/>
    </row>
    <row r="149" spans="1:40" ht="20.25" customHeight="1" x14ac:dyDescent="0.35">
      <c r="A149" s="366"/>
      <c r="B149" s="509"/>
      <c r="C149" s="365"/>
      <c r="D149" s="365"/>
      <c r="E149" s="468"/>
      <c r="F149" s="581"/>
      <c r="G149" s="470"/>
      <c r="H149" s="494"/>
      <c r="I149" s="471"/>
      <c r="J149" s="424"/>
      <c r="K149" s="495"/>
      <c r="L149" s="495"/>
      <c r="M149" s="495"/>
      <c r="N149" s="496"/>
      <c r="O149" s="497"/>
      <c r="P149" s="497"/>
      <c r="Q149" s="497"/>
      <c r="R149" s="498"/>
      <c r="S149" s="545"/>
      <c r="T149" s="546"/>
      <c r="U149" s="404"/>
      <c r="V149" s="476"/>
      <c r="W149" s="476"/>
      <c r="X149" s="477"/>
      <c r="Y149" s="488"/>
      <c r="AA149" s="366"/>
      <c r="AB149" s="503"/>
      <c r="AC149" s="366"/>
      <c r="AD149" s="366"/>
      <c r="AE149" s="366"/>
      <c r="AF149" s="366"/>
      <c r="AG149" s="366"/>
      <c r="AH149" s="366"/>
      <c r="AI149" s="366"/>
      <c r="AJ149" s="366"/>
      <c r="AM149" s="366"/>
      <c r="AN149" s="366"/>
    </row>
    <row r="150" spans="1:40" ht="20.25" customHeight="1" x14ac:dyDescent="0.35">
      <c r="A150" s="366"/>
      <c r="B150" s="509"/>
      <c r="C150" s="365"/>
      <c r="D150" s="365"/>
      <c r="E150" s="468"/>
      <c r="F150" s="581"/>
      <c r="G150" s="470"/>
      <c r="H150" s="494"/>
      <c r="I150" s="471"/>
      <c r="J150" s="424"/>
      <c r="K150" s="495"/>
      <c r="L150" s="495"/>
      <c r="M150" s="495"/>
      <c r="N150" s="496"/>
      <c r="O150" s="497"/>
      <c r="P150" s="497"/>
      <c r="Q150" s="497"/>
      <c r="R150" s="498"/>
      <c r="S150" s="545"/>
      <c r="T150" s="546"/>
      <c r="U150" s="404"/>
      <c r="V150" s="476"/>
      <c r="W150" s="476"/>
      <c r="X150" s="477"/>
      <c r="Y150" s="488"/>
      <c r="AA150" s="366"/>
      <c r="AB150" s="503"/>
      <c r="AC150" s="366"/>
      <c r="AD150" s="366"/>
      <c r="AE150" s="366"/>
      <c r="AF150" s="366"/>
      <c r="AG150" s="366"/>
      <c r="AH150" s="366"/>
      <c r="AI150" s="366"/>
      <c r="AJ150" s="366"/>
      <c r="AM150" s="366"/>
      <c r="AN150" s="366"/>
    </row>
    <row r="151" spans="1:40" ht="20.25" customHeight="1" x14ac:dyDescent="0.35">
      <c r="A151" s="366"/>
      <c r="B151" s="509"/>
      <c r="C151" s="365"/>
      <c r="D151" s="365"/>
      <c r="E151" s="468"/>
      <c r="F151" s="581"/>
      <c r="G151" s="470"/>
      <c r="H151" s="494"/>
      <c r="I151" s="471"/>
      <c r="J151" s="424"/>
      <c r="K151" s="495"/>
      <c r="L151" s="495"/>
      <c r="M151" s="495"/>
      <c r="N151" s="496"/>
      <c r="O151" s="497"/>
      <c r="P151" s="497"/>
      <c r="Q151" s="497"/>
      <c r="R151" s="498"/>
      <c r="S151" s="545"/>
      <c r="T151" s="546"/>
      <c r="U151" s="404"/>
      <c r="V151" s="476"/>
      <c r="W151" s="476"/>
      <c r="X151" s="477"/>
      <c r="Y151" s="488"/>
      <c r="AA151" s="366"/>
      <c r="AB151" s="503"/>
      <c r="AC151" s="366"/>
      <c r="AD151" s="366"/>
      <c r="AE151" s="366"/>
      <c r="AF151" s="366"/>
      <c r="AG151" s="366"/>
      <c r="AH151" s="366"/>
      <c r="AI151" s="366"/>
      <c r="AJ151" s="366"/>
      <c r="AM151" s="366"/>
      <c r="AN151" s="366"/>
    </row>
    <row r="152" spans="1:40" ht="20.25" customHeight="1" x14ac:dyDescent="0.35">
      <c r="A152" s="366"/>
      <c r="B152" s="509"/>
      <c r="C152" s="365"/>
      <c r="D152" s="365"/>
      <c r="E152" s="468"/>
      <c r="F152" s="581"/>
      <c r="G152" s="470"/>
      <c r="H152" s="494"/>
      <c r="I152" s="471"/>
      <c r="J152" s="424"/>
      <c r="K152" s="495"/>
      <c r="L152" s="495"/>
      <c r="M152" s="495"/>
      <c r="N152" s="496"/>
      <c r="O152" s="497"/>
      <c r="P152" s="497"/>
      <c r="Q152" s="497"/>
      <c r="R152" s="498"/>
      <c r="S152" s="545"/>
      <c r="T152" s="546"/>
      <c r="U152" s="404"/>
      <c r="V152" s="476"/>
      <c r="W152" s="476"/>
      <c r="X152" s="477"/>
      <c r="Y152" s="488"/>
      <c r="AA152" s="366"/>
      <c r="AB152" s="503"/>
      <c r="AC152" s="366"/>
      <c r="AD152" s="366"/>
      <c r="AE152" s="366"/>
      <c r="AF152" s="366"/>
      <c r="AG152" s="366"/>
      <c r="AH152" s="366"/>
      <c r="AI152" s="366"/>
      <c r="AJ152" s="366"/>
      <c r="AM152" s="366"/>
      <c r="AN152" s="366"/>
    </row>
    <row r="153" spans="1:40" ht="20.25" customHeight="1" x14ac:dyDescent="0.35">
      <c r="A153" s="366"/>
      <c r="B153" s="509"/>
      <c r="C153" s="365"/>
      <c r="D153" s="365"/>
      <c r="E153" s="468"/>
      <c r="F153" s="581"/>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366"/>
      <c r="B154" s="509"/>
      <c r="C154" s="365"/>
      <c r="D154" s="365"/>
      <c r="E154" s="468"/>
      <c r="F154" s="581"/>
      <c r="G154" s="470"/>
      <c r="H154" s="494"/>
      <c r="I154" s="471"/>
      <c r="J154" s="424"/>
      <c r="K154" s="495"/>
      <c r="L154" s="495"/>
      <c r="M154" s="495"/>
      <c r="N154" s="496"/>
      <c r="O154" s="497"/>
      <c r="P154" s="497"/>
      <c r="Q154" s="497"/>
      <c r="R154" s="498"/>
      <c r="S154" s="545"/>
      <c r="T154" s="546"/>
      <c r="U154" s="404"/>
      <c r="V154" s="476"/>
      <c r="W154" s="476"/>
      <c r="X154" s="477"/>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581"/>
      <c r="G155" s="470"/>
      <c r="H155" s="494"/>
      <c r="I155" s="471"/>
      <c r="J155" s="424"/>
      <c r="K155" s="495"/>
      <c r="L155" s="495"/>
      <c r="M155" s="495"/>
      <c r="N155" s="496"/>
      <c r="O155" s="497"/>
      <c r="P155" s="497"/>
      <c r="Q155" s="497"/>
      <c r="R155" s="498"/>
      <c r="S155" s="545"/>
      <c r="T155" s="546"/>
      <c r="U155" s="404"/>
      <c r="V155" s="476"/>
      <c r="W155" s="476"/>
      <c r="X155" s="477"/>
      <c r="AA155" s="366"/>
      <c r="AB155" s="503"/>
      <c r="AC155" s="366"/>
      <c r="AD155" s="366"/>
      <c r="AE155" s="366"/>
      <c r="AF155" s="366"/>
      <c r="AG155" s="366"/>
      <c r="AH155" s="366"/>
      <c r="AI155" s="366"/>
      <c r="AJ155" s="366"/>
      <c r="AM155" s="366"/>
      <c r="AN155" s="366"/>
    </row>
    <row r="156" spans="1:40" s="466" customFormat="1" ht="20.25" customHeight="1" x14ac:dyDescent="0.35">
      <c r="A156" s="366"/>
      <c r="B156" s="509"/>
      <c r="C156" s="365"/>
      <c r="D156" s="365"/>
      <c r="E156" s="468"/>
      <c r="F156" s="581"/>
      <c r="G156" s="470"/>
      <c r="H156" s="494"/>
      <c r="I156" s="471"/>
      <c r="J156" s="424"/>
      <c r="K156" s="495"/>
      <c r="L156" s="495"/>
      <c r="M156" s="495"/>
      <c r="N156" s="496"/>
      <c r="O156" s="497"/>
      <c r="P156" s="497"/>
      <c r="Q156" s="497"/>
      <c r="R156" s="498"/>
      <c r="S156" s="545"/>
      <c r="T156" s="546"/>
      <c r="U156" s="404"/>
      <c r="V156" s="476"/>
      <c r="W156" s="476"/>
      <c r="X156" s="477"/>
      <c r="Y156" s="374"/>
      <c r="Z156" s="571"/>
      <c r="AA156" s="366"/>
      <c r="AB156" s="503"/>
      <c r="AC156" s="366"/>
      <c r="AD156" s="366"/>
      <c r="AE156" s="366"/>
      <c r="AF156" s="366"/>
      <c r="AG156" s="366"/>
      <c r="AH156" s="366"/>
      <c r="AI156" s="366"/>
      <c r="AJ156" s="366"/>
      <c r="AK156" s="375"/>
      <c r="AL156" s="376"/>
      <c r="AM156" s="453"/>
      <c r="AN156" s="453"/>
    </row>
    <row r="157" spans="1:40" ht="20.25" customHeight="1" x14ac:dyDescent="0.35">
      <c r="A157" s="366"/>
      <c r="B157" s="518"/>
      <c r="C157" s="518"/>
      <c r="D157" s="495"/>
      <c r="E157" s="468"/>
      <c r="F157" s="478"/>
      <c r="G157" s="470"/>
      <c r="H157" s="494"/>
      <c r="I157" s="471"/>
      <c r="J157" s="424"/>
      <c r="K157" s="495"/>
      <c r="L157" s="495"/>
      <c r="M157" s="495"/>
      <c r="N157" s="496"/>
      <c r="O157" s="497"/>
      <c r="P157" s="497"/>
      <c r="Q157" s="497"/>
      <c r="R157" s="498"/>
      <c r="S157" s="545"/>
      <c r="T157" s="546"/>
      <c r="U157" s="404"/>
      <c r="V157" s="476"/>
      <c r="W157" s="476"/>
      <c r="X157" s="477"/>
      <c r="AA157" s="366"/>
      <c r="AB157" s="503"/>
      <c r="AC157" s="366"/>
      <c r="AD157" s="366"/>
      <c r="AE157" s="366"/>
      <c r="AF157" s="366"/>
      <c r="AG157" s="366"/>
      <c r="AH157" s="366"/>
      <c r="AI157" s="366"/>
      <c r="AJ157" s="366"/>
      <c r="AM157" s="366"/>
      <c r="AN157" s="366"/>
    </row>
    <row r="158" spans="1:40" ht="20.25" customHeight="1" x14ac:dyDescent="0.35">
      <c r="A158" s="453"/>
      <c r="B158" s="479"/>
      <c r="C158" s="480"/>
      <c r="D158" s="480"/>
      <c r="E158" s="480"/>
      <c r="F158" s="482"/>
      <c r="G158" s="481"/>
      <c r="H158" s="481"/>
      <c r="I158" s="483"/>
      <c r="J158" s="484"/>
      <c r="K158" s="480"/>
      <c r="L158" s="480"/>
      <c r="M158" s="480"/>
      <c r="N158" s="485"/>
      <c r="O158" s="486"/>
      <c r="P158" s="486"/>
      <c r="Q158" s="486"/>
      <c r="R158" s="487"/>
      <c r="S158" s="487"/>
      <c r="T158" s="487"/>
      <c r="U158" s="404"/>
      <c r="V158" s="476"/>
      <c r="W158" s="476"/>
      <c r="X158" s="477"/>
      <c r="AA158" s="366"/>
      <c r="AB158" s="503"/>
      <c r="AC158" s="366"/>
      <c r="AD158" s="366"/>
      <c r="AE158" s="366"/>
      <c r="AF158" s="366"/>
      <c r="AG158" s="366"/>
      <c r="AH158" s="366"/>
      <c r="AI158" s="366"/>
      <c r="AJ158" s="366"/>
      <c r="AM158" s="366"/>
      <c r="AN158" s="366"/>
    </row>
    <row r="159" spans="1:40" ht="20.25" customHeight="1" x14ac:dyDescent="0.35">
      <c r="A159" s="366"/>
      <c r="B159" s="467"/>
      <c r="C159" s="365"/>
      <c r="D159" s="365"/>
      <c r="E159" s="468"/>
      <c r="F159" s="469"/>
      <c r="G159" s="470"/>
      <c r="H159" s="470"/>
      <c r="I159" s="471"/>
      <c r="J159" s="424"/>
      <c r="K159" s="472"/>
      <c r="L159" s="424"/>
      <c r="M159" s="424"/>
      <c r="N159" s="473"/>
      <c r="O159" s="474"/>
      <c r="P159" s="474"/>
      <c r="Q159" s="474"/>
      <c r="R159" s="475"/>
      <c r="S159" s="545"/>
      <c r="T159" s="546"/>
      <c r="U159" s="404"/>
      <c r="V159" s="476"/>
      <c r="W159" s="476"/>
      <c r="X159" s="477"/>
      <c r="AA159" s="366"/>
      <c r="AB159" s="503"/>
      <c r="AC159" s="366"/>
      <c r="AD159" s="366"/>
      <c r="AE159" s="366"/>
      <c r="AF159" s="366"/>
      <c r="AG159" s="366"/>
      <c r="AH159" s="366"/>
      <c r="AI159" s="366"/>
      <c r="AJ159" s="366"/>
      <c r="AM159" s="366"/>
      <c r="AN159" s="366"/>
    </row>
    <row r="160" spans="1:40" ht="20.25" customHeight="1" x14ac:dyDescent="0.35">
      <c r="A160" s="366"/>
      <c r="B160" s="518"/>
      <c r="C160" s="518"/>
      <c r="D160" s="495"/>
      <c r="E160" s="468"/>
      <c r="F160" s="478"/>
      <c r="G160" s="470"/>
      <c r="H160" s="494"/>
      <c r="I160" s="471"/>
      <c r="J160" s="424"/>
      <c r="K160" s="495"/>
      <c r="L160" s="495"/>
      <c r="M160" s="495"/>
      <c r="N160" s="496"/>
      <c r="O160" s="497"/>
      <c r="P160" s="497"/>
      <c r="Q160" s="497"/>
      <c r="R160" s="498"/>
      <c r="S160" s="545"/>
      <c r="T160" s="546"/>
      <c r="U160" s="404"/>
      <c r="V160" s="476"/>
      <c r="W160" s="476"/>
      <c r="X160" s="477"/>
      <c r="AA160" s="366"/>
      <c r="AB160" s="503"/>
      <c r="AC160" s="366"/>
      <c r="AD160" s="366"/>
      <c r="AE160" s="366"/>
      <c r="AF160" s="366"/>
      <c r="AG160" s="366"/>
      <c r="AH160" s="366"/>
      <c r="AI160" s="366"/>
      <c r="AJ160" s="366"/>
      <c r="AM160" s="366"/>
      <c r="AN160" s="366"/>
    </row>
    <row r="161" spans="1:40" ht="20.25" customHeight="1" x14ac:dyDescent="0.35">
      <c r="A161" s="453"/>
      <c r="B161" s="479"/>
      <c r="C161" s="479"/>
      <c r="D161" s="480"/>
      <c r="E161" s="480"/>
      <c r="F161" s="480"/>
      <c r="G161" s="481"/>
      <c r="H161" s="481"/>
      <c r="I161" s="482"/>
      <c r="J161" s="484"/>
      <c r="K161" s="480"/>
      <c r="L161" s="480"/>
      <c r="M161" s="480"/>
      <c r="N161" s="485"/>
      <c r="O161" s="486"/>
      <c r="P161" s="486"/>
      <c r="Q161" s="486"/>
      <c r="R161" s="487"/>
      <c r="S161" s="487"/>
      <c r="T161" s="487"/>
      <c r="U161" s="404"/>
      <c r="V161" s="476"/>
      <c r="W161" s="476"/>
      <c r="X161" s="477"/>
      <c r="AA161" s="366"/>
      <c r="AB161" s="503"/>
      <c r="AC161" s="366"/>
      <c r="AD161" s="366"/>
      <c r="AE161" s="366"/>
      <c r="AF161" s="366"/>
      <c r="AG161" s="366"/>
      <c r="AH161" s="366"/>
      <c r="AI161" s="366"/>
      <c r="AJ161" s="366"/>
      <c r="AM161" s="366"/>
      <c r="AN161" s="366"/>
    </row>
    <row r="162" spans="1:40" ht="20.25" customHeight="1" x14ac:dyDescent="0.35">
      <c r="A162" s="366"/>
      <c r="B162" s="518"/>
      <c r="C162" s="365"/>
      <c r="D162" s="365"/>
      <c r="E162" s="468"/>
      <c r="F162" s="581"/>
      <c r="G162" s="470"/>
      <c r="H162" s="494"/>
      <c r="I162" s="471"/>
      <c r="J162" s="424"/>
      <c r="K162" s="495"/>
      <c r="L162" s="495"/>
      <c r="M162" s="495"/>
      <c r="N162" s="496"/>
      <c r="O162" s="497"/>
      <c r="P162" s="497"/>
      <c r="Q162" s="497"/>
      <c r="R162" s="498"/>
      <c r="S162" s="545"/>
      <c r="T162" s="546"/>
      <c r="U162" s="404"/>
      <c r="V162" s="476"/>
      <c r="W162" s="476"/>
      <c r="X162" s="477"/>
      <c r="AA162" s="366"/>
      <c r="AB162" s="503"/>
      <c r="AC162" s="366"/>
      <c r="AD162" s="366"/>
      <c r="AE162" s="366"/>
      <c r="AF162" s="366"/>
      <c r="AG162" s="366"/>
      <c r="AH162" s="366"/>
      <c r="AI162" s="366"/>
      <c r="AJ162" s="366"/>
      <c r="AM162" s="366"/>
      <c r="AN162" s="366"/>
    </row>
    <row r="163" spans="1:40" ht="20.25" customHeight="1" x14ac:dyDescent="0.35">
      <c r="A163" s="366"/>
      <c r="B163" s="518"/>
      <c r="C163" s="365"/>
      <c r="D163" s="36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366"/>
      <c r="B164" s="518"/>
      <c r="C164" s="365"/>
      <c r="D164" s="365"/>
      <c r="E164" s="468"/>
      <c r="F164" s="478"/>
      <c r="G164" s="470"/>
      <c r="H164" s="494"/>
      <c r="I164" s="471"/>
      <c r="J164" s="424"/>
      <c r="K164" s="495"/>
      <c r="L164" s="495"/>
      <c r="M164" s="495"/>
      <c r="N164" s="496"/>
      <c r="O164" s="497"/>
      <c r="P164" s="497"/>
      <c r="Q164" s="497"/>
      <c r="R164" s="498"/>
      <c r="S164" s="545"/>
      <c r="T164" s="546"/>
      <c r="U164" s="404"/>
      <c r="V164" s="476"/>
      <c r="W164" s="476"/>
      <c r="X164" s="477"/>
      <c r="Y164" s="488"/>
      <c r="Z164" s="465"/>
      <c r="AA164" s="366"/>
      <c r="AB164" s="503"/>
      <c r="AC164" s="366"/>
      <c r="AD164" s="366"/>
      <c r="AE164" s="366"/>
      <c r="AF164" s="366"/>
      <c r="AG164" s="366"/>
      <c r="AH164" s="366"/>
      <c r="AI164" s="366"/>
      <c r="AJ164" s="366"/>
      <c r="AM164" s="366"/>
      <c r="AN164" s="366"/>
    </row>
    <row r="165" spans="1:40" ht="20.25" customHeight="1" x14ac:dyDescent="0.35">
      <c r="A165" s="366"/>
      <c r="B165" s="518"/>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Y165" s="571"/>
      <c r="AA165" s="366"/>
      <c r="AB165" s="503"/>
      <c r="AC165" s="366"/>
      <c r="AD165" s="366"/>
      <c r="AE165" s="366"/>
      <c r="AF165" s="366"/>
      <c r="AG165" s="366"/>
      <c r="AH165" s="366"/>
      <c r="AI165" s="366"/>
      <c r="AJ165" s="366"/>
    </row>
    <row r="166" spans="1:40" ht="20.25" customHeight="1" x14ac:dyDescent="0.35">
      <c r="A166" s="366"/>
      <c r="B166" s="518"/>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Y166" s="571"/>
    </row>
    <row r="167" spans="1:40" ht="20.25" customHeight="1" x14ac:dyDescent="0.35">
      <c r="A167" s="366"/>
      <c r="B167" s="519"/>
      <c r="C167" s="520"/>
      <c r="D167" s="520"/>
      <c r="E167" s="521"/>
      <c r="F167" s="522"/>
      <c r="G167" s="523"/>
      <c r="H167" s="524"/>
      <c r="I167" s="525"/>
      <c r="J167" s="499"/>
      <c r="K167" s="526"/>
      <c r="L167" s="526"/>
      <c r="M167" s="526"/>
      <c r="N167" s="527"/>
      <c r="O167" s="528"/>
      <c r="P167" s="528"/>
      <c r="Q167" s="528"/>
      <c r="R167" s="529"/>
      <c r="S167" s="549"/>
      <c r="T167" s="550"/>
      <c r="U167" s="404"/>
      <c r="V167" s="476"/>
      <c r="W167" s="476"/>
      <c r="X167" s="477"/>
      <c r="Y167" s="571"/>
    </row>
    <row r="168" spans="1:40" ht="15" customHeight="1" x14ac:dyDescent="0.35">
      <c r="U168" s="465"/>
      <c r="V168" s="571"/>
      <c r="W168" s="571"/>
      <c r="X168" s="571"/>
    </row>
    <row r="169" spans="1:40" ht="15" customHeight="1" x14ac:dyDescent="0.35">
      <c r="U169" s="465"/>
      <c r="V169" s="571"/>
      <c r="W169" s="571"/>
      <c r="X169" s="571"/>
    </row>
    <row r="170" spans="1:40" ht="15" customHeight="1" x14ac:dyDescent="0.35">
      <c r="V170" s="571"/>
      <c r="W170" s="571"/>
      <c r="X170" s="571"/>
    </row>
    <row r="171" spans="1:40" ht="15" customHeight="1" x14ac:dyDescent="0.35"/>
    <row r="172" spans="1:40" ht="15" customHeight="1" x14ac:dyDescent="0.35"/>
    <row r="173" spans="1:40" ht="15" customHeight="1" x14ac:dyDescent="0.35"/>
    <row r="174" spans="1:40" ht="15" customHeight="1" x14ac:dyDescent="0.35"/>
    <row r="175" spans="1:40" ht="15" customHeight="1" x14ac:dyDescent="0.35"/>
    <row r="176" spans="1:40"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sheetData>
  <mergeCells count="29">
    <mergeCell ref="T7:T8"/>
    <mergeCell ref="X7:X8"/>
    <mergeCell ref="AB7:AB8"/>
    <mergeCell ref="V10:W10"/>
    <mergeCell ref="V12:W12"/>
    <mergeCell ref="W7:W8"/>
    <mergeCell ref="AA7:AA8"/>
    <mergeCell ref="AC6:AF6"/>
    <mergeCell ref="AG6:AJ6"/>
    <mergeCell ref="V7:V8"/>
    <mergeCell ref="B7:B8"/>
    <mergeCell ref="C7:C8"/>
    <mergeCell ref="D7:D8"/>
    <mergeCell ref="E7:E8"/>
    <mergeCell ref="K7:K8"/>
    <mergeCell ref="R7:R8"/>
    <mergeCell ref="L7:L8"/>
    <mergeCell ref="M7:M8"/>
    <mergeCell ref="N7:N8"/>
    <mergeCell ref="O7:O8"/>
    <mergeCell ref="P7:P8"/>
    <mergeCell ref="Q7:Q8"/>
    <mergeCell ref="S7:S8"/>
    <mergeCell ref="C4:D4"/>
    <mergeCell ref="L4:M4"/>
    <mergeCell ref="N4:O4"/>
    <mergeCell ref="C5:D5"/>
    <mergeCell ref="L5:M5"/>
    <mergeCell ref="N5:O5"/>
  </mergeCells>
  <conditionalFormatting sqref="B15">
    <cfRule type="duplicateValues" dxfId="446" priority="13"/>
    <cfRule type="duplicateValues" dxfId="445" priority="14"/>
  </conditionalFormatting>
  <conditionalFormatting sqref="B71:B73">
    <cfRule type="duplicateValues" dxfId="444" priority="32"/>
  </conditionalFormatting>
  <conditionalFormatting sqref="B75:B83">
    <cfRule type="duplicateValues" dxfId="443" priority="9"/>
  </conditionalFormatting>
  <conditionalFormatting sqref="B87">
    <cfRule type="duplicateValues" dxfId="442" priority="3"/>
    <cfRule type="duplicateValues" dxfId="441" priority="4"/>
  </conditionalFormatting>
  <conditionalFormatting sqref="B88:B89">
    <cfRule type="duplicateValues" dxfId="440" priority="6"/>
    <cfRule type="duplicateValues" dxfId="439" priority="7"/>
  </conditionalFormatting>
  <conditionalFormatting sqref="B142:B144">
    <cfRule type="duplicateValues" dxfId="438" priority="1"/>
    <cfRule type="duplicateValues" dxfId="437" priority="2"/>
  </conditionalFormatting>
  <conditionalFormatting sqref="B159">
    <cfRule type="duplicateValues" dxfId="436" priority="15"/>
    <cfRule type="duplicateValues" dxfId="435" priority="16"/>
  </conditionalFormatting>
  <conditionalFormatting sqref="B160:B1048576 B1:B14 B74 B84:B86 B16:B70 B90:B141 B145:B158">
    <cfRule type="duplicateValues" dxfId="434" priority="25"/>
  </conditionalFormatting>
  <conditionalFormatting sqref="B16:C16 C15">
    <cfRule type="duplicateValues" dxfId="433" priority="23"/>
  </conditionalFormatting>
  <conditionalFormatting sqref="B71:C71 B72:B73">
    <cfRule type="duplicateValues" dxfId="432" priority="33"/>
  </conditionalFormatting>
  <conditionalFormatting sqref="B75:C75 B76:B83">
    <cfRule type="duplicateValues" dxfId="431" priority="10"/>
  </conditionalFormatting>
  <conditionalFormatting sqref="B160:C160">
    <cfRule type="duplicateValues" dxfId="430" priority="18"/>
  </conditionalFormatting>
  <conditionalFormatting sqref="B161:C166 B74:C74 B90:C91 B86 B84:C85 B92:B94 B18:C27 B29:C70 B95:C141 B145:C157 C142:C144">
    <cfRule type="duplicateValues" dxfId="429" priority="31"/>
  </conditionalFormatting>
  <conditionalFormatting sqref="C72:C73">
    <cfRule type="duplicateValues" dxfId="428" priority="34"/>
  </conditionalFormatting>
  <conditionalFormatting sqref="C76:C83">
    <cfRule type="duplicateValues" dxfId="427" priority="11"/>
  </conditionalFormatting>
  <conditionalFormatting sqref="C86">
    <cfRule type="duplicateValues" dxfId="426" priority="12"/>
  </conditionalFormatting>
  <conditionalFormatting sqref="C87">
    <cfRule type="duplicateValues" dxfId="425" priority="5"/>
  </conditionalFormatting>
  <conditionalFormatting sqref="C88:C89">
    <cfRule type="duplicateValues" dxfId="424" priority="8"/>
  </conditionalFormatting>
  <conditionalFormatting sqref="C92:C94">
    <cfRule type="duplicateValues" dxfId="423" priority="35"/>
  </conditionalFormatting>
  <conditionalFormatting sqref="C159">
    <cfRule type="duplicateValues" dxfId="422" priority="17"/>
  </conditionalFormatting>
  <conditionalFormatting sqref="J2:J3 J7:J167">
    <cfRule type="cellIs" dxfId="421" priority="30" operator="equal">
      <formula>"Disc"</formula>
    </cfRule>
  </conditionalFormatting>
  <conditionalFormatting sqref="V2:V5">
    <cfRule type="containsText" dxfId="420" priority="26" operator="containsText" text="dog">
      <formula>NOT(ISERROR(SEARCH("dog",V2)))</formula>
    </cfRule>
    <cfRule type="containsText" dxfId="419" priority="27" operator="containsText" text="star">
      <formula>NOT(ISERROR(SEARCH("star",V2)))</formula>
    </cfRule>
    <cfRule type="containsText" dxfId="418" priority="28" operator="containsText" text="PUZZLE">
      <formula>NOT(ISERROR(SEARCH("PUZZLE",V2)))</formula>
    </cfRule>
    <cfRule type="containsText" dxfId="417" priority="29" operator="containsText" text="HORSE">
      <formula>NOT(ISERROR(SEARCH("HORSE",V2)))</formula>
    </cfRule>
  </conditionalFormatting>
  <conditionalFormatting sqref="X15:X167">
    <cfRule type="containsText" dxfId="416" priority="19" operator="containsText" text="star">
      <formula>NOT(ISERROR(SEARCH("star",X15)))</formula>
    </cfRule>
    <cfRule type="containsText" dxfId="415" priority="20" operator="containsText" text="dog">
      <formula>NOT(ISERROR(SEARCH("dog",X15)))</formula>
    </cfRule>
    <cfRule type="containsText" dxfId="414" priority="21" operator="containsText" text="puzzle">
      <formula>NOT(ISERROR(SEARCH("puzzle",X15)))</formula>
    </cfRule>
    <cfRule type="containsText" dxfId="413" priority="22" operator="containsText" text="horse">
      <formula>NOT(ISERROR(SEARCH("horse",X15)))</formula>
    </cfRule>
  </conditionalFormatting>
  <conditionalFormatting sqref="AA7:AA8">
    <cfRule type="duplicateValues" dxfId="412" priority="24"/>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W336"/>
  <sheetViews>
    <sheetView zoomScale="85" zoomScaleNormal="85" workbookViewId="0">
      <pane ySplit="10" topLeftCell="A11"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8" width="13.26953125" style="571" customWidth="1" outlineLevel="1"/>
    <col min="19" max="19" width="16.54296875" style="571" customWidth="1" outlineLevel="1"/>
    <col min="20" max="20" width="20.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98"/>
      <c r="M4" s="699"/>
      <c r="N4" s="698"/>
      <c r="O4" s="699"/>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700"/>
      <c r="N5" s="670"/>
      <c r="O5" s="700"/>
      <c r="P5" s="396"/>
      <c r="Q5" s="371"/>
      <c r="R5" s="372"/>
      <c r="S5" s="537"/>
      <c r="T5" s="566"/>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89"/>
      <c r="AE6" s="689"/>
      <c r="AF6" s="689"/>
      <c r="AG6" s="660"/>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43"/>
      <c r="T7" s="645"/>
      <c r="U7" s="404"/>
      <c r="V7" s="658"/>
      <c r="W7" s="658"/>
      <c r="X7" s="658"/>
      <c r="Y7" s="405"/>
      <c r="AA7" s="688"/>
      <c r="AB7" s="686"/>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44"/>
      <c r="T8" s="646"/>
      <c r="U8" s="404"/>
      <c r="V8" s="659"/>
      <c r="W8" s="659"/>
      <c r="X8" s="659"/>
      <c r="Y8" s="415"/>
      <c r="AA8" s="687"/>
      <c r="AB8" s="687"/>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6"/>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6"/>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sheetData>
  <mergeCells count="29">
    <mergeCell ref="T7:T8"/>
    <mergeCell ref="X7:X8"/>
    <mergeCell ref="AB7:AB8"/>
    <mergeCell ref="V10:W10"/>
    <mergeCell ref="V12:W12"/>
    <mergeCell ref="W7:W8"/>
    <mergeCell ref="AA7:AA8"/>
    <mergeCell ref="AC6:AF6"/>
    <mergeCell ref="AG6:AJ6"/>
    <mergeCell ref="V7:V8"/>
    <mergeCell ref="B7:B8"/>
    <mergeCell ref="C7:C8"/>
    <mergeCell ref="D7:D8"/>
    <mergeCell ref="E7:E8"/>
    <mergeCell ref="K7:K8"/>
    <mergeCell ref="R7:R8"/>
    <mergeCell ref="L7:L8"/>
    <mergeCell ref="M7:M8"/>
    <mergeCell ref="N7:N8"/>
    <mergeCell ref="O7:O8"/>
    <mergeCell ref="P7:P8"/>
    <mergeCell ref="Q7:Q8"/>
    <mergeCell ref="S7:S8"/>
    <mergeCell ref="C4:D4"/>
    <mergeCell ref="L4:M4"/>
    <mergeCell ref="N4:O4"/>
    <mergeCell ref="C5:D5"/>
    <mergeCell ref="L5:M5"/>
    <mergeCell ref="N5:O5"/>
  </mergeCells>
  <conditionalFormatting sqref="B15">
    <cfRule type="duplicateValues" dxfId="411" priority="9"/>
    <cfRule type="duplicateValues" dxfId="410" priority="10"/>
  </conditionalFormatting>
  <conditionalFormatting sqref="B102:B106">
    <cfRule type="duplicateValues" dxfId="409" priority="8"/>
  </conditionalFormatting>
  <conditionalFormatting sqref="B171">
    <cfRule type="duplicateValues" dxfId="408" priority="11"/>
    <cfRule type="duplicateValues" dxfId="407" priority="12"/>
  </conditionalFormatting>
  <conditionalFormatting sqref="B172:B1048576 B1:B14 B16:B101 B107:B170">
    <cfRule type="duplicateValues" dxfId="406" priority="21"/>
  </conditionalFormatting>
  <conditionalFormatting sqref="B16:C16 C15">
    <cfRule type="duplicateValues" dxfId="405" priority="19"/>
  </conditionalFormatting>
  <conditionalFormatting sqref="B102:C102 B103:B106">
    <cfRule type="duplicateValues" dxfId="404" priority="7"/>
  </conditionalFormatting>
  <conditionalFormatting sqref="B172:C172">
    <cfRule type="duplicateValues" dxfId="403" priority="14"/>
  </conditionalFormatting>
  <conditionalFormatting sqref="B173:C178 B24:C24 B40:C41 B101:C101 B67:B100 B65:C66 B61:B64 B59:C60 B42:B58 B26:B39 B18:B23 B107:C169">
    <cfRule type="duplicateValues" dxfId="402" priority="27"/>
  </conditionalFormatting>
  <conditionalFormatting sqref="C18:C23">
    <cfRule type="duplicateValues" dxfId="401" priority="1"/>
  </conditionalFormatting>
  <conditionalFormatting sqref="C26:C39">
    <cfRule type="duplicateValues" dxfId="400" priority="2"/>
  </conditionalFormatting>
  <conditionalFormatting sqref="C42:C58">
    <cfRule type="duplicateValues" dxfId="399" priority="3"/>
  </conditionalFormatting>
  <conditionalFormatting sqref="C61:C64">
    <cfRule type="duplicateValues" dxfId="398" priority="4"/>
  </conditionalFormatting>
  <conditionalFormatting sqref="C67:C100">
    <cfRule type="duplicateValues" dxfId="397" priority="5"/>
  </conditionalFormatting>
  <conditionalFormatting sqref="C103:C106">
    <cfRule type="duplicateValues" dxfId="396" priority="6"/>
  </conditionalFormatting>
  <conditionalFormatting sqref="C171">
    <cfRule type="duplicateValues" dxfId="395" priority="13"/>
  </conditionalFormatting>
  <conditionalFormatting sqref="J2:J3 J7:J179">
    <cfRule type="cellIs" dxfId="394" priority="26" operator="equal">
      <formula>"Disc"</formula>
    </cfRule>
  </conditionalFormatting>
  <conditionalFormatting sqref="V2:V5">
    <cfRule type="containsText" dxfId="393" priority="22" operator="containsText" text="dog">
      <formula>NOT(ISERROR(SEARCH("dog",V2)))</formula>
    </cfRule>
    <cfRule type="containsText" dxfId="392" priority="23" operator="containsText" text="star">
      <formula>NOT(ISERROR(SEARCH("star",V2)))</formula>
    </cfRule>
    <cfRule type="containsText" dxfId="391" priority="24" operator="containsText" text="PUZZLE">
      <formula>NOT(ISERROR(SEARCH("PUZZLE",V2)))</formula>
    </cfRule>
    <cfRule type="containsText" dxfId="390" priority="25" operator="containsText" text="HORSE">
      <formula>NOT(ISERROR(SEARCH("HORSE",V2)))</formula>
    </cfRule>
  </conditionalFormatting>
  <conditionalFormatting sqref="X15:X179">
    <cfRule type="containsText" dxfId="389" priority="15" operator="containsText" text="star">
      <formula>NOT(ISERROR(SEARCH("star",X15)))</formula>
    </cfRule>
    <cfRule type="containsText" dxfId="388" priority="16" operator="containsText" text="dog">
      <formula>NOT(ISERROR(SEARCH("dog",X15)))</formula>
    </cfRule>
    <cfRule type="containsText" dxfId="387" priority="17" operator="containsText" text="puzzle">
      <formula>NOT(ISERROR(SEARCH("puzzle",X15)))</formula>
    </cfRule>
    <cfRule type="containsText" dxfId="386" priority="18" operator="containsText" text="horse">
      <formula>NOT(ISERROR(SEARCH("horse",X15)))</formula>
    </cfRule>
  </conditionalFormatting>
  <conditionalFormatting sqref="AA7:AA8">
    <cfRule type="duplicateValues" dxfId="385" priority="20"/>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W338"/>
  <sheetViews>
    <sheetView zoomScale="85" zoomScaleNormal="85" workbookViewId="0">
      <pane ySplit="10" topLeftCell="A86"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98"/>
      <c r="M4" s="699"/>
      <c r="N4" s="698"/>
      <c r="O4" s="699"/>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700"/>
      <c r="N5" s="670"/>
      <c r="O5" s="700"/>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89"/>
      <c r="AE6" s="689"/>
      <c r="AF6" s="689"/>
      <c r="AG6" s="660"/>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43"/>
      <c r="T7" s="645"/>
      <c r="U7" s="404"/>
      <c r="V7" s="658"/>
      <c r="W7" s="658"/>
      <c r="X7" s="658"/>
      <c r="Y7" s="405"/>
      <c r="AA7" s="688"/>
      <c r="AB7" s="686"/>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44"/>
      <c r="T8" s="646"/>
      <c r="U8" s="404"/>
      <c r="V8" s="659"/>
      <c r="W8" s="659"/>
      <c r="X8" s="659"/>
      <c r="Y8" s="415"/>
      <c r="AA8" s="687"/>
      <c r="AB8" s="687"/>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6"/>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6"/>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5" customHeight="1" x14ac:dyDescent="0.35"/>
    <row r="328" ht="15" customHeight="1" x14ac:dyDescent="0.35"/>
    <row r="329" ht="15"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sheetData>
  <mergeCells count="29">
    <mergeCell ref="V10:W10"/>
    <mergeCell ref="V12:W12"/>
    <mergeCell ref="C4:D4"/>
    <mergeCell ref="C5:D5"/>
    <mergeCell ref="L4:M4"/>
    <mergeCell ref="N4:O4"/>
    <mergeCell ref="N5:O5"/>
    <mergeCell ref="L5:M5"/>
    <mergeCell ref="O7:O8"/>
    <mergeCell ref="K7:K8"/>
    <mergeCell ref="M7:M8"/>
    <mergeCell ref="N7:N8"/>
    <mergeCell ref="W7:W8"/>
    <mergeCell ref="V7:V8"/>
    <mergeCell ref="P7:P8"/>
    <mergeCell ref="Q7:Q8"/>
    <mergeCell ref="R7:R8"/>
    <mergeCell ref="S7:S8"/>
    <mergeCell ref="T7:T8"/>
    <mergeCell ref="B7:B8"/>
    <mergeCell ref="C7:C8"/>
    <mergeCell ref="D7:D8"/>
    <mergeCell ref="E7:E8"/>
    <mergeCell ref="L7:L8"/>
    <mergeCell ref="AA7:AA8"/>
    <mergeCell ref="AC6:AF6"/>
    <mergeCell ref="AG6:AJ6"/>
    <mergeCell ref="X7:X8"/>
    <mergeCell ref="AB7:AB8"/>
  </mergeCells>
  <conditionalFormatting sqref="B15">
    <cfRule type="duplicateValues" dxfId="384" priority="9"/>
    <cfRule type="duplicateValues" dxfId="383" priority="10"/>
  </conditionalFormatting>
  <conditionalFormatting sqref="B102:B106">
    <cfRule type="duplicateValues" dxfId="382" priority="8"/>
  </conditionalFormatting>
  <conditionalFormatting sqref="B171">
    <cfRule type="duplicateValues" dxfId="381" priority="11"/>
    <cfRule type="duplicateValues" dxfId="380" priority="12"/>
  </conditionalFormatting>
  <conditionalFormatting sqref="B172:B1048576 B1:B14 B16:B101 B107:B170">
    <cfRule type="duplicateValues" dxfId="379" priority="21"/>
  </conditionalFormatting>
  <conditionalFormatting sqref="B16:C16 C15">
    <cfRule type="duplicateValues" dxfId="378" priority="19"/>
  </conditionalFormatting>
  <conditionalFormatting sqref="B102:C102 B103:B106">
    <cfRule type="duplicateValues" dxfId="377" priority="7"/>
  </conditionalFormatting>
  <conditionalFormatting sqref="B172:C172">
    <cfRule type="duplicateValues" dxfId="376" priority="14"/>
  </conditionalFormatting>
  <conditionalFormatting sqref="B173:C178 B24:C24 B40:C41 B101:C101 B67:B100 B65:C66 B61:B64 B59:C60 B42:B58 B26:B39 B18:B23 B107:C169">
    <cfRule type="duplicateValues" dxfId="375" priority="27"/>
  </conditionalFormatting>
  <conditionalFormatting sqref="C18:C23">
    <cfRule type="duplicateValues" dxfId="374" priority="1"/>
  </conditionalFormatting>
  <conditionalFormatting sqref="C26:C39">
    <cfRule type="duplicateValues" dxfId="373" priority="2"/>
  </conditionalFormatting>
  <conditionalFormatting sqref="C42:C58">
    <cfRule type="duplicateValues" dxfId="372" priority="3"/>
  </conditionalFormatting>
  <conditionalFormatting sqref="C61:C64">
    <cfRule type="duplicateValues" dxfId="371" priority="4"/>
  </conditionalFormatting>
  <conditionalFormatting sqref="C67:C100">
    <cfRule type="duplicateValues" dxfId="370" priority="5"/>
  </conditionalFormatting>
  <conditionalFormatting sqref="C103:C106">
    <cfRule type="duplicateValues" dxfId="369" priority="6"/>
  </conditionalFormatting>
  <conditionalFormatting sqref="C171">
    <cfRule type="duplicateValues" dxfId="368" priority="13"/>
  </conditionalFormatting>
  <conditionalFormatting sqref="J2:J3 J7:J179">
    <cfRule type="cellIs" dxfId="367" priority="26" operator="equal">
      <formula>"Disc"</formula>
    </cfRule>
  </conditionalFormatting>
  <conditionalFormatting sqref="V2:V5">
    <cfRule type="containsText" dxfId="366" priority="22" operator="containsText" text="dog">
      <formula>NOT(ISERROR(SEARCH("dog",V2)))</formula>
    </cfRule>
    <cfRule type="containsText" dxfId="365" priority="23" operator="containsText" text="star">
      <formula>NOT(ISERROR(SEARCH("star",V2)))</formula>
    </cfRule>
    <cfRule type="containsText" dxfId="364" priority="24" operator="containsText" text="PUZZLE">
      <formula>NOT(ISERROR(SEARCH("PUZZLE",V2)))</formula>
    </cfRule>
    <cfRule type="containsText" dxfId="363" priority="25" operator="containsText" text="HORSE">
      <formula>NOT(ISERROR(SEARCH("HORSE",V2)))</formula>
    </cfRule>
  </conditionalFormatting>
  <conditionalFormatting sqref="X15:X179">
    <cfRule type="containsText" dxfId="362" priority="15" operator="containsText" text="star">
      <formula>NOT(ISERROR(SEARCH("star",X15)))</formula>
    </cfRule>
    <cfRule type="containsText" dxfId="361" priority="16" operator="containsText" text="dog">
      <formula>NOT(ISERROR(SEARCH("dog",X15)))</formula>
    </cfRule>
    <cfRule type="containsText" dxfId="360" priority="17" operator="containsText" text="puzzle">
      <formula>NOT(ISERROR(SEARCH("puzzle",X15)))</formula>
    </cfRule>
    <cfRule type="containsText" dxfId="359" priority="18" operator="containsText" text="horse">
      <formula>NOT(ISERROR(SEARCH("horse",X15)))</formula>
    </cfRule>
  </conditionalFormatting>
  <conditionalFormatting sqref="AA7:AA8">
    <cfRule type="duplicateValues" dxfId="358" priority="20"/>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W305"/>
  <sheetViews>
    <sheetView zoomScale="85" zoomScaleNormal="85" workbookViewId="0">
      <pane ySplit="10" topLeftCell="A44"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98"/>
      <c r="M4" s="699"/>
      <c r="N4" s="698"/>
      <c r="O4" s="699"/>
      <c r="P4" s="394"/>
      <c r="Q4" s="371"/>
      <c r="R4" s="372"/>
      <c r="S4" s="372"/>
      <c r="T4" s="50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700"/>
      <c r="N5" s="670"/>
      <c r="O5" s="700"/>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89"/>
      <c r="AE6" s="689"/>
      <c r="AF6" s="689"/>
      <c r="AG6" s="660"/>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43"/>
      <c r="T7" s="645"/>
      <c r="U7" s="404"/>
      <c r="V7" s="658"/>
      <c r="W7" s="658"/>
      <c r="X7" s="658"/>
      <c r="Y7" s="405"/>
      <c r="AA7" s="688"/>
      <c r="AB7" s="686"/>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44"/>
      <c r="T8" s="646"/>
      <c r="U8" s="404"/>
      <c r="V8" s="659"/>
      <c r="W8" s="659"/>
      <c r="X8" s="659"/>
      <c r="Y8" s="415"/>
      <c r="AA8" s="687"/>
      <c r="AB8" s="687"/>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6"/>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6"/>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562"/>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T7:T8"/>
    <mergeCell ref="X7:X8"/>
    <mergeCell ref="AB7:AB8"/>
    <mergeCell ref="V10:W10"/>
    <mergeCell ref="V7:V8"/>
    <mergeCell ref="W7:W8"/>
    <mergeCell ref="AA7:AA8"/>
    <mergeCell ref="AC6:AF6"/>
    <mergeCell ref="AG6:AJ6"/>
    <mergeCell ref="V12:W12"/>
    <mergeCell ref="R7:R8"/>
    <mergeCell ref="B7:B8"/>
    <mergeCell ref="C7:C8"/>
    <mergeCell ref="D7:D8"/>
    <mergeCell ref="E7:E8"/>
    <mergeCell ref="K7:K8"/>
    <mergeCell ref="L7:L8"/>
    <mergeCell ref="M7:M8"/>
    <mergeCell ref="N7:N8"/>
    <mergeCell ref="O7:O8"/>
    <mergeCell ref="P7:P8"/>
    <mergeCell ref="Q7:Q8"/>
    <mergeCell ref="S7:S8"/>
    <mergeCell ref="C4:D4"/>
    <mergeCell ref="L4:M4"/>
    <mergeCell ref="N4:O4"/>
    <mergeCell ref="C5:D5"/>
    <mergeCell ref="L5:M5"/>
    <mergeCell ref="N5:O5"/>
  </mergeCells>
  <conditionalFormatting sqref="B15">
    <cfRule type="duplicateValues" dxfId="357" priority="9"/>
    <cfRule type="duplicateValues" dxfId="356" priority="10"/>
  </conditionalFormatting>
  <conditionalFormatting sqref="B102:B106">
    <cfRule type="duplicateValues" dxfId="355" priority="8"/>
  </conditionalFormatting>
  <conditionalFormatting sqref="B171">
    <cfRule type="duplicateValues" dxfId="354" priority="11"/>
    <cfRule type="duplicateValues" dxfId="353" priority="12"/>
  </conditionalFormatting>
  <conditionalFormatting sqref="B172:B1048576 B1:B14 B16:B101 B107:B170">
    <cfRule type="duplicateValues" dxfId="352" priority="21"/>
  </conditionalFormatting>
  <conditionalFormatting sqref="B16:C16 C15">
    <cfRule type="duplicateValues" dxfId="351" priority="19"/>
  </conditionalFormatting>
  <conditionalFormatting sqref="B102:C102 B103:B106">
    <cfRule type="duplicateValues" dxfId="350" priority="7"/>
  </conditionalFormatting>
  <conditionalFormatting sqref="B172:C172">
    <cfRule type="duplicateValues" dxfId="349" priority="14"/>
  </conditionalFormatting>
  <conditionalFormatting sqref="B173:C178 B24:C24 B40:C41 B101:C101 B67:B100 B65:C66 B61:B64 B59:C60 B42:B58 B26:B39 B18:B23 B107:C169">
    <cfRule type="duplicateValues" dxfId="348" priority="27"/>
  </conditionalFormatting>
  <conditionalFormatting sqref="C18:C23">
    <cfRule type="duplicateValues" dxfId="347" priority="1"/>
  </conditionalFormatting>
  <conditionalFormatting sqref="C26:C39">
    <cfRule type="duplicateValues" dxfId="346" priority="2"/>
  </conditionalFormatting>
  <conditionalFormatting sqref="C42:C58">
    <cfRule type="duplicateValues" dxfId="345" priority="3"/>
  </conditionalFormatting>
  <conditionalFormatting sqref="C61:C64">
    <cfRule type="duplicateValues" dxfId="344" priority="4"/>
  </conditionalFormatting>
  <conditionalFormatting sqref="C67:C100">
    <cfRule type="duplicateValues" dxfId="343" priority="5"/>
  </conditionalFormatting>
  <conditionalFormatting sqref="C103:C106">
    <cfRule type="duplicateValues" dxfId="342" priority="6"/>
  </conditionalFormatting>
  <conditionalFormatting sqref="C171">
    <cfRule type="duplicateValues" dxfId="341" priority="13"/>
  </conditionalFormatting>
  <conditionalFormatting sqref="J2:J3 J7:J179">
    <cfRule type="cellIs" dxfId="340" priority="26" operator="equal">
      <formula>"Disc"</formula>
    </cfRule>
  </conditionalFormatting>
  <conditionalFormatting sqref="V2:V5">
    <cfRule type="containsText" dxfId="339" priority="22" operator="containsText" text="dog">
      <formula>NOT(ISERROR(SEARCH("dog",V2)))</formula>
    </cfRule>
    <cfRule type="containsText" dxfId="338" priority="23" operator="containsText" text="star">
      <formula>NOT(ISERROR(SEARCH("star",V2)))</formula>
    </cfRule>
    <cfRule type="containsText" dxfId="337" priority="24" operator="containsText" text="PUZZLE">
      <formula>NOT(ISERROR(SEARCH("PUZZLE",V2)))</formula>
    </cfRule>
    <cfRule type="containsText" dxfId="336" priority="25" operator="containsText" text="HORSE">
      <formula>NOT(ISERROR(SEARCH("HORSE",V2)))</formula>
    </cfRule>
  </conditionalFormatting>
  <conditionalFormatting sqref="X15:X179">
    <cfRule type="containsText" dxfId="335" priority="15" operator="containsText" text="star">
      <formula>NOT(ISERROR(SEARCH("star",X15)))</formula>
    </cfRule>
    <cfRule type="containsText" dxfId="334" priority="16" operator="containsText" text="dog">
      <formula>NOT(ISERROR(SEARCH("dog",X15)))</formula>
    </cfRule>
    <cfRule type="containsText" dxfId="333" priority="17" operator="containsText" text="puzzle">
      <formula>NOT(ISERROR(SEARCH("puzzle",X15)))</formula>
    </cfRule>
    <cfRule type="containsText" dxfId="332" priority="18" operator="containsText" text="horse">
      <formula>NOT(ISERROR(SEARCH("horse",X15)))</formula>
    </cfRule>
  </conditionalFormatting>
  <conditionalFormatting sqref="AA7:AA8">
    <cfRule type="duplicateValues" dxfId="331" priority="20"/>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W305"/>
  <sheetViews>
    <sheetView zoomScale="85" zoomScaleNormal="85" workbookViewId="0">
      <pane ySplit="10" topLeftCell="A17"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98"/>
      <c r="M4" s="699"/>
      <c r="N4" s="698"/>
      <c r="O4" s="699"/>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700"/>
      <c r="N5" s="670"/>
      <c r="O5" s="700"/>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89"/>
      <c r="AE6" s="689"/>
      <c r="AF6" s="689"/>
      <c r="AG6" s="660"/>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43"/>
      <c r="T7" s="645"/>
      <c r="U7" s="404"/>
      <c r="V7" s="658"/>
      <c r="W7" s="658"/>
      <c r="X7" s="658"/>
      <c r="Y7" s="405"/>
      <c r="AA7" s="688"/>
      <c r="AB7" s="686"/>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44"/>
      <c r="T8" s="646"/>
      <c r="U8" s="404"/>
      <c r="V8" s="659"/>
      <c r="W8" s="659"/>
      <c r="X8" s="659"/>
      <c r="Y8" s="415"/>
      <c r="AA8" s="687"/>
      <c r="AB8" s="687"/>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6"/>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6"/>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36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36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36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V10:W10"/>
    <mergeCell ref="V12:W12"/>
    <mergeCell ref="AC6:AF6"/>
    <mergeCell ref="AG6:AJ6"/>
    <mergeCell ref="S7:S8"/>
    <mergeCell ref="T7:T8"/>
    <mergeCell ref="V7:V8"/>
    <mergeCell ref="W7:W8"/>
    <mergeCell ref="X7:X8"/>
    <mergeCell ref="AA7:AA8"/>
    <mergeCell ref="AB7:AB8"/>
    <mergeCell ref="R7:R8"/>
    <mergeCell ref="B7:B8"/>
    <mergeCell ref="C7:C8"/>
    <mergeCell ref="D7:D8"/>
    <mergeCell ref="E7:E8"/>
    <mergeCell ref="K7:K8"/>
    <mergeCell ref="L7:L8"/>
    <mergeCell ref="M7:M8"/>
    <mergeCell ref="N7:N8"/>
    <mergeCell ref="O7:O8"/>
    <mergeCell ref="P7:P8"/>
    <mergeCell ref="Q7:Q8"/>
    <mergeCell ref="C4:D4"/>
    <mergeCell ref="L4:M4"/>
    <mergeCell ref="N4:O4"/>
    <mergeCell ref="C5:D5"/>
    <mergeCell ref="L5:M5"/>
    <mergeCell ref="N5:O5"/>
  </mergeCells>
  <conditionalFormatting sqref="B15">
    <cfRule type="duplicateValues" dxfId="330" priority="9"/>
    <cfRule type="duplicateValues" dxfId="329" priority="10"/>
  </conditionalFormatting>
  <conditionalFormatting sqref="B102:B106">
    <cfRule type="duplicateValues" dxfId="328" priority="8"/>
  </conditionalFormatting>
  <conditionalFormatting sqref="B171">
    <cfRule type="duplicateValues" dxfId="327" priority="11"/>
    <cfRule type="duplicateValues" dxfId="326" priority="12"/>
  </conditionalFormatting>
  <conditionalFormatting sqref="B172:B1048576 B1:B14 B16:B101 B107:B170">
    <cfRule type="duplicateValues" dxfId="325" priority="21"/>
  </conditionalFormatting>
  <conditionalFormatting sqref="B16:C16 C15">
    <cfRule type="duplicateValues" dxfId="324" priority="19"/>
  </conditionalFormatting>
  <conditionalFormatting sqref="B102:C102 B103:B106">
    <cfRule type="duplicateValues" dxfId="323" priority="7"/>
  </conditionalFormatting>
  <conditionalFormatting sqref="B172:C172">
    <cfRule type="duplicateValues" dxfId="322" priority="14"/>
  </conditionalFormatting>
  <conditionalFormatting sqref="B173:C178 B24:C24 B40:C41 B101:C101 B67:B100 B65:C66 B61:B64 B59:C60 B42:B58 B26:B39 B18:B23 B107:C169">
    <cfRule type="duplicateValues" dxfId="321" priority="27"/>
  </conditionalFormatting>
  <conditionalFormatting sqref="C18:C23">
    <cfRule type="duplicateValues" dxfId="320" priority="1"/>
  </conditionalFormatting>
  <conditionalFormatting sqref="C26:C39">
    <cfRule type="duplicateValues" dxfId="319" priority="2"/>
  </conditionalFormatting>
  <conditionalFormatting sqref="C42:C58">
    <cfRule type="duplicateValues" dxfId="318" priority="3"/>
  </conditionalFormatting>
  <conditionalFormatting sqref="C61:C64">
    <cfRule type="duplicateValues" dxfId="317" priority="4"/>
  </conditionalFormatting>
  <conditionalFormatting sqref="C67:C100">
    <cfRule type="duplicateValues" dxfId="316" priority="5"/>
  </conditionalFormatting>
  <conditionalFormatting sqref="C103:C106">
    <cfRule type="duplicateValues" dxfId="315" priority="6"/>
  </conditionalFormatting>
  <conditionalFormatting sqref="C171">
    <cfRule type="duplicateValues" dxfId="314" priority="13"/>
  </conditionalFormatting>
  <conditionalFormatting sqref="J2:J3 J7:J179">
    <cfRule type="cellIs" dxfId="313" priority="26" operator="equal">
      <formula>"Disc"</formula>
    </cfRule>
  </conditionalFormatting>
  <conditionalFormatting sqref="V2:V5">
    <cfRule type="containsText" dxfId="312" priority="22" operator="containsText" text="dog">
      <formula>NOT(ISERROR(SEARCH("dog",V2)))</formula>
    </cfRule>
    <cfRule type="containsText" dxfId="311" priority="23" operator="containsText" text="star">
      <formula>NOT(ISERROR(SEARCH("star",V2)))</formula>
    </cfRule>
    <cfRule type="containsText" dxfId="310" priority="24" operator="containsText" text="PUZZLE">
      <formula>NOT(ISERROR(SEARCH("PUZZLE",V2)))</formula>
    </cfRule>
    <cfRule type="containsText" dxfId="309" priority="25" operator="containsText" text="HORSE">
      <formula>NOT(ISERROR(SEARCH("HORSE",V2)))</formula>
    </cfRule>
  </conditionalFormatting>
  <conditionalFormatting sqref="X15:X179">
    <cfRule type="containsText" dxfId="308" priority="15" operator="containsText" text="star">
      <formula>NOT(ISERROR(SEARCH("star",X15)))</formula>
    </cfRule>
    <cfRule type="containsText" dxfId="307" priority="16" operator="containsText" text="dog">
      <formula>NOT(ISERROR(SEARCH("dog",X15)))</formula>
    </cfRule>
    <cfRule type="containsText" dxfId="306" priority="17" operator="containsText" text="puzzle">
      <formula>NOT(ISERROR(SEARCH("puzzle",X15)))</formula>
    </cfRule>
    <cfRule type="containsText" dxfId="305" priority="18" operator="containsText" text="horse">
      <formula>NOT(ISERROR(SEARCH("horse",X15)))</formula>
    </cfRule>
  </conditionalFormatting>
  <conditionalFormatting sqref="AA7:AA8">
    <cfRule type="duplicateValues" dxfId="304" priority="20"/>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W305"/>
  <sheetViews>
    <sheetView zoomScale="85" zoomScaleNormal="85" workbookViewId="0">
      <pane ySplit="10" topLeftCell="A29"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98"/>
      <c r="M4" s="699"/>
      <c r="N4" s="698"/>
      <c r="O4" s="699"/>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700"/>
      <c r="N5" s="670"/>
      <c r="O5" s="700"/>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89"/>
      <c r="AE6" s="689"/>
      <c r="AF6" s="689"/>
      <c r="AG6" s="660"/>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43"/>
      <c r="T7" s="645"/>
      <c r="U7" s="404"/>
      <c r="V7" s="658"/>
      <c r="W7" s="658"/>
      <c r="X7" s="658"/>
      <c r="Y7" s="405"/>
      <c r="AA7" s="688"/>
      <c r="AB7" s="686"/>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44"/>
      <c r="T8" s="646"/>
      <c r="U8" s="404"/>
      <c r="V8" s="659"/>
      <c r="W8" s="659"/>
      <c r="X8" s="659"/>
      <c r="Y8" s="415"/>
      <c r="AA8" s="687"/>
      <c r="AB8" s="687"/>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6"/>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6"/>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551"/>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V10:W10"/>
    <mergeCell ref="V12:W12"/>
    <mergeCell ref="AC6:AF6"/>
    <mergeCell ref="AG6:AJ6"/>
    <mergeCell ref="S7:S8"/>
    <mergeCell ref="T7:T8"/>
    <mergeCell ref="V7:V8"/>
    <mergeCell ref="W7:W8"/>
    <mergeCell ref="X7:X8"/>
    <mergeCell ref="AA7:AA8"/>
    <mergeCell ref="AB7:AB8"/>
    <mergeCell ref="R7:R8"/>
    <mergeCell ref="B7:B8"/>
    <mergeCell ref="C7:C8"/>
    <mergeCell ref="D7:D8"/>
    <mergeCell ref="E7:E8"/>
    <mergeCell ref="K7:K8"/>
    <mergeCell ref="L7:L8"/>
    <mergeCell ref="M7:M8"/>
    <mergeCell ref="N7:N8"/>
    <mergeCell ref="O7:O8"/>
    <mergeCell ref="P7:P8"/>
    <mergeCell ref="Q7:Q8"/>
    <mergeCell ref="C4:D4"/>
    <mergeCell ref="L4:M4"/>
    <mergeCell ref="N4:O4"/>
    <mergeCell ref="C5:D5"/>
    <mergeCell ref="L5:M5"/>
    <mergeCell ref="N5:O5"/>
  </mergeCells>
  <conditionalFormatting sqref="B15">
    <cfRule type="duplicateValues" dxfId="303" priority="9"/>
    <cfRule type="duplicateValues" dxfId="302" priority="10"/>
  </conditionalFormatting>
  <conditionalFormatting sqref="B102:B106">
    <cfRule type="duplicateValues" dxfId="301" priority="8"/>
  </conditionalFormatting>
  <conditionalFormatting sqref="B171">
    <cfRule type="duplicateValues" dxfId="300" priority="11"/>
    <cfRule type="duplicateValues" dxfId="299" priority="12"/>
  </conditionalFormatting>
  <conditionalFormatting sqref="B172:B1048576 B1:B14 B16:B101 B107:B170">
    <cfRule type="duplicateValues" dxfId="298" priority="21"/>
  </conditionalFormatting>
  <conditionalFormatting sqref="B16:C16 C15">
    <cfRule type="duplicateValues" dxfId="297" priority="19"/>
  </conditionalFormatting>
  <conditionalFormatting sqref="B102:C102 B103:B106">
    <cfRule type="duplicateValues" dxfId="296" priority="7"/>
  </conditionalFormatting>
  <conditionalFormatting sqref="B172:C172">
    <cfRule type="duplicateValues" dxfId="295" priority="14"/>
  </conditionalFormatting>
  <conditionalFormatting sqref="B173:C178 B24:C24 B40:C41 B101:C101 B67:B100 B65:C66 B61:B64 B59:C60 B42:B58 B26:B39 B18:B23 B107:C169">
    <cfRule type="duplicateValues" dxfId="294" priority="27"/>
  </conditionalFormatting>
  <conditionalFormatting sqref="C18:C23">
    <cfRule type="duplicateValues" dxfId="293" priority="1"/>
  </conditionalFormatting>
  <conditionalFormatting sqref="C26:C39">
    <cfRule type="duplicateValues" dxfId="292" priority="2"/>
  </conditionalFormatting>
  <conditionalFormatting sqref="C42:C58">
    <cfRule type="duplicateValues" dxfId="291" priority="3"/>
  </conditionalFormatting>
  <conditionalFormatting sqref="C61:C64">
    <cfRule type="duplicateValues" dxfId="290" priority="4"/>
  </conditionalFormatting>
  <conditionalFormatting sqref="C67:C100">
    <cfRule type="duplicateValues" dxfId="289" priority="5"/>
  </conditionalFormatting>
  <conditionalFormatting sqref="C103:C106">
    <cfRule type="duplicateValues" dxfId="288" priority="6"/>
  </conditionalFormatting>
  <conditionalFormatting sqref="C171">
    <cfRule type="duplicateValues" dxfId="287" priority="13"/>
  </conditionalFormatting>
  <conditionalFormatting sqref="J2:J3 J7:J179">
    <cfRule type="cellIs" dxfId="286" priority="26" operator="equal">
      <formula>"Disc"</formula>
    </cfRule>
  </conditionalFormatting>
  <conditionalFormatting sqref="V2:V5">
    <cfRule type="containsText" dxfId="285" priority="22" operator="containsText" text="dog">
      <formula>NOT(ISERROR(SEARCH("dog",V2)))</formula>
    </cfRule>
    <cfRule type="containsText" dxfId="284" priority="23" operator="containsText" text="star">
      <formula>NOT(ISERROR(SEARCH("star",V2)))</formula>
    </cfRule>
    <cfRule type="containsText" dxfId="283" priority="24" operator="containsText" text="PUZZLE">
      <formula>NOT(ISERROR(SEARCH("PUZZLE",V2)))</formula>
    </cfRule>
    <cfRule type="containsText" dxfId="282" priority="25" operator="containsText" text="HORSE">
      <formula>NOT(ISERROR(SEARCH("HORSE",V2)))</formula>
    </cfRule>
  </conditionalFormatting>
  <conditionalFormatting sqref="X15:X179">
    <cfRule type="containsText" dxfId="281" priority="15" operator="containsText" text="star">
      <formula>NOT(ISERROR(SEARCH("star",X15)))</formula>
    </cfRule>
    <cfRule type="containsText" dxfId="280" priority="16" operator="containsText" text="dog">
      <formula>NOT(ISERROR(SEARCH("dog",X15)))</formula>
    </cfRule>
    <cfRule type="containsText" dxfId="279" priority="17" operator="containsText" text="puzzle">
      <formula>NOT(ISERROR(SEARCH("puzzle",X15)))</formula>
    </cfRule>
    <cfRule type="containsText" dxfId="278" priority="18" operator="containsText" text="horse">
      <formula>NOT(ISERROR(SEARCH("horse",X15)))</formula>
    </cfRule>
  </conditionalFormatting>
  <conditionalFormatting sqref="AA7:AA8">
    <cfRule type="duplicateValues" dxfId="277" priority="20"/>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05"/>
  <sheetViews>
    <sheetView zoomScale="85" zoomScaleNormal="85" workbookViewId="0">
      <pane ySplit="10" topLeftCell="A11"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98"/>
      <c r="M4" s="699"/>
      <c r="N4" s="698"/>
      <c r="O4" s="699"/>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700"/>
      <c r="N5" s="670"/>
      <c r="O5" s="700"/>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89"/>
      <c r="AE6" s="689"/>
      <c r="AF6" s="689"/>
      <c r="AG6" s="660"/>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43"/>
      <c r="T7" s="645"/>
      <c r="U7" s="404"/>
      <c r="V7" s="658"/>
      <c r="W7" s="658"/>
      <c r="X7" s="658"/>
      <c r="Y7" s="405"/>
      <c r="AA7" s="688"/>
      <c r="AB7" s="686"/>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44"/>
      <c r="T8" s="646"/>
      <c r="U8" s="404"/>
      <c r="V8" s="659"/>
      <c r="W8" s="659"/>
      <c r="X8" s="659"/>
      <c r="Y8" s="415"/>
      <c r="AA8" s="687"/>
      <c r="AB8" s="687"/>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6"/>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6"/>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V10:W10"/>
    <mergeCell ref="V12:W12"/>
    <mergeCell ref="AC6:AF6"/>
    <mergeCell ref="AG6:AJ6"/>
    <mergeCell ref="S7:S8"/>
    <mergeCell ref="T7:T8"/>
    <mergeCell ref="V7:V8"/>
    <mergeCell ref="W7:W8"/>
    <mergeCell ref="X7:X8"/>
    <mergeCell ref="AA7:AA8"/>
    <mergeCell ref="AB7:AB8"/>
    <mergeCell ref="R7:R8"/>
    <mergeCell ref="B7:B8"/>
    <mergeCell ref="C7:C8"/>
    <mergeCell ref="D7:D8"/>
    <mergeCell ref="E7:E8"/>
    <mergeCell ref="K7:K8"/>
    <mergeCell ref="L7:L8"/>
    <mergeCell ref="M7:M8"/>
    <mergeCell ref="N7:N8"/>
    <mergeCell ref="O7:O8"/>
    <mergeCell ref="P7:P8"/>
    <mergeCell ref="Q7:Q8"/>
    <mergeCell ref="C4:D4"/>
    <mergeCell ref="L4:M4"/>
    <mergeCell ref="N4:O4"/>
    <mergeCell ref="C5:D5"/>
    <mergeCell ref="L5:M5"/>
    <mergeCell ref="N5:O5"/>
  </mergeCells>
  <conditionalFormatting sqref="B15">
    <cfRule type="duplicateValues" dxfId="276" priority="9"/>
    <cfRule type="duplicateValues" dxfId="275" priority="10"/>
  </conditionalFormatting>
  <conditionalFormatting sqref="B102:B106">
    <cfRule type="duplicateValues" dxfId="274" priority="8"/>
  </conditionalFormatting>
  <conditionalFormatting sqref="B171">
    <cfRule type="duplicateValues" dxfId="273" priority="11"/>
    <cfRule type="duplicateValues" dxfId="272" priority="12"/>
  </conditionalFormatting>
  <conditionalFormatting sqref="B172:B1048576 B1:B14 B16:B101 B107:B170">
    <cfRule type="duplicateValues" dxfId="271" priority="21"/>
  </conditionalFormatting>
  <conditionalFormatting sqref="B16:C16 C15">
    <cfRule type="duplicateValues" dxfId="270" priority="19"/>
  </conditionalFormatting>
  <conditionalFormatting sqref="B102:C102 B103:B106">
    <cfRule type="duplicateValues" dxfId="269" priority="7"/>
  </conditionalFormatting>
  <conditionalFormatting sqref="B172:C172">
    <cfRule type="duplicateValues" dxfId="268" priority="14"/>
  </conditionalFormatting>
  <conditionalFormatting sqref="B173:C178 B24:C24 B40:C41 B101:C101 B67:B100 B65:C66 B61:B64 B59:C60 B42:B58 B26:B39 B18:B23 B107:C169">
    <cfRule type="duplicateValues" dxfId="267" priority="27"/>
  </conditionalFormatting>
  <conditionalFormatting sqref="C18:C23">
    <cfRule type="duplicateValues" dxfId="266" priority="1"/>
  </conditionalFormatting>
  <conditionalFormatting sqref="C26:C39">
    <cfRule type="duplicateValues" dxfId="265" priority="2"/>
  </conditionalFormatting>
  <conditionalFormatting sqref="C42:C58">
    <cfRule type="duplicateValues" dxfId="264" priority="3"/>
  </conditionalFormatting>
  <conditionalFormatting sqref="C61:C64">
    <cfRule type="duplicateValues" dxfId="263" priority="4"/>
  </conditionalFormatting>
  <conditionalFormatting sqref="C67:C100">
    <cfRule type="duplicateValues" dxfId="262" priority="5"/>
  </conditionalFormatting>
  <conditionalFormatting sqref="C103:C106">
    <cfRule type="duplicateValues" dxfId="261" priority="6"/>
  </conditionalFormatting>
  <conditionalFormatting sqref="C171">
    <cfRule type="duplicateValues" dxfId="260" priority="13"/>
  </conditionalFormatting>
  <conditionalFormatting sqref="J2:J3 J7:J179">
    <cfRule type="cellIs" dxfId="259" priority="26" operator="equal">
      <formula>"Disc"</formula>
    </cfRule>
  </conditionalFormatting>
  <conditionalFormatting sqref="V2:V5">
    <cfRule type="containsText" dxfId="258" priority="22" operator="containsText" text="dog">
      <formula>NOT(ISERROR(SEARCH("dog",V2)))</formula>
    </cfRule>
    <cfRule type="containsText" dxfId="257" priority="23" operator="containsText" text="star">
      <formula>NOT(ISERROR(SEARCH("star",V2)))</formula>
    </cfRule>
    <cfRule type="containsText" dxfId="256" priority="24" operator="containsText" text="PUZZLE">
      <formula>NOT(ISERROR(SEARCH("PUZZLE",V2)))</formula>
    </cfRule>
    <cfRule type="containsText" dxfId="255" priority="25" operator="containsText" text="HORSE">
      <formula>NOT(ISERROR(SEARCH("HORSE",V2)))</formula>
    </cfRule>
  </conditionalFormatting>
  <conditionalFormatting sqref="X15:X179">
    <cfRule type="containsText" dxfId="254" priority="15" operator="containsText" text="star">
      <formula>NOT(ISERROR(SEARCH("star",X15)))</formula>
    </cfRule>
    <cfRule type="containsText" dxfId="253" priority="16" operator="containsText" text="dog">
      <formula>NOT(ISERROR(SEARCH("dog",X15)))</formula>
    </cfRule>
    <cfRule type="containsText" dxfId="252" priority="17" operator="containsText" text="puzzle">
      <formula>NOT(ISERROR(SEARCH("puzzle",X15)))</formula>
    </cfRule>
    <cfRule type="containsText" dxfId="251" priority="18" operator="containsText" text="horse">
      <formula>NOT(ISERROR(SEARCH("horse",X15)))</formula>
    </cfRule>
  </conditionalFormatting>
  <conditionalFormatting sqref="AA7:AA8">
    <cfRule type="duplicateValues" dxfId="250" priority="20"/>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05"/>
  <sheetViews>
    <sheetView zoomScale="85" zoomScaleNormal="85" workbookViewId="0">
      <pane ySplit="10" topLeftCell="A158" activePane="bottomLeft" state="frozen"/>
      <selection sqref="A1:XFD1048576"/>
      <selection pane="bottomLeft" sqref="A1:XFD1048576"/>
    </sheetView>
  </sheetViews>
  <sheetFormatPr defaultColWidth="12.54296875" defaultRowHeight="13" outlineLevelCol="1" x14ac:dyDescent="0.35"/>
  <cols>
    <col min="1" max="1" width="5.54296875" style="571" customWidth="1"/>
    <col min="2" max="2" width="15.81640625" style="571" customWidth="1"/>
    <col min="3" max="3" width="48.453125" style="571" customWidth="1"/>
    <col min="4" max="4" width="9.54296875" style="571" customWidth="1"/>
    <col min="5" max="5" width="7.81640625" style="530" customWidth="1"/>
    <col min="6" max="6" width="10.81640625" style="503" customWidth="1"/>
    <col min="7" max="7" width="11.81640625" style="571" customWidth="1"/>
    <col min="8" max="8" width="12.26953125" style="571" customWidth="1"/>
    <col min="9" max="9" width="11.26953125" style="401" customWidth="1"/>
    <col min="10" max="10" width="5.453125" style="571" customWidth="1"/>
    <col min="11" max="12" width="16.7265625" style="571" customWidth="1" outlineLevel="1"/>
    <col min="13" max="13" width="15.7265625" style="571" customWidth="1" outlineLevel="1"/>
    <col min="14" max="14" width="16.26953125" style="571" customWidth="1" outlineLevel="1"/>
    <col min="15" max="15" width="18.26953125" style="571" customWidth="1" outlineLevel="1"/>
    <col min="16" max="16" width="12" style="571" customWidth="1" outlineLevel="1"/>
    <col min="17" max="17" width="13.1796875" style="571" customWidth="1" outlineLevel="1"/>
    <col min="18" max="19" width="13.26953125" style="571" customWidth="1" outlineLevel="1"/>
    <col min="20" max="20" width="17.54296875" style="571" customWidth="1"/>
    <col min="21" max="21" width="4.1796875" style="571" customWidth="1"/>
    <col min="22" max="22" width="16.7265625" style="374" customWidth="1"/>
    <col min="23" max="23" width="13.1796875" style="374" customWidth="1"/>
    <col min="24" max="24" width="17.7265625" style="374" customWidth="1"/>
    <col min="25" max="25" width="6" style="374" customWidth="1"/>
    <col min="26" max="26" width="12.54296875" style="571"/>
    <col min="27" max="27" width="15.453125" style="571" customWidth="1"/>
    <col min="28" max="28" width="39.453125" style="571" customWidth="1"/>
    <col min="29" max="29" width="19.453125" style="571" customWidth="1"/>
    <col min="30" max="30" width="12.54296875" style="571" customWidth="1"/>
    <col min="31" max="31" width="11.26953125" style="571" customWidth="1"/>
    <col min="32" max="32" width="12.81640625" style="571" customWidth="1"/>
    <col min="33" max="33" width="14.26953125" style="571" customWidth="1"/>
    <col min="34" max="34" width="11.7265625" style="571" customWidth="1"/>
    <col min="35" max="35" width="11" style="571" customWidth="1"/>
    <col min="36" max="36" width="13.54296875" style="571" customWidth="1"/>
    <col min="37" max="37" width="12.7265625" style="375" customWidth="1"/>
    <col min="38" max="38" width="17.26953125" style="376" customWidth="1"/>
    <col min="39" max="40" width="7.54296875" style="571" customWidth="1"/>
    <col min="41" max="16384" width="12.54296875" style="571"/>
  </cols>
  <sheetData>
    <row r="1" spans="1:49" ht="4.5" customHeight="1" x14ac:dyDescent="0.35">
      <c r="A1" s="366"/>
      <c r="B1" s="366"/>
      <c r="C1" s="366"/>
      <c r="D1" s="366"/>
      <c r="E1" s="367"/>
      <c r="F1" s="368"/>
      <c r="G1" s="367"/>
      <c r="H1" s="367"/>
      <c r="I1" s="369"/>
      <c r="J1" s="366"/>
      <c r="K1" s="366"/>
      <c r="L1" s="366"/>
      <c r="M1" s="366"/>
      <c r="N1" s="370"/>
      <c r="O1" s="371"/>
      <c r="P1" s="371"/>
      <c r="Q1" s="371"/>
      <c r="R1" s="372"/>
      <c r="S1" s="372"/>
      <c r="T1" s="373"/>
      <c r="U1" s="373"/>
      <c r="AA1" s="366"/>
      <c r="AB1" s="366"/>
      <c r="AC1" s="366"/>
      <c r="AD1" s="366"/>
      <c r="AE1" s="366"/>
      <c r="AF1" s="366"/>
      <c r="AG1" s="366"/>
      <c r="AH1" s="366"/>
      <c r="AI1" s="366"/>
      <c r="AJ1" s="366"/>
      <c r="AM1" s="366"/>
      <c r="AN1" s="366"/>
    </row>
    <row r="2" spans="1:49" ht="24.75" customHeight="1" x14ac:dyDescent="0.35">
      <c r="A2" s="377"/>
      <c r="B2" s="378"/>
      <c r="C2" s="377"/>
      <c r="D2" s="377"/>
      <c r="E2" s="369"/>
      <c r="F2" s="379"/>
      <c r="G2" s="380"/>
      <c r="H2" s="380"/>
      <c r="I2" s="377"/>
      <c r="J2" s="377"/>
      <c r="K2" s="377"/>
      <c r="L2" s="377"/>
      <c r="M2" s="377"/>
      <c r="N2" s="369"/>
      <c r="O2" s="371"/>
      <c r="P2" s="371"/>
      <c r="Q2" s="371"/>
      <c r="R2" s="372"/>
      <c r="S2" s="372"/>
      <c r="T2" s="381"/>
      <c r="U2" s="381"/>
      <c r="V2" s="382"/>
      <c r="W2" s="383"/>
      <c r="X2" s="383"/>
      <c r="Y2" s="383"/>
      <c r="AA2" s="377"/>
      <c r="AB2" s="377"/>
      <c r="AC2" s="377"/>
      <c r="AD2" s="377"/>
      <c r="AE2" s="377"/>
      <c r="AF2" s="377"/>
      <c r="AG2" s="377"/>
      <c r="AH2" s="377"/>
      <c r="AI2" s="377"/>
      <c r="AJ2" s="377"/>
      <c r="AK2" s="384"/>
      <c r="AL2" s="385"/>
      <c r="AM2" s="377"/>
      <c r="AN2" s="377"/>
    </row>
    <row r="3" spans="1:49" ht="34.5" customHeight="1" x14ac:dyDescent="0.35">
      <c r="A3" s="366"/>
      <c r="B3" s="378"/>
      <c r="C3" s="366"/>
      <c r="D3" s="366"/>
      <c r="E3" s="367"/>
      <c r="F3" s="368"/>
      <c r="G3" s="367"/>
      <c r="H3" s="367"/>
      <c r="I3" s="369"/>
      <c r="J3" s="366"/>
      <c r="K3" s="386"/>
      <c r="L3" s="387"/>
      <c r="M3" s="388"/>
      <c r="N3" s="389"/>
      <c r="O3" s="390"/>
      <c r="P3" s="371"/>
      <c r="Q3" s="371"/>
      <c r="R3" s="372"/>
      <c r="S3" s="372"/>
      <c r="T3" s="373"/>
      <c r="U3" s="373"/>
      <c r="V3" s="382"/>
      <c r="W3" s="391"/>
      <c r="X3" s="391"/>
      <c r="Y3" s="391"/>
      <c r="AA3" s="366"/>
      <c r="AB3" s="366"/>
      <c r="AC3" s="366"/>
      <c r="AD3" s="366"/>
      <c r="AE3" s="366"/>
      <c r="AF3" s="366"/>
      <c r="AG3" s="366"/>
      <c r="AH3" s="366"/>
      <c r="AI3" s="366"/>
      <c r="AJ3" s="366"/>
      <c r="AM3" s="366"/>
      <c r="AN3" s="366"/>
    </row>
    <row r="4" spans="1:49" ht="30" customHeight="1" thickBot="1" x14ac:dyDescent="0.4">
      <c r="A4" s="366"/>
      <c r="B4" s="392"/>
      <c r="C4" s="663"/>
      <c r="D4" s="664"/>
      <c r="E4" s="393"/>
      <c r="F4" s="368"/>
      <c r="G4" s="367"/>
      <c r="H4" s="367"/>
      <c r="I4" s="369"/>
      <c r="J4" s="366"/>
      <c r="K4" s="570"/>
      <c r="L4" s="698"/>
      <c r="M4" s="699"/>
      <c r="N4" s="698"/>
      <c r="O4" s="699"/>
      <c r="P4" s="394"/>
      <c r="Q4" s="371"/>
      <c r="R4" s="372"/>
      <c r="S4" s="372"/>
      <c r="T4" s="563"/>
      <c r="U4" s="373"/>
      <c r="V4" s="382"/>
      <c r="W4" s="391"/>
      <c r="Y4" s="391"/>
      <c r="AA4" s="366"/>
      <c r="AB4" s="366"/>
      <c r="AC4" s="366"/>
      <c r="AD4" s="366"/>
      <c r="AE4" s="366"/>
      <c r="AF4" s="366"/>
      <c r="AG4" s="366"/>
      <c r="AH4" s="366"/>
      <c r="AI4" s="366"/>
      <c r="AJ4" s="366"/>
      <c r="AM4" s="366"/>
      <c r="AN4" s="366"/>
    </row>
    <row r="5" spans="1:49" ht="30" customHeight="1" thickBot="1" x14ac:dyDescent="0.4">
      <c r="A5" s="366"/>
      <c r="B5" s="392"/>
      <c r="C5" s="663"/>
      <c r="D5" s="664"/>
      <c r="E5" s="393"/>
      <c r="F5" s="368"/>
      <c r="G5" s="367"/>
      <c r="H5" s="367"/>
      <c r="I5" s="369"/>
      <c r="J5" s="366"/>
      <c r="K5" s="395"/>
      <c r="L5" s="671"/>
      <c r="M5" s="700"/>
      <c r="N5" s="670"/>
      <c r="O5" s="700"/>
      <c r="P5" s="396"/>
      <c r="Q5" s="371"/>
      <c r="R5" s="372"/>
      <c r="S5" s="537"/>
      <c r="T5" s="538"/>
      <c r="U5" s="373"/>
      <c r="V5" s="382"/>
      <c r="W5" s="391"/>
      <c r="Y5" s="391"/>
      <c r="AA5" s="366"/>
      <c r="AB5" s="397"/>
      <c r="AC5" s="398"/>
      <c r="AD5" s="399"/>
      <c r="AE5" s="400"/>
      <c r="AF5" s="366"/>
      <c r="AG5" s="398"/>
      <c r="AH5" s="399"/>
      <c r="AI5" s="366"/>
      <c r="AJ5" s="366"/>
      <c r="AM5" s="366"/>
      <c r="AN5" s="366"/>
    </row>
    <row r="6" spans="1:49" ht="19.149999999999999" customHeight="1" x14ac:dyDescent="0.35">
      <c r="A6" s="366"/>
      <c r="B6" s="366"/>
      <c r="C6" s="366"/>
      <c r="D6" s="366"/>
      <c r="E6" s="367"/>
      <c r="F6" s="366"/>
      <c r="G6" s="366"/>
      <c r="H6" s="366"/>
      <c r="J6" s="366"/>
      <c r="K6" s="366"/>
      <c r="L6" s="366"/>
      <c r="M6" s="366"/>
      <c r="N6" s="366"/>
      <c r="O6" s="366"/>
      <c r="P6" s="366"/>
      <c r="Q6" s="366"/>
      <c r="R6" s="366"/>
      <c r="S6" s="366"/>
      <c r="T6" s="366"/>
      <c r="U6" s="366"/>
      <c r="V6" s="366"/>
      <c r="W6" s="366"/>
      <c r="X6" s="366"/>
      <c r="AC6" s="660"/>
      <c r="AD6" s="689"/>
      <c r="AE6" s="689"/>
      <c r="AF6" s="689"/>
      <c r="AG6" s="660"/>
      <c r="AH6" s="689"/>
      <c r="AI6" s="689"/>
      <c r="AJ6" s="689"/>
    </row>
    <row r="7" spans="1:49" ht="19.5" customHeight="1" x14ac:dyDescent="0.35">
      <c r="A7" s="400"/>
      <c r="B7" s="692"/>
      <c r="C7" s="693"/>
      <c r="D7" s="693"/>
      <c r="E7" s="694"/>
      <c r="F7" s="402"/>
      <c r="G7" s="567"/>
      <c r="H7" s="567"/>
      <c r="I7" s="403"/>
      <c r="J7" s="567"/>
      <c r="K7" s="693"/>
      <c r="L7" s="693"/>
      <c r="M7" s="693"/>
      <c r="N7" s="696"/>
      <c r="O7" s="697"/>
      <c r="P7" s="697"/>
      <c r="Q7" s="697"/>
      <c r="R7" s="690"/>
      <c r="S7" s="643"/>
      <c r="T7" s="645"/>
      <c r="U7" s="404"/>
      <c r="V7" s="658"/>
      <c r="W7" s="658"/>
      <c r="X7" s="658"/>
      <c r="Y7" s="405"/>
      <c r="AA7" s="688"/>
      <c r="AB7" s="686"/>
      <c r="AC7" s="406"/>
      <c r="AD7" s="407"/>
      <c r="AE7" s="407"/>
      <c r="AF7" s="407"/>
      <c r="AG7" s="406"/>
      <c r="AH7" s="407"/>
      <c r="AI7" s="407"/>
      <c r="AJ7" s="407"/>
      <c r="AK7" s="408"/>
      <c r="AL7" s="409"/>
      <c r="AM7" s="400"/>
      <c r="AN7" s="400"/>
    </row>
    <row r="8" spans="1:49" ht="15" customHeight="1" x14ac:dyDescent="0.35">
      <c r="A8" s="410"/>
      <c r="B8" s="691"/>
      <c r="C8" s="691"/>
      <c r="D8" s="691"/>
      <c r="E8" s="695"/>
      <c r="F8" s="411"/>
      <c r="G8" s="568"/>
      <c r="H8" s="568"/>
      <c r="I8" s="412"/>
      <c r="J8" s="413"/>
      <c r="K8" s="691"/>
      <c r="L8" s="691"/>
      <c r="M8" s="691"/>
      <c r="N8" s="691"/>
      <c r="O8" s="691"/>
      <c r="P8" s="691"/>
      <c r="Q8" s="691"/>
      <c r="R8" s="691"/>
      <c r="S8" s="644"/>
      <c r="T8" s="646"/>
      <c r="U8" s="404"/>
      <c r="V8" s="659"/>
      <c r="W8" s="659"/>
      <c r="X8" s="659"/>
      <c r="Y8" s="415"/>
      <c r="AA8" s="687"/>
      <c r="AB8" s="687"/>
      <c r="AC8" s="416"/>
      <c r="AD8" s="416"/>
      <c r="AE8" s="416"/>
      <c r="AF8" s="416"/>
      <c r="AG8" s="416"/>
      <c r="AH8" s="416"/>
      <c r="AI8" s="416"/>
      <c r="AJ8" s="416"/>
      <c r="AK8" s="416"/>
      <c r="AL8" s="416"/>
      <c r="AM8" s="417"/>
      <c r="AN8" s="417"/>
    </row>
    <row r="9" spans="1:49" ht="20.25" customHeight="1" x14ac:dyDescent="0.35">
      <c r="A9" s="400"/>
      <c r="B9" s="567"/>
      <c r="C9" s="418"/>
      <c r="D9" s="567"/>
      <c r="E9" s="567"/>
      <c r="F9" s="402"/>
      <c r="G9" s="567"/>
      <c r="H9" s="567"/>
      <c r="I9" s="419"/>
      <c r="J9" s="420"/>
      <c r="K9" s="420"/>
      <c r="L9" s="420"/>
      <c r="M9" s="420"/>
      <c r="N9" s="569"/>
      <c r="O9" s="421"/>
      <c r="P9" s="421"/>
      <c r="Q9" s="421"/>
      <c r="R9" s="422"/>
      <c r="S9" s="539"/>
      <c r="T9" s="540"/>
      <c r="U9" s="404"/>
      <c r="V9" s="423"/>
      <c r="W9" s="423"/>
      <c r="X9" s="423"/>
      <c r="Y9" s="423"/>
      <c r="AA9" s="424"/>
      <c r="AB9" s="425"/>
      <c r="AC9" s="424"/>
      <c r="AD9" s="424"/>
      <c r="AE9" s="424"/>
      <c r="AF9" s="426"/>
      <c r="AG9" s="424"/>
      <c r="AH9" s="424"/>
      <c r="AI9" s="424"/>
      <c r="AJ9" s="426"/>
      <c r="AK9" s="427"/>
      <c r="AL9" s="428"/>
      <c r="AM9" s="400"/>
      <c r="AN9" s="400"/>
    </row>
    <row r="10" spans="1:49" ht="20.25" customHeight="1" x14ac:dyDescent="0.35">
      <c r="A10" s="400"/>
      <c r="B10" s="429"/>
      <c r="C10" s="430"/>
      <c r="D10" s="429"/>
      <c r="E10" s="431"/>
      <c r="F10" s="432"/>
      <c r="G10" s="433"/>
      <c r="H10" s="433"/>
      <c r="I10" s="434"/>
      <c r="J10" s="420"/>
      <c r="K10" s="420"/>
      <c r="L10" s="420"/>
      <c r="M10" s="420"/>
      <c r="N10" s="569"/>
      <c r="O10" s="421"/>
      <c r="P10" s="421"/>
      <c r="Q10" s="421"/>
      <c r="R10" s="422"/>
      <c r="S10" s="541"/>
      <c r="T10" s="542"/>
      <c r="U10" s="404"/>
      <c r="V10" s="676"/>
      <c r="W10" s="676"/>
      <c r="X10" s="435"/>
      <c r="Y10" s="423"/>
      <c r="Z10" s="436"/>
      <c r="AA10" s="424"/>
      <c r="AB10" s="425"/>
      <c r="AC10" s="424"/>
      <c r="AD10" s="424"/>
      <c r="AE10" s="424"/>
      <c r="AF10" s="426"/>
      <c r="AG10" s="424"/>
      <c r="AH10" s="424"/>
      <c r="AI10" s="424"/>
      <c r="AJ10" s="426"/>
      <c r="AK10" s="427"/>
      <c r="AL10" s="428"/>
      <c r="AM10" s="437"/>
      <c r="AN10" s="437"/>
    </row>
    <row r="11" spans="1:49" ht="20.25" customHeight="1" x14ac:dyDescent="0.35">
      <c r="A11" s="400"/>
      <c r="B11" s="420"/>
      <c r="C11" s="438"/>
      <c r="D11" s="420"/>
      <c r="E11" s="567"/>
      <c r="F11" s="439"/>
      <c r="G11" s="440"/>
      <c r="H11" s="440"/>
      <c r="I11" s="441"/>
      <c r="J11" s="420"/>
      <c r="K11" s="420"/>
      <c r="L11" s="420"/>
      <c r="M11" s="420"/>
      <c r="N11" s="569"/>
      <c r="O11" s="421"/>
      <c r="P11" s="421"/>
      <c r="Q11" s="421"/>
      <c r="R11" s="422"/>
      <c r="S11" s="422"/>
      <c r="T11" s="422"/>
      <c r="U11" s="404"/>
      <c r="V11" s="423"/>
      <c r="W11" s="423"/>
      <c r="X11" s="442"/>
      <c r="Y11" s="423"/>
      <c r="AA11" s="424"/>
      <c r="AB11" s="443"/>
      <c r="AC11" s="424"/>
      <c r="AD11" s="424"/>
      <c r="AE11" s="424"/>
      <c r="AF11" s="426"/>
      <c r="AG11" s="424"/>
      <c r="AH11" s="424"/>
      <c r="AI11" s="424"/>
      <c r="AJ11" s="426"/>
      <c r="AK11" s="427"/>
      <c r="AL11" s="428"/>
      <c r="AM11" s="437"/>
      <c r="AN11" s="437"/>
    </row>
    <row r="12" spans="1:49" ht="20.25" customHeight="1" x14ac:dyDescent="0.35">
      <c r="A12" s="400"/>
      <c r="B12" s="444"/>
      <c r="C12" s="445"/>
      <c r="D12" s="445"/>
      <c r="E12" s="446"/>
      <c r="F12" s="447"/>
      <c r="G12" s="448"/>
      <c r="H12" s="446"/>
      <c r="I12" s="434"/>
      <c r="J12" s="449"/>
      <c r="K12" s="449"/>
      <c r="L12" s="449"/>
      <c r="M12" s="449"/>
      <c r="N12" s="450"/>
      <c r="O12" s="451"/>
      <c r="P12" s="451"/>
      <c r="Q12" s="451"/>
      <c r="R12" s="452"/>
      <c r="S12" s="452"/>
      <c r="T12" s="452"/>
      <c r="U12" s="404"/>
      <c r="V12" s="676"/>
      <c r="W12" s="676"/>
      <c r="X12" s="435"/>
      <c r="Y12" s="423"/>
      <c r="AA12" s="424"/>
      <c r="AB12" s="443"/>
      <c r="AC12" s="424"/>
      <c r="AD12" s="424"/>
      <c r="AE12" s="424"/>
      <c r="AF12" s="426"/>
      <c r="AG12" s="424"/>
      <c r="AH12" s="424"/>
      <c r="AI12" s="424"/>
      <c r="AJ12" s="426"/>
      <c r="AK12" s="427"/>
      <c r="AL12" s="428"/>
      <c r="AM12" s="400"/>
      <c r="AN12" s="400"/>
    </row>
    <row r="13" spans="1:49" ht="20.25" customHeight="1" x14ac:dyDescent="0.35">
      <c r="A13" s="400"/>
      <c r="B13" s="420"/>
      <c r="C13" s="438"/>
      <c r="D13" s="420"/>
      <c r="E13" s="567"/>
      <c r="F13" s="439"/>
      <c r="G13" s="440"/>
      <c r="H13" s="440"/>
      <c r="I13" s="441"/>
      <c r="J13" s="420"/>
      <c r="K13" s="420"/>
      <c r="L13" s="420"/>
      <c r="M13" s="420"/>
      <c r="N13" s="569"/>
      <c r="O13" s="421"/>
      <c r="P13" s="421"/>
      <c r="Q13" s="421"/>
      <c r="R13" s="422"/>
      <c r="S13" s="422"/>
      <c r="T13" s="422"/>
      <c r="U13" s="404"/>
      <c r="V13" s="423"/>
      <c r="W13" s="423"/>
      <c r="X13" s="423"/>
      <c r="Y13" s="423"/>
      <c r="AA13" s="424"/>
      <c r="AB13" s="443"/>
      <c r="AC13" s="424"/>
      <c r="AD13" s="424"/>
      <c r="AE13" s="424"/>
      <c r="AF13" s="426"/>
      <c r="AG13" s="424"/>
      <c r="AH13" s="424"/>
      <c r="AI13" s="424"/>
      <c r="AJ13" s="426"/>
      <c r="AK13" s="427"/>
      <c r="AL13" s="428"/>
      <c r="AM13" s="437"/>
      <c r="AN13" s="437"/>
    </row>
    <row r="14" spans="1:49" s="466" customFormat="1" ht="20.25" customHeight="1" x14ac:dyDescent="0.35">
      <c r="A14" s="453"/>
      <c r="B14" s="454"/>
      <c r="C14" s="455"/>
      <c r="D14" s="455"/>
      <c r="E14" s="456"/>
      <c r="F14" s="457"/>
      <c r="G14" s="456"/>
      <c r="H14" s="456"/>
      <c r="I14" s="458"/>
      <c r="J14" s="459"/>
      <c r="K14" s="455"/>
      <c r="L14" s="455"/>
      <c r="M14" s="455"/>
      <c r="N14" s="460"/>
      <c r="O14" s="461"/>
      <c r="P14" s="461"/>
      <c r="Q14" s="461"/>
      <c r="R14" s="462"/>
      <c r="S14" s="543"/>
      <c r="T14" s="544"/>
      <c r="U14" s="404"/>
      <c r="V14" s="463"/>
      <c r="W14" s="463"/>
      <c r="X14" s="463"/>
      <c r="Y14" s="464"/>
      <c r="Z14" s="465"/>
      <c r="AA14" s="424"/>
      <c r="AB14" s="443"/>
      <c r="AC14" s="424"/>
      <c r="AD14" s="424"/>
      <c r="AE14" s="424"/>
      <c r="AF14" s="426"/>
      <c r="AG14" s="424"/>
      <c r="AH14" s="424"/>
      <c r="AI14" s="424"/>
      <c r="AJ14" s="426"/>
      <c r="AK14" s="427"/>
      <c r="AL14" s="428"/>
      <c r="AM14" s="400"/>
      <c r="AN14" s="400"/>
      <c r="AO14" s="465"/>
      <c r="AP14" s="465"/>
      <c r="AQ14" s="571"/>
      <c r="AR14" s="571"/>
      <c r="AS14" s="571"/>
      <c r="AT14" s="571"/>
      <c r="AU14" s="571"/>
      <c r="AV14" s="571"/>
      <c r="AW14" s="571"/>
    </row>
    <row r="15" spans="1:49" ht="20.25" customHeight="1" x14ac:dyDescent="0.35">
      <c r="A15" s="366"/>
      <c r="B15" s="467"/>
      <c r="C15" s="365"/>
      <c r="D15" s="365"/>
      <c r="E15" s="468"/>
      <c r="F15" s="469"/>
      <c r="G15" s="470"/>
      <c r="H15" s="470"/>
      <c r="I15" s="471"/>
      <c r="J15" s="424"/>
      <c r="K15" s="472"/>
      <c r="L15" s="424"/>
      <c r="M15" s="424"/>
      <c r="N15" s="473"/>
      <c r="O15" s="474"/>
      <c r="P15" s="474"/>
      <c r="Q15" s="474"/>
      <c r="R15" s="475"/>
      <c r="S15" s="545"/>
      <c r="T15" s="546"/>
      <c r="U15" s="404"/>
      <c r="V15" s="476"/>
      <c r="W15" s="476"/>
      <c r="X15" s="477"/>
      <c r="AA15" s="424"/>
      <c r="AB15" s="443"/>
      <c r="AC15" s="424"/>
      <c r="AD15" s="424"/>
      <c r="AE15" s="424"/>
      <c r="AF15" s="426"/>
      <c r="AG15" s="424"/>
      <c r="AH15" s="424"/>
      <c r="AI15" s="424"/>
      <c r="AJ15" s="426"/>
      <c r="AK15" s="427"/>
      <c r="AL15" s="428"/>
      <c r="AM15" s="366"/>
      <c r="AN15" s="366"/>
    </row>
    <row r="16" spans="1:49" ht="20.25" customHeight="1" x14ac:dyDescent="0.35">
      <c r="A16" s="366"/>
      <c r="B16" s="467"/>
      <c r="C16" s="365"/>
      <c r="D16" s="365"/>
      <c r="E16" s="468"/>
      <c r="F16" s="478"/>
      <c r="G16" s="470"/>
      <c r="H16" s="470"/>
      <c r="I16" s="471"/>
      <c r="J16" s="424"/>
      <c r="K16" s="424"/>
      <c r="L16" s="424"/>
      <c r="M16" s="424"/>
      <c r="N16" s="473"/>
      <c r="O16" s="474"/>
      <c r="P16" s="474"/>
      <c r="Q16" s="474"/>
      <c r="R16" s="475"/>
      <c r="S16" s="372"/>
      <c r="T16" s="414"/>
      <c r="U16" s="404"/>
      <c r="V16" s="476"/>
      <c r="W16" s="476"/>
      <c r="X16" s="477"/>
      <c r="AA16" s="424"/>
      <c r="AB16" s="443"/>
      <c r="AC16" s="424"/>
      <c r="AD16" s="424"/>
      <c r="AE16" s="424"/>
      <c r="AF16" s="426"/>
      <c r="AG16" s="424"/>
      <c r="AH16" s="424"/>
      <c r="AI16" s="424"/>
      <c r="AJ16" s="426"/>
      <c r="AK16" s="427"/>
      <c r="AL16" s="428"/>
      <c r="AM16" s="366"/>
      <c r="AN16" s="366"/>
    </row>
    <row r="17" spans="1:49" s="466" customFormat="1" ht="20.25" customHeight="1" x14ac:dyDescent="0.35">
      <c r="A17" s="453"/>
      <c r="B17" s="479"/>
      <c r="C17" s="480"/>
      <c r="D17" s="480"/>
      <c r="E17" s="481"/>
      <c r="F17" s="482"/>
      <c r="G17" s="481"/>
      <c r="H17" s="481"/>
      <c r="I17" s="483"/>
      <c r="J17" s="484"/>
      <c r="K17" s="480"/>
      <c r="L17" s="480"/>
      <c r="M17" s="480"/>
      <c r="N17" s="485"/>
      <c r="O17" s="486"/>
      <c r="P17" s="486"/>
      <c r="Q17" s="486"/>
      <c r="R17" s="487"/>
      <c r="S17" s="543"/>
      <c r="T17" s="544"/>
      <c r="U17" s="404"/>
      <c r="V17" s="476"/>
      <c r="W17" s="476"/>
      <c r="X17" s="477"/>
      <c r="Y17" s="464"/>
      <c r="Z17" s="465"/>
      <c r="AA17" s="424"/>
      <c r="AB17" s="443"/>
      <c r="AC17" s="424"/>
      <c r="AD17" s="424"/>
      <c r="AE17" s="424"/>
      <c r="AF17" s="426"/>
      <c r="AG17" s="424"/>
      <c r="AH17" s="424"/>
      <c r="AI17" s="424"/>
      <c r="AJ17" s="426"/>
      <c r="AK17" s="427"/>
      <c r="AL17" s="428"/>
      <c r="AM17" s="400"/>
      <c r="AN17" s="400"/>
      <c r="AO17" s="465"/>
      <c r="AP17" s="465"/>
      <c r="AQ17" s="571"/>
      <c r="AR17" s="571"/>
      <c r="AS17" s="571"/>
      <c r="AT17" s="571"/>
      <c r="AU17" s="571"/>
      <c r="AV17" s="571"/>
      <c r="AW17" s="571"/>
    </row>
    <row r="18" spans="1:49" ht="20.25" customHeight="1" x14ac:dyDescent="0.35">
      <c r="A18" s="366"/>
      <c r="B18" s="467"/>
      <c r="C18" s="365"/>
      <c r="D18" s="365"/>
      <c r="E18" s="468"/>
      <c r="F18" s="478"/>
      <c r="G18" s="470"/>
      <c r="H18" s="470"/>
      <c r="I18" s="471"/>
      <c r="J18" s="424"/>
      <c r="K18" s="424"/>
      <c r="L18" s="424"/>
      <c r="M18" s="424"/>
      <c r="N18" s="473"/>
      <c r="O18" s="474"/>
      <c r="P18" s="474"/>
      <c r="Q18" s="474"/>
      <c r="R18" s="475"/>
      <c r="S18" s="545"/>
      <c r="T18" s="546"/>
      <c r="U18" s="404"/>
      <c r="V18" s="476"/>
      <c r="W18" s="476"/>
      <c r="X18" s="477"/>
      <c r="AA18" s="424"/>
      <c r="AB18" s="443"/>
      <c r="AC18" s="424"/>
      <c r="AD18" s="424"/>
      <c r="AE18" s="424"/>
      <c r="AF18" s="426"/>
      <c r="AG18" s="424"/>
      <c r="AH18" s="424"/>
      <c r="AI18" s="424"/>
      <c r="AJ18" s="426"/>
      <c r="AK18" s="427"/>
      <c r="AL18" s="428"/>
      <c r="AM18" s="366"/>
      <c r="AN18" s="366"/>
    </row>
    <row r="19" spans="1:49" ht="20.25" customHeight="1" x14ac:dyDescent="0.35">
      <c r="A19" s="366"/>
      <c r="B19" s="467"/>
      <c r="C19" s="365"/>
      <c r="D19" s="365"/>
      <c r="E19" s="468"/>
      <c r="F19" s="478"/>
      <c r="G19" s="470"/>
      <c r="H19" s="470"/>
      <c r="I19" s="471"/>
      <c r="J19" s="424"/>
      <c r="K19" s="424"/>
      <c r="L19" s="424"/>
      <c r="M19" s="424"/>
      <c r="N19" s="473"/>
      <c r="O19" s="474"/>
      <c r="P19" s="474"/>
      <c r="Q19" s="474"/>
      <c r="R19" s="475"/>
      <c r="S19" s="545"/>
      <c r="T19" s="546"/>
      <c r="U19" s="404"/>
      <c r="V19" s="476"/>
      <c r="W19" s="476"/>
      <c r="X19" s="477"/>
      <c r="AA19" s="424"/>
      <c r="AB19" s="443"/>
      <c r="AC19" s="424"/>
      <c r="AD19" s="424"/>
      <c r="AE19" s="424"/>
      <c r="AF19" s="426"/>
      <c r="AG19" s="424"/>
      <c r="AH19" s="424"/>
      <c r="AI19" s="424"/>
      <c r="AJ19" s="426"/>
      <c r="AK19" s="427"/>
      <c r="AL19" s="428"/>
      <c r="AM19" s="366"/>
      <c r="AN19" s="366"/>
    </row>
    <row r="20" spans="1:49" ht="20.25" customHeight="1" x14ac:dyDescent="0.35">
      <c r="A20" s="366"/>
      <c r="B20" s="467"/>
      <c r="C20" s="365"/>
      <c r="D20" s="365"/>
      <c r="E20" s="468"/>
      <c r="F20" s="478"/>
      <c r="G20" s="470"/>
      <c r="H20" s="470"/>
      <c r="I20" s="471"/>
      <c r="J20" s="424"/>
      <c r="K20" s="424"/>
      <c r="L20" s="424"/>
      <c r="M20" s="424"/>
      <c r="N20" s="473"/>
      <c r="O20" s="474"/>
      <c r="P20" s="474"/>
      <c r="Q20" s="474"/>
      <c r="R20" s="475"/>
      <c r="S20" s="545"/>
      <c r="T20" s="546"/>
      <c r="U20" s="404"/>
      <c r="V20" s="476"/>
      <c r="W20" s="476"/>
      <c r="X20" s="477"/>
      <c r="AA20" s="424"/>
      <c r="AB20" s="443"/>
      <c r="AC20" s="424"/>
      <c r="AD20" s="424"/>
      <c r="AE20" s="424"/>
      <c r="AF20" s="426"/>
      <c r="AG20" s="424"/>
      <c r="AH20" s="424"/>
      <c r="AI20" s="424"/>
      <c r="AJ20" s="426"/>
      <c r="AK20" s="427"/>
      <c r="AL20" s="428"/>
      <c r="AM20" s="366"/>
      <c r="AN20" s="366"/>
    </row>
    <row r="21" spans="1:49" ht="20.25" customHeight="1" x14ac:dyDescent="0.35">
      <c r="A21" s="366"/>
      <c r="B21" s="467"/>
      <c r="C21" s="365"/>
      <c r="D21" s="365"/>
      <c r="E21" s="468"/>
      <c r="F21" s="478"/>
      <c r="G21" s="470"/>
      <c r="H21" s="470"/>
      <c r="I21" s="471"/>
      <c r="J21" s="424"/>
      <c r="K21" s="424"/>
      <c r="L21" s="424"/>
      <c r="M21" s="424"/>
      <c r="N21" s="473"/>
      <c r="O21" s="474"/>
      <c r="P21" s="474"/>
      <c r="Q21" s="474"/>
      <c r="R21" s="475"/>
      <c r="S21" s="545"/>
      <c r="T21" s="546"/>
      <c r="U21" s="404"/>
      <c r="V21" s="476"/>
      <c r="W21" s="476"/>
      <c r="X21" s="477"/>
      <c r="AA21" s="424"/>
      <c r="AB21" s="443"/>
      <c r="AC21" s="424"/>
      <c r="AD21" s="424"/>
      <c r="AE21" s="424"/>
      <c r="AF21" s="426"/>
      <c r="AG21" s="424"/>
      <c r="AH21" s="424"/>
      <c r="AI21" s="424"/>
      <c r="AJ21" s="426"/>
      <c r="AK21" s="427"/>
      <c r="AL21" s="428"/>
      <c r="AM21" s="366"/>
      <c r="AN21" s="366"/>
    </row>
    <row r="22" spans="1:49" ht="20.25" customHeight="1" x14ac:dyDescent="0.35">
      <c r="A22" s="366"/>
      <c r="B22" s="467"/>
      <c r="C22" s="365"/>
      <c r="D22" s="365"/>
      <c r="E22" s="468"/>
      <c r="F22" s="478"/>
      <c r="G22" s="470"/>
      <c r="H22" s="470"/>
      <c r="I22" s="471"/>
      <c r="J22" s="424"/>
      <c r="K22" s="424"/>
      <c r="L22" s="424"/>
      <c r="M22" s="424"/>
      <c r="N22" s="473"/>
      <c r="O22" s="474"/>
      <c r="P22" s="474"/>
      <c r="Q22" s="474"/>
      <c r="R22" s="475"/>
      <c r="S22" s="545"/>
      <c r="T22" s="546"/>
      <c r="U22" s="404"/>
      <c r="V22" s="476"/>
      <c r="W22" s="476"/>
      <c r="X22" s="477"/>
      <c r="AA22" s="424"/>
      <c r="AB22" s="443"/>
      <c r="AC22" s="424"/>
      <c r="AD22" s="424"/>
      <c r="AE22" s="424"/>
      <c r="AF22" s="426"/>
      <c r="AG22" s="424"/>
      <c r="AH22" s="424"/>
      <c r="AI22" s="424"/>
      <c r="AJ22" s="426"/>
      <c r="AK22" s="427"/>
      <c r="AL22" s="428"/>
      <c r="AM22" s="366"/>
      <c r="AN22" s="366"/>
    </row>
    <row r="23" spans="1:49" ht="20.25" customHeight="1" x14ac:dyDescent="0.35">
      <c r="A23" s="366"/>
      <c r="B23" s="467"/>
      <c r="C23" s="365"/>
      <c r="D23" s="365"/>
      <c r="E23" s="468"/>
      <c r="F23" s="478"/>
      <c r="G23" s="470"/>
      <c r="H23" s="470"/>
      <c r="I23" s="471"/>
      <c r="J23" s="424"/>
      <c r="K23" s="424"/>
      <c r="L23" s="424"/>
      <c r="M23" s="424"/>
      <c r="N23" s="473"/>
      <c r="O23" s="474"/>
      <c r="P23" s="474"/>
      <c r="Q23" s="474"/>
      <c r="R23" s="475"/>
      <c r="S23" s="545"/>
      <c r="T23" s="546"/>
      <c r="U23" s="404"/>
      <c r="V23" s="476"/>
      <c r="W23" s="476"/>
      <c r="X23" s="477"/>
      <c r="AA23" s="424"/>
      <c r="AB23" s="443"/>
      <c r="AC23" s="424"/>
      <c r="AD23" s="424"/>
      <c r="AE23" s="424"/>
      <c r="AF23" s="426"/>
      <c r="AG23" s="424"/>
      <c r="AH23" s="424"/>
      <c r="AI23" s="424"/>
      <c r="AJ23" s="426"/>
      <c r="AK23" s="427"/>
      <c r="AL23" s="428"/>
      <c r="AM23" s="366"/>
      <c r="AN23" s="366"/>
    </row>
    <row r="24" spans="1:49" ht="20.25" customHeight="1" x14ac:dyDescent="0.35">
      <c r="A24" s="366"/>
      <c r="B24" s="467"/>
      <c r="C24" s="365"/>
      <c r="D24" s="365"/>
      <c r="E24" s="468"/>
      <c r="F24" s="478"/>
      <c r="G24" s="470"/>
      <c r="H24" s="470"/>
      <c r="I24" s="471"/>
      <c r="J24" s="424"/>
      <c r="K24" s="424"/>
      <c r="L24" s="424"/>
      <c r="M24" s="424"/>
      <c r="N24" s="473"/>
      <c r="O24" s="474"/>
      <c r="P24" s="474"/>
      <c r="Q24" s="474"/>
      <c r="R24" s="475"/>
      <c r="S24" s="545"/>
      <c r="T24" s="546"/>
      <c r="U24" s="404"/>
      <c r="V24" s="476"/>
      <c r="W24" s="476"/>
      <c r="X24" s="477"/>
      <c r="AA24" s="552"/>
      <c r="AB24" s="553"/>
      <c r="AC24" s="552"/>
      <c r="AD24" s="552"/>
      <c r="AE24" s="552"/>
      <c r="AF24" s="554"/>
      <c r="AG24" s="552"/>
      <c r="AH24" s="552"/>
      <c r="AI24" s="552"/>
      <c r="AJ24" s="554"/>
      <c r="AK24" s="555"/>
      <c r="AL24" s="556"/>
      <c r="AM24" s="366"/>
      <c r="AN24" s="366"/>
    </row>
    <row r="25" spans="1:49" s="466" customFormat="1" ht="20.25" customHeight="1" x14ac:dyDescent="0.35">
      <c r="A25" s="453"/>
      <c r="B25" s="479"/>
      <c r="C25" s="480"/>
      <c r="D25" s="480"/>
      <c r="E25" s="481"/>
      <c r="F25" s="482"/>
      <c r="G25" s="481"/>
      <c r="H25" s="481"/>
      <c r="I25" s="483"/>
      <c r="J25" s="484"/>
      <c r="K25" s="480"/>
      <c r="L25" s="480"/>
      <c r="M25" s="480"/>
      <c r="N25" s="485"/>
      <c r="O25" s="486"/>
      <c r="P25" s="486"/>
      <c r="Q25" s="486"/>
      <c r="R25" s="487"/>
      <c r="S25" s="487"/>
      <c r="T25" s="487"/>
      <c r="U25" s="404"/>
      <c r="V25" s="476"/>
      <c r="W25" s="476"/>
      <c r="X25" s="477"/>
      <c r="Y25" s="374"/>
      <c r="Z25" s="571"/>
      <c r="AA25" s="557"/>
      <c r="AB25" s="558"/>
      <c r="AC25" s="557"/>
      <c r="AD25" s="557"/>
      <c r="AE25" s="557"/>
      <c r="AF25" s="559"/>
      <c r="AG25" s="557"/>
      <c r="AH25" s="557"/>
      <c r="AI25" s="557"/>
      <c r="AJ25" s="559"/>
      <c r="AK25" s="560"/>
      <c r="AL25" s="561"/>
      <c r="AM25" s="400"/>
      <c r="AN25" s="400"/>
      <c r="AO25" s="465"/>
      <c r="AP25" s="465"/>
      <c r="AQ25" s="571"/>
      <c r="AR25" s="571"/>
      <c r="AS25" s="571"/>
      <c r="AT25" s="571"/>
      <c r="AU25" s="571"/>
      <c r="AV25" s="571"/>
      <c r="AW25" s="571"/>
    </row>
    <row r="26" spans="1:49" ht="20.25" customHeight="1" x14ac:dyDescent="0.35">
      <c r="A26" s="366"/>
      <c r="B26" s="467"/>
      <c r="C26" s="365"/>
      <c r="D26" s="365"/>
      <c r="E26" s="468"/>
      <c r="F26" s="478"/>
      <c r="G26" s="470"/>
      <c r="H26" s="470"/>
      <c r="I26" s="471"/>
      <c r="J26" s="424"/>
      <c r="K26" s="424"/>
      <c r="L26" s="424"/>
      <c r="M26" s="424"/>
      <c r="N26" s="473"/>
      <c r="O26" s="474"/>
      <c r="P26" s="474"/>
      <c r="Q26" s="474"/>
      <c r="R26" s="475"/>
      <c r="S26" s="545"/>
      <c r="T26" s="546"/>
      <c r="U26" s="404"/>
      <c r="V26" s="476"/>
      <c r="W26" s="476"/>
      <c r="X26" s="477"/>
      <c r="AA26" s="366"/>
      <c r="AB26" s="534"/>
      <c r="AC26" s="366"/>
      <c r="AD26" s="366"/>
      <c r="AE26" s="366"/>
      <c r="AF26" s="572"/>
      <c r="AG26" s="366"/>
      <c r="AH26" s="366"/>
      <c r="AI26" s="366"/>
      <c r="AJ26" s="572"/>
      <c r="AK26" s="547"/>
      <c r="AL26" s="548"/>
      <c r="AM26" s="366"/>
      <c r="AN26" s="366"/>
    </row>
    <row r="27" spans="1:49" ht="20.25" customHeight="1" x14ac:dyDescent="0.35">
      <c r="A27" s="366"/>
      <c r="B27" s="467"/>
      <c r="C27" s="365"/>
      <c r="D27" s="365"/>
      <c r="E27" s="468"/>
      <c r="F27" s="478"/>
      <c r="G27" s="470"/>
      <c r="H27" s="470"/>
      <c r="I27" s="471"/>
      <c r="J27" s="424"/>
      <c r="K27" s="424"/>
      <c r="L27" s="424"/>
      <c r="M27" s="424"/>
      <c r="N27" s="473"/>
      <c r="O27" s="474"/>
      <c r="P27" s="474"/>
      <c r="Q27" s="474"/>
      <c r="R27" s="475"/>
      <c r="S27" s="545"/>
      <c r="T27" s="546"/>
      <c r="U27" s="404"/>
      <c r="V27" s="476"/>
      <c r="W27" s="476"/>
      <c r="X27" s="477"/>
      <c r="AA27" s="366"/>
      <c r="AB27" s="534"/>
      <c r="AC27" s="366"/>
      <c r="AD27" s="366"/>
      <c r="AE27" s="366"/>
      <c r="AF27" s="572"/>
      <c r="AG27" s="366"/>
      <c r="AH27" s="366"/>
      <c r="AI27" s="366"/>
      <c r="AJ27" s="572"/>
      <c r="AK27" s="535"/>
      <c r="AL27" s="536"/>
      <c r="AM27" s="366"/>
      <c r="AN27" s="366"/>
    </row>
    <row r="28" spans="1:49" ht="20.25" customHeight="1" x14ac:dyDescent="0.35">
      <c r="A28" s="366"/>
      <c r="B28" s="467"/>
      <c r="C28" s="365"/>
      <c r="D28" s="365"/>
      <c r="E28" s="468"/>
      <c r="F28" s="478"/>
      <c r="G28" s="470"/>
      <c r="H28" s="470"/>
      <c r="I28" s="471"/>
      <c r="J28" s="424"/>
      <c r="K28" s="424"/>
      <c r="L28" s="424"/>
      <c r="M28" s="424"/>
      <c r="N28" s="473"/>
      <c r="O28" s="474"/>
      <c r="P28" s="474"/>
      <c r="Q28" s="474"/>
      <c r="R28" s="475"/>
      <c r="S28" s="545"/>
      <c r="T28" s="546"/>
      <c r="U28" s="404"/>
      <c r="V28" s="476"/>
      <c r="W28" s="476"/>
      <c r="X28" s="477"/>
      <c r="AA28" s="366"/>
      <c r="AB28" s="534"/>
      <c r="AC28" s="366"/>
      <c r="AD28" s="366"/>
      <c r="AE28" s="366"/>
      <c r="AF28" s="572"/>
      <c r="AG28" s="366"/>
      <c r="AH28" s="366"/>
      <c r="AI28" s="366"/>
      <c r="AJ28" s="572"/>
      <c r="AK28" s="535"/>
      <c r="AL28" s="536"/>
      <c r="AM28" s="366"/>
      <c r="AN28" s="366"/>
    </row>
    <row r="29" spans="1:49" ht="20.25" customHeight="1" x14ac:dyDescent="0.35">
      <c r="A29" s="366"/>
      <c r="B29" s="467"/>
      <c r="C29" s="365"/>
      <c r="D29" s="365"/>
      <c r="E29" s="468"/>
      <c r="F29" s="478"/>
      <c r="G29" s="470"/>
      <c r="H29" s="470"/>
      <c r="I29" s="471"/>
      <c r="J29" s="424"/>
      <c r="K29" s="424"/>
      <c r="L29" s="424"/>
      <c r="M29" s="424"/>
      <c r="N29" s="473"/>
      <c r="O29" s="474"/>
      <c r="P29" s="474"/>
      <c r="Q29" s="474"/>
      <c r="R29" s="475"/>
      <c r="S29" s="545"/>
      <c r="T29" s="546"/>
      <c r="U29" s="404"/>
      <c r="V29" s="476"/>
      <c r="W29" s="476"/>
      <c r="X29" s="477"/>
      <c r="AA29" s="366"/>
      <c r="AB29" s="534"/>
      <c r="AC29" s="366"/>
      <c r="AD29" s="366"/>
      <c r="AE29" s="366"/>
      <c r="AF29" s="572"/>
      <c r="AG29" s="366"/>
      <c r="AH29" s="366"/>
      <c r="AI29" s="366"/>
      <c r="AJ29" s="572"/>
      <c r="AK29" s="535"/>
      <c r="AL29" s="536"/>
      <c r="AM29" s="366"/>
      <c r="AN29" s="366"/>
    </row>
    <row r="30" spans="1:49" ht="20.25" customHeight="1" x14ac:dyDescent="0.35">
      <c r="A30" s="366"/>
      <c r="B30" s="467"/>
      <c r="C30" s="365"/>
      <c r="D30" s="365"/>
      <c r="E30" s="468"/>
      <c r="F30" s="478"/>
      <c r="G30" s="470"/>
      <c r="H30" s="470"/>
      <c r="I30" s="471"/>
      <c r="J30" s="424"/>
      <c r="K30" s="424"/>
      <c r="L30" s="424"/>
      <c r="M30" s="424"/>
      <c r="N30" s="473"/>
      <c r="O30" s="474"/>
      <c r="P30" s="474"/>
      <c r="Q30" s="474"/>
      <c r="R30" s="475"/>
      <c r="S30" s="545"/>
      <c r="T30" s="546"/>
      <c r="U30" s="404"/>
      <c r="V30" s="476"/>
      <c r="W30" s="476"/>
      <c r="X30" s="477"/>
      <c r="AA30" s="366"/>
      <c r="AB30" s="534"/>
      <c r="AC30" s="366"/>
      <c r="AD30" s="366"/>
      <c r="AE30" s="366"/>
      <c r="AF30" s="572"/>
      <c r="AG30" s="366"/>
      <c r="AH30" s="366"/>
      <c r="AI30" s="366"/>
      <c r="AJ30" s="572"/>
      <c r="AK30" s="535"/>
      <c r="AL30" s="536"/>
      <c r="AM30" s="366"/>
      <c r="AN30" s="366"/>
    </row>
    <row r="31" spans="1:49" ht="20.25" customHeight="1" x14ac:dyDescent="0.35">
      <c r="A31" s="366"/>
      <c r="B31" s="467"/>
      <c r="C31" s="365"/>
      <c r="D31" s="365"/>
      <c r="E31" s="468"/>
      <c r="F31" s="478"/>
      <c r="G31" s="470"/>
      <c r="H31" s="470"/>
      <c r="I31" s="471"/>
      <c r="J31" s="424"/>
      <c r="K31" s="424"/>
      <c r="L31" s="424"/>
      <c r="M31" s="424"/>
      <c r="N31" s="473"/>
      <c r="O31" s="474"/>
      <c r="P31" s="474"/>
      <c r="Q31" s="474"/>
      <c r="R31" s="475"/>
      <c r="S31" s="545"/>
      <c r="T31" s="546"/>
      <c r="U31" s="404"/>
      <c r="V31" s="476"/>
      <c r="W31" s="476"/>
      <c r="X31" s="477"/>
      <c r="AA31" s="366"/>
      <c r="AB31" s="534"/>
      <c r="AC31" s="366"/>
      <c r="AD31" s="366"/>
      <c r="AE31" s="366"/>
      <c r="AF31" s="572"/>
      <c r="AG31" s="366"/>
      <c r="AH31" s="366"/>
      <c r="AI31" s="366"/>
      <c r="AJ31" s="572"/>
      <c r="AK31" s="535"/>
      <c r="AL31" s="536"/>
      <c r="AM31" s="366"/>
      <c r="AN31" s="366"/>
    </row>
    <row r="32" spans="1:49" ht="20.25" customHeight="1" x14ac:dyDescent="0.35">
      <c r="A32" s="366"/>
      <c r="B32" s="467"/>
      <c r="C32" s="365"/>
      <c r="D32" s="365"/>
      <c r="E32" s="468"/>
      <c r="F32" s="478"/>
      <c r="G32" s="470"/>
      <c r="H32" s="470"/>
      <c r="I32" s="471"/>
      <c r="J32" s="424"/>
      <c r="K32" s="424"/>
      <c r="L32" s="424"/>
      <c r="M32" s="424"/>
      <c r="N32" s="473"/>
      <c r="O32" s="474"/>
      <c r="P32" s="474"/>
      <c r="Q32" s="474"/>
      <c r="R32" s="475"/>
      <c r="S32" s="545"/>
      <c r="T32" s="546"/>
      <c r="U32" s="404"/>
      <c r="V32" s="476"/>
      <c r="W32" s="476"/>
      <c r="X32" s="477"/>
      <c r="AA32" s="366"/>
      <c r="AB32" s="534"/>
      <c r="AC32" s="366"/>
      <c r="AD32" s="366"/>
      <c r="AE32" s="366"/>
      <c r="AF32" s="572"/>
      <c r="AG32" s="366"/>
      <c r="AH32" s="366"/>
      <c r="AI32" s="366"/>
      <c r="AJ32" s="572"/>
      <c r="AK32" s="535"/>
      <c r="AL32" s="536"/>
      <c r="AM32" s="366"/>
      <c r="AN32" s="366"/>
    </row>
    <row r="33" spans="1:40" ht="20.25" customHeight="1" x14ac:dyDescent="0.35">
      <c r="A33" s="366"/>
      <c r="B33" s="467"/>
      <c r="C33" s="365"/>
      <c r="D33" s="365"/>
      <c r="E33" s="468"/>
      <c r="F33" s="478"/>
      <c r="G33" s="470"/>
      <c r="H33" s="470"/>
      <c r="I33" s="471"/>
      <c r="J33" s="424"/>
      <c r="K33" s="424"/>
      <c r="L33" s="424"/>
      <c r="M33" s="424"/>
      <c r="N33" s="473"/>
      <c r="O33" s="474"/>
      <c r="P33" s="474"/>
      <c r="Q33" s="474"/>
      <c r="R33" s="475"/>
      <c r="S33" s="545"/>
      <c r="T33" s="546"/>
      <c r="U33" s="404"/>
      <c r="V33" s="476"/>
      <c r="W33" s="476"/>
      <c r="X33" s="477"/>
      <c r="AA33" s="366"/>
      <c r="AB33" s="534"/>
      <c r="AC33" s="366"/>
      <c r="AD33" s="366"/>
      <c r="AE33" s="366"/>
      <c r="AF33" s="572"/>
      <c r="AG33" s="366"/>
      <c r="AH33" s="366"/>
      <c r="AI33" s="366"/>
      <c r="AJ33" s="572"/>
      <c r="AK33" s="535"/>
      <c r="AL33" s="536"/>
      <c r="AM33" s="366"/>
      <c r="AN33" s="366"/>
    </row>
    <row r="34" spans="1:40" ht="20.25" customHeight="1" x14ac:dyDescent="0.35">
      <c r="A34" s="366"/>
      <c r="B34" s="467"/>
      <c r="C34" s="365"/>
      <c r="D34" s="365"/>
      <c r="E34" s="468"/>
      <c r="F34" s="478"/>
      <c r="G34" s="470"/>
      <c r="H34" s="470"/>
      <c r="I34" s="471"/>
      <c r="J34" s="424"/>
      <c r="K34" s="424"/>
      <c r="L34" s="424"/>
      <c r="M34" s="424"/>
      <c r="N34" s="473"/>
      <c r="O34" s="474"/>
      <c r="P34" s="474"/>
      <c r="Q34" s="474"/>
      <c r="R34" s="475"/>
      <c r="S34" s="545"/>
      <c r="T34" s="546"/>
      <c r="U34" s="404"/>
      <c r="V34" s="476"/>
      <c r="W34" s="476"/>
      <c r="X34" s="477"/>
      <c r="AA34" s="366"/>
      <c r="AB34" s="534"/>
      <c r="AC34" s="366"/>
      <c r="AD34" s="366"/>
      <c r="AE34" s="366"/>
      <c r="AF34" s="572"/>
      <c r="AG34" s="366"/>
      <c r="AH34" s="366"/>
      <c r="AI34" s="366"/>
      <c r="AJ34" s="572"/>
      <c r="AK34" s="535"/>
      <c r="AL34" s="536"/>
      <c r="AM34" s="366"/>
      <c r="AN34" s="366"/>
    </row>
    <row r="35" spans="1:40" ht="20.25" customHeight="1" x14ac:dyDescent="0.35">
      <c r="A35" s="366"/>
      <c r="B35" s="467"/>
      <c r="C35" s="365"/>
      <c r="D35" s="365"/>
      <c r="E35" s="468"/>
      <c r="F35" s="478"/>
      <c r="G35" s="470"/>
      <c r="H35" s="470"/>
      <c r="I35" s="471"/>
      <c r="J35" s="424"/>
      <c r="K35" s="424"/>
      <c r="L35" s="424"/>
      <c r="M35" s="424"/>
      <c r="N35" s="473"/>
      <c r="O35" s="474"/>
      <c r="P35" s="474"/>
      <c r="Q35" s="474"/>
      <c r="R35" s="475"/>
      <c r="S35" s="545"/>
      <c r="T35" s="546"/>
      <c r="U35" s="404"/>
      <c r="V35" s="476"/>
      <c r="W35" s="476"/>
      <c r="X35" s="477"/>
      <c r="AA35" s="366"/>
      <c r="AB35" s="534"/>
      <c r="AC35" s="366"/>
      <c r="AD35" s="366"/>
      <c r="AE35" s="366"/>
      <c r="AF35" s="572"/>
      <c r="AG35" s="366"/>
      <c r="AH35" s="366"/>
      <c r="AI35" s="366"/>
      <c r="AJ35" s="572"/>
      <c r="AK35" s="535"/>
      <c r="AL35" s="536"/>
      <c r="AM35" s="366"/>
      <c r="AN35" s="366"/>
    </row>
    <row r="36" spans="1:40" ht="20.25" customHeight="1" x14ac:dyDescent="0.35">
      <c r="A36" s="366"/>
      <c r="B36" s="467"/>
      <c r="C36" s="365"/>
      <c r="D36" s="365"/>
      <c r="E36" s="468"/>
      <c r="F36" s="478"/>
      <c r="G36" s="470"/>
      <c r="H36" s="470"/>
      <c r="I36" s="471"/>
      <c r="J36" s="424"/>
      <c r="K36" s="424"/>
      <c r="L36" s="424"/>
      <c r="M36" s="424"/>
      <c r="N36" s="473"/>
      <c r="O36" s="474"/>
      <c r="P36" s="474"/>
      <c r="Q36" s="474"/>
      <c r="R36" s="475"/>
      <c r="S36" s="545"/>
      <c r="T36" s="546"/>
      <c r="U36" s="404"/>
      <c r="V36" s="476"/>
      <c r="W36" s="476"/>
      <c r="X36" s="477"/>
      <c r="AA36" s="366"/>
      <c r="AB36" s="534"/>
      <c r="AC36" s="366"/>
      <c r="AD36" s="366"/>
      <c r="AE36" s="366"/>
      <c r="AF36" s="572"/>
      <c r="AG36" s="366"/>
      <c r="AH36" s="366"/>
      <c r="AI36" s="366"/>
      <c r="AJ36" s="572"/>
      <c r="AK36" s="535"/>
      <c r="AL36" s="536"/>
      <c r="AM36" s="366"/>
      <c r="AN36" s="366"/>
    </row>
    <row r="37" spans="1:40" ht="20.25" customHeight="1" x14ac:dyDescent="0.35">
      <c r="A37" s="366"/>
      <c r="B37" s="467"/>
      <c r="C37" s="365"/>
      <c r="D37" s="365"/>
      <c r="E37" s="468"/>
      <c r="F37" s="478"/>
      <c r="G37" s="470"/>
      <c r="H37" s="470"/>
      <c r="I37" s="471"/>
      <c r="J37" s="424"/>
      <c r="K37" s="424"/>
      <c r="L37" s="424"/>
      <c r="M37" s="424"/>
      <c r="N37" s="473"/>
      <c r="O37" s="474"/>
      <c r="P37" s="474"/>
      <c r="Q37" s="474"/>
      <c r="R37" s="475"/>
      <c r="S37" s="545"/>
      <c r="T37" s="546"/>
      <c r="U37" s="404"/>
      <c r="V37" s="476"/>
      <c r="W37" s="476"/>
      <c r="X37" s="477"/>
      <c r="AA37" s="366"/>
      <c r="AB37" s="534"/>
      <c r="AC37" s="366"/>
      <c r="AD37" s="366"/>
      <c r="AE37" s="366"/>
      <c r="AF37" s="572"/>
      <c r="AG37" s="366"/>
      <c r="AH37" s="366"/>
      <c r="AI37" s="366"/>
      <c r="AJ37" s="572"/>
      <c r="AK37" s="535"/>
      <c r="AL37" s="536"/>
      <c r="AM37" s="366"/>
      <c r="AN37" s="366"/>
    </row>
    <row r="38" spans="1:40" ht="20.25" customHeight="1" x14ac:dyDescent="0.35">
      <c r="A38" s="366"/>
      <c r="B38" s="467"/>
      <c r="C38" s="365"/>
      <c r="D38" s="365"/>
      <c r="E38" s="468"/>
      <c r="F38" s="478"/>
      <c r="G38" s="470"/>
      <c r="H38" s="470"/>
      <c r="I38" s="471"/>
      <c r="J38" s="424"/>
      <c r="K38" s="424"/>
      <c r="L38" s="424"/>
      <c r="M38" s="424"/>
      <c r="N38" s="473"/>
      <c r="O38" s="474"/>
      <c r="P38" s="474"/>
      <c r="Q38" s="474"/>
      <c r="R38" s="475"/>
      <c r="S38" s="545"/>
      <c r="T38" s="546"/>
      <c r="U38" s="404"/>
      <c r="V38" s="476"/>
      <c r="W38" s="476"/>
      <c r="X38" s="477"/>
      <c r="AA38" s="366"/>
      <c r="AB38" s="534"/>
      <c r="AC38" s="366"/>
      <c r="AD38" s="366"/>
      <c r="AE38" s="366"/>
      <c r="AF38" s="572"/>
      <c r="AG38" s="366"/>
      <c r="AH38" s="366"/>
      <c r="AI38" s="366"/>
      <c r="AJ38" s="572"/>
      <c r="AK38" s="535"/>
      <c r="AL38" s="536"/>
      <c r="AM38" s="366"/>
      <c r="AN38" s="366"/>
    </row>
    <row r="39" spans="1:40" ht="20.25" customHeight="1" x14ac:dyDescent="0.35">
      <c r="A39" s="366"/>
      <c r="B39" s="467"/>
      <c r="C39" s="365"/>
      <c r="D39" s="365"/>
      <c r="E39" s="468"/>
      <c r="F39" s="478"/>
      <c r="G39" s="470"/>
      <c r="H39" s="470"/>
      <c r="I39" s="471"/>
      <c r="J39" s="424"/>
      <c r="K39" s="424"/>
      <c r="L39" s="424"/>
      <c r="M39" s="424"/>
      <c r="N39" s="473"/>
      <c r="O39" s="474"/>
      <c r="P39" s="474"/>
      <c r="Q39" s="474"/>
      <c r="R39" s="475"/>
      <c r="S39" s="545"/>
      <c r="T39" s="546"/>
      <c r="U39" s="404"/>
      <c r="V39" s="476"/>
      <c r="W39" s="476"/>
      <c r="X39" s="477"/>
      <c r="AA39" s="366"/>
      <c r="AB39" s="534"/>
      <c r="AC39" s="366"/>
      <c r="AD39" s="366"/>
      <c r="AE39" s="366"/>
      <c r="AF39" s="572"/>
      <c r="AG39" s="366"/>
      <c r="AH39" s="366"/>
      <c r="AI39" s="366"/>
      <c r="AJ39" s="572"/>
      <c r="AK39" s="535"/>
      <c r="AL39" s="536"/>
      <c r="AM39" s="366"/>
      <c r="AN39" s="366"/>
    </row>
    <row r="40" spans="1:40" ht="20.25" customHeight="1" x14ac:dyDescent="0.35">
      <c r="A40" s="366"/>
      <c r="B40" s="467"/>
      <c r="C40" s="365"/>
      <c r="D40" s="365"/>
      <c r="E40" s="468"/>
      <c r="F40" s="478"/>
      <c r="G40" s="470"/>
      <c r="H40" s="470"/>
      <c r="I40" s="471"/>
      <c r="J40" s="424"/>
      <c r="K40" s="424"/>
      <c r="L40" s="424"/>
      <c r="M40" s="424"/>
      <c r="N40" s="473"/>
      <c r="O40" s="474"/>
      <c r="P40" s="474"/>
      <c r="Q40" s="474"/>
      <c r="R40" s="475"/>
      <c r="S40" s="545"/>
      <c r="T40" s="546"/>
      <c r="U40" s="404"/>
      <c r="V40" s="476"/>
      <c r="W40" s="476"/>
      <c r="X40" s="477"/>
      <c r="Y40" s="488"/>
      <c r="AA40" s="366"/>
      <c r="AB40" s="534"/>
      <c r="AC40" s="366"/>
      <c r="AD40" s="366"/>
      <c r="AE40" s="366"/>
      <c r="AF40" s="572"/>
      <c r="AG40" s="366"/>
      <c r="AH40" s="366"/>
      <c r="AI40" s="366"/>
      <c r="AJ40" s="572"/>
      <c r="AK40" s="535"/>
      <c r="AL40" s="536"/>
      <c r="AM40" s="366"/>
      <c r="AN40" s="366"/>
    </row>
    <row r="41" spans="1:40" ht="20.25" customHeight="1" x14ac:dyDescent="0.35">
      <c r="A41" s="366"/>
      <c r="B41" s="479"/>
      <c r="C41" s="484"/>
      <c r="D41" s="484"/>
      <c r="E41" s="489"/>
      <c r="F41" s="490"/>
      <c r="G41" s="489"/>
      <c r="H41" s="489"/>
      <c r="I41" s="489"/>
      <c r="J41" s="484"/>
      <c r="K41" s="480"/>
      <c r="L41" s="480"/>
      <c r="M41" s="480"/>
      <c r="N41" s="491"/>
      <c r="O41" s="492"/>
      <c r="P41" s="492"/>
      <c r="Q41" s="492"/>
      <c r="R41" s="493"/>
      <c r="S41" s="493"/>
      <c r="T41" s="493"/>
      <c r="U41" s="404"/>
      <c r="V41" s="476"/>
      <c r="W41" s="476"/>
      <c r="X41" s="477"/>
      <c r="AA41" s="366"/>
      <c r="AB41" s="534"/>
      <c r="AC41" s="366"/>
      <c r="AD41" s="366"/>
      <c r="AE41" s="366"/>
      <c r="AF41" s="572"/>
      <c r="AG41" s="366"/>
      <c r="AH41" s="366"/>
      <c r="AI41" s="366"/>
      <c r="AJ41" s="572"/>
      <c r="AK41" s="535"/>
      <c r="AL41" s="536"/>
      <c r="AM41" s="366"/>
      <c r="AN41" s="366"/>
    </row>
    <row r="42" spans="1:40" ht="20.25" customHeight="1" x14ac:dyDescent="0.35">
      <c r="A42" s="366"/>
      <c r="B42" s="467"/>
      <c r="C42" s="365"/>
      <c r="D42" s="365"/>
      <c r="E42" s="468"/>
      <c r="F42" s="478"/>
      <c r="G42" s="470"/>
      <c r="H42" s="494"/>
      <c r="I42" s="471"/>
      <c r="J42" s="424"/>
      <c r="K42" s="495"/>
      <c r="L42" s="495"/>
      <c r="M42" s="495"/>
      <c r="N42" s="496"/>
      <c r="O42" s="497"/>
      <c r="P42" s="497"/>
      <c r="Q42" s="497"/>
      <c r="R42" s="498"/>
      <c r="S42" s="545"/>
      <c r="T42" s="546"/>
      <c r="U42" s="404"/>
      <c r="V42" s="476"/>
      <c r="W42" s="476"/>
      <c r="X42" s="477"/>
      <c r="AA42" s="366"/>
      <c r="AB42" s="534"/>
      <c r="AC42" s="366"/>
      <c r="AD42" s="366"/>
      <c r="AE42" s="366"/>
      <c r="AF42" s="572"/>
      <c r="AG42" s="366"/>
      <c r="AH42" s="366"/>
      <c r="AI42" s="366"/>
      <c r="AJ42" s="572"/>
      <c r="AK42" s="535"/>
      <c r="AL42" s="536"/>
      <c r="AM42" s="366"/>
      <c r="AN42" s="366"/>
    </row>
    <row r="43" spans="1:40" ht="20.25" customHeight="1" x14ac:dyDescent="0.35">
      <c r="A43" s="366"/>
      <c r="B43" s="467"/>
      <c r="C43" s="365"/>
      <c r="D43" s="365"/>
      <c r="E43" s="468"/>
      <c r="F43" s="478"/>
      <c r="G43" s="470"/>
      <c r="H43" s="494"/>
      <c r="I43" s="471"/>
      <c r="J43" s="424"/>
      <c r="K43" s="495"/>
      <c r="L43" s="495"/>
      <c r="M43" s="495"/>
      <c r="N43" s="496"/>
      <c r="O43" s="497"/>
      <c r="P43" s="497"/>
      <c r="Q43" s="497"/>
      <c r="R43" s="498"/>
      <c r="S43" s="545"/>
      <c r="T43" s="546"/>
      <c r="U43" s="404"/>
      <c r="V43" s="476"/>
      <c r="W43" s="476"/>
      <c r="X43" s="477"/>
      <c r="AC43" s="366"/>
      <c r="AD43" s="366"/>
      <c r="AE43" s="366"/>
      <c r="AF43" s="366"/>
      <c r="AG43" s="366"/>
      <c r="AH43" s="366"/>
      <c r="AI43" s="366"/>
      <c r="AJ43" s="366"/>
      <c r="AM43" s="366"/>
      <c r="AN43" s="366"/>
    </row>
    <row r="44" spans="1:40" ht="20.25" customHeight="1" x14ac:dyDescent="0.35">
      <c r="A44" s="366"/>
      <c r="B44" s="467"/>
      <c r="C44" s="365"/>
      <c r="D44" s="365"/>
      <c r="E44" s="468"/>
      <c r="F44" s="478"/>
      <c r="G44" s="470"/>
      <c r="H44" s="494"/>
      <c r="I44" s="471"/>
      <c r="J44" s="424"/>
      <c r="K44" s="495"/>
      <c r="L44" s="495"/>
      <c r="M44" s="495"/>
      <c r="N44" s="496"/>
      <c r="O44" s="497"/>
      <c r="P44" s="497"/>
      <c r="Q44" s="497"/>
      <c r="R44" s="498"/>
      <c r="S44" s="545"/>
      <c r="T44" s="546"/>
      <c r="U44" s="404"/>
      <c r="V44" s="476"/>
      <c r="W44" s="476"/>
      <c r="X44" s="477"/>
      <c r="AC44" s="366"/>
      <c r="AD44" s="366"/>
      <c r="AE44" s="366"/>
      <c r="AF44" s="366"/>
      <c r="AG44" s="366"/>
      <c r="AH44" s="366"/>
      <c r="AI44" s="366"/>
      <c r="AJ44" s="366"/>
      <c r="AM44" s="366"/>
      <c r="AN44" s="366"/>
    </row>
    <row r="45" spans="1:40" ht="20.25" customHeight="1" x14ac:dyDescent="0.35">
      <c r="A45" s="366"/>
      <c r="B45" s="467"/>
      <c r="C45" s="365"/>
      <c r="D45" s="365"/>
      <c r="E45" s="468"/>
      <c r="F45" s="478"/>
      <c r="G45" s="470"/>
      <c r="H45" s="494"/>
      <c r="I45" s="471"/>
      <c r="J45" s="424"/>
      <c r="K45" s="495"/>
      <c r="L45" s="495"/>
      <c r="M45" s="495"/>
      <c r="N45" s="496"/>
      <c r="O45" s="497"/>
      <c r="P45" s="497"/>
      <c r="Q45" s="497"/>
      <c r="R45" s="498"/>
      <c r="S45" s="545"/>
      <c r="T45" s="546"/>
      <c r="U45" s="404"/>
      <c r="V45" s="476"/>
      <c r="W45" s="476"/>
      <c r="X45" s="477"/>
      <c r="AC45" s="366"/>
      <c r="AD45" s="366"/>
      <c r="AE45" s="366"/>
      <c r="AF45" s="366"/>
      <c r="AG45" s="366"/>
      <c r="AH45" s="366"/>
      <c r="AI45" s="366"/>
      <c r="AJ45" s="366"/>
      <c r="AM45" s="366"/>
      <c r="AN45" s="366"/>
    </row>
    <row r="46" spans="1:40" ht="20.25" customHeight="1" x14ac:dyDescent="0.35">
      <c r="A46" s="366"/>
      <c r="B46" s="467"/>
      <c r="C46" s="365"/>
      <c r="D46" s="365"/>
      <c r="E46" s="468"/>
      <c r="F46" s="478"/>
      <c r="G46" s="470"/>
      <c r="H46" s="494"/>
      <c r="I46" s="471"/>
      <c r="J46" s="424"/>
      <c r="K46" s="495"/>
      <c r="L46" s="495"/>
      <c r="M46" s="495"/>
      <c r="N46" s="496"/>
      <c r="O46" s="497"/>
      <c r="P46" s="497"/>
      <c r="Q46" s="497"/>
      <c r="R46" s="498"/>
      <c r="S46" s="545"/>
      <c r="T46" s="546"/>
      <c r="U46" s="404"/>
      <c r="V46" s="476"/>
      <c r="W46" s="476"/>
      <c r="X46" s="477"/>
      <c r="AC46" s="366"/>
      <c r="AD46" s="366"/>
      <c r="AE46" s="366"/>
      <c r="AF46" s="366"/>
      <c r="AG46" s="366"/>
      <c r="AH46" s="366"/>
      <c r="AI46" s="366"/>
      <c r="AJ46" s="366"/>
      <c r="AM46" s="366"/>
      <c r="AN46" s="366"/>
    </row>
    <row r="47" spans="1:40" ht="20.25" customHeight="1" x14ac:dyDescent="0.35">
      <c r="A47" s="366"/>
      <c r="B47" s="467"/>
      <c r="C47" s="365"/>
      <c r="D47" s="365"/>
      <c r="E47" s="468"/>
      <c r="F47" s="478"/>
      <c r="G47" s="470"/>
      <c r="H47" s="494"/>
      <c r="I47" s="471"/>
      <c r="J47" s="424"/>
      <c r="K47" s="495"/>
      <c r="L47" s="495"/>
      <c r="M47" s="495"/>
      <c r="N47" s="496"/>
      <c r="O47" s="497"/>
      <c r="P47" s="497"/>
      <c r="Q47" s="497"/>
      <c r="R47" s="498"/>
      <c r="S47" s="545"/>
      <c r="T47" s="546"/>
      <c r="U47" s="404"/>
      <c r="V47" s="476"/>
      <c r="W47" s="476"/>
      <c r="X47" s="477"/>
      <c r="AC47" s="366"/>
      <c r="AD47" s="366"/>
      <c r="AE47" s="366"/>
      <c r="AF47" s="366"/>
      <c r="AG47" s="366"/>
      <c r="AH47" s="366"/>
      <c r="AI47" s="366"/>
      <c r="AJ47" s="366"/>
      <c r="AM47" s="366"/>
      <c r="AN47" s="366"/>
    </row>
    <row r="48" spans="1:40" ht="20.25" customHeight="1" x14ac:dyDescent="0.35">
      <c r="A48" s="366"/>
      <c r="B48" s="467"/>
      <c r="C48" s="365"/>
      <c r="D48" s="365"/>
      <c r="E48" s="468"/>
      <c r="F48" s="478"/>
      <c r="G48" s="470"/>
      <c r="H48" s="494"/>
      <c r="I48" s="471"/>
      <c r="J48" s="424"/>
      <c r="K48" s="495"/>
      <c r="L48" s="495"/>
      <c r="M48" s="495"/>
      <c r="N48" s="496"/>
      <c r="O48" s="497"/>
      <c r="P48" s="497"/>
      <c r="Q48" s="497"/>
      <c r="R48" s="498"/>
      <c r="S48" s="545"/>
      <c r="T48" s="546"/>
      <c r="U48" s="404"/>
      <c r="V48" s="476"/>
      <c r="W48" s="476"/>
      <c r="X48" s="477"/>
      <c r="AC48" s="366"/>
      <c r="AD48" s="366"/>
      <c r="AE48" s="366"/>
      <c r="AF48" s="366"/>
      <c r="AG48" s="366"/>
      <c r="AH48" s="366"/>
      <c r="AI48" s="366"/>
      <c r="AJ48" s="366"/>
      <c r="AM48" s="366"/>
      <c r="AN48" s="366"/>
    </row>
    <row r="49" spans="1:40" ht="20.25" customHeight="1" x14ac:dyDescent="0.35">
      <c r="A49" s="366"/>
      <c r="B49" s="467"/>
      <c r="C49" s="365"/>
      <c r="D49" s="365"/>
      <c r="E49" s="468"/>
      <c r="F49" s="478"/>
      <c r="G49" s="470"/>
      <c r="H49" s="494"/>
      <c r="I49" s="471"/>
      <c r="J49" s="424"/>
      <c r="K49" s="495"/>
      <c r="L49" s="495"/>
      <c r="M49" s="495"/>
      <c r="N49" s="496"/>
      <c r="O49" s="497"/>
      <c r="P49" s="497"/>
      <c r="Q49" s="497"/>
      <c r="R49" s="498"/>
      <c r="S49" s="545"/>
      <c r="T49" s="546"/>
      <c r="U49" s="404"/>
      <c r="V49" s="476"/>
      <c r="W49" s="476"/>
      <c r="X49" s="477"/>
      <c r="AC49" s="366"/>
      <c r="AD49" s="366"/>
      <c r="AE49" s="366"/>
      <c r="AF49" s="366"/>
      <c r="AG49" s="366"/>
      <c r="AH49" s="366"/>
      <c r="AI49" s="366"/>
      <c r="AJ49" s="366"/>
      <c r="AM49" s="366"/>
      <c r="AN49" s="366"/>
    </row>
    <row r="50" spans="1:40" ht="20.25" customHeight="1" x14ac:dyDescent="0.35">
      <c r="A50" s="366"/>
      <c r="B50" s="467"/>
      <c r="C50" s="365"/>
      <c r="D50" s="365"/>
      <c r="E50" s="468"/>
      <c r="F50" s="478"/>
      <c r="G50" s="470"/>
      <c r="H50" s="494"/>
      <c r="I50" s="471"/>
      <c r="J50" s="424"/>
      <c r="K50" s="495"/>
      <c r="L50" s="495"/>
      <c r="M50" s="495"/>
      <c r="N50" s="496"/>
      <c r="O50" s="497"/>
      <c r="P50" s="497"/>
      <c r="Q50" s="497"/>
      <c r="R50" s="498"/>
      <c r="S50" s="545"/>
      <c r="T50" s="546"/>
      <c r="U50" s="404"/>
      <c r="V50" s="476"/>
      <c r="W50" s="476"/>
      <c r="X50" s="477"/>
      <c r="AC50" s="366"/>
      <c r="AD50" s="366"/>
      <c r="AE50" s="366"/>
      <c r="AF50" s="366"/>
      <c r="AG50" s="366"/>
      <c r="AH50" s="366"/>
      <c r="AI50" s="366"/>
      <c r="AJ50" s="366"/>
      <c r="AM50" s="366"/>
      <c r="AN50" s="366"/>
    </row>
    <row r="51" spans="1:40" ht="20.25" customHeight="1" x14ac:dyDescent="0.35">
      <c r="A51" s="366"/>
      <c r="B51" s="467"/>
      <c r="C51" s="365"/>
      <c r="D51" s="365"/>
      <c r="E51" s="468"/>
      <c r="F51" s="478"/>
      <c r="G51" s="470"/>
      <c r="H51" s="494"/>
      <c r="I51" s="471"/>
      <c r="J51" s="424"/>
      <c r="K51" s="495"/>
      <c r="L51" s="495"/>
      <c r="M51" s="495"/>
      <c r="N51" s="496"/>
      <c r="O51" s="497"/>
      <c r="P51" s="497"/>
      <c r="Q51" s="497"/>
      <c r="R51" s="498"/>
      <c r="S51" s="545"/>
      <c r="T51" s="546"/>
      <c r="U51" s="404"/>
      <c r="V51" s="476"/>
      <c r="W51" s="476"/>
      <c r="X51" s="477"/>
      <c r="AC51" s="366"/>
      <c r="AD51" s="366"/>
      <c r="AE51" s="366"/>
      <c r="AF51" s="366"/>
      <c r="AG51" s="366"/>
      <c r="AH51" s="366"/>
      <c r="AI51" s="366"/>
      <c r="AJ51" s="366"/>
      <c r="AM51" s="366"/>
      <c r="AN51" s="366"/>
    </row>
    <row r="52" spans="1:40" ht="20.25" customHeight="1" x14ac:dyDescent="0.35">
      <c r="A52" s="366"/>
      <c r="B52" s="467"/>
      <c r="C52" s="365"/>
      <c r="D52" s="365"/>
      <c r="E52" s="468"/>
      <c r="F52" s="478"/>
      <c r="G52" s="470"/>
      <c r="H52" s="494"/>
      <c r="I52" s="471"/>
      <c r="J52" s="424"/>
      <c r="K52" s="495"/>
      <c r="L52" s="495"/>
      <c r="M52" s="495"/>
      <c r="N52" s="496"/>
      <c r="O52" s="497"/>
      <c r="P52" s="497"/>
      <c r="Q52" s="497"/>
      <c r="R52" s="498"/>
      <c r="S52" s="545"/>
      <c r="T52" s="546"/>
      <c r="U52" s="404"/>
      <c r="V52" s="476"/>
      <c r="W52" s="476"/>
      <c r="X52" s="477"/>
      <c r="AC52" s="366"/>
      <c r="AD52" s="366"/>
      <c r="AE52" s="366"/>
      <c r="AF52" s="366"/>
      <c r="AG52" s="366"/>
      <c r="AH52" s="366"/>
      <c r="AI52" s="366"/>
      <c r="AJ52" s="366"/>
      <c r="AM52" s="366"/>
      <c r="AN52" s="366"/>
    </row>
    <row r="53" spans="1:40" ht="20.25" customHeight="1" x14ac:dyDescent="0.35">
      <c r="A53" s="366"/>
      <c r="B53" s="467"/>
      <c r="C53" s="365"/>
      <c r="D53" s="365"/>
      <c r="E53" s="468"/>
      <c r="F53" s="478"/>
      <c r="G53" s="470"/>
      <c r="H53" s="494"/>
      <c r="I53" s="471"/>
      <c r="J53" s="424"/>
      <c r="K53" s="495"/>
      <c r="L53" s="495"/>
      <c r="M53" s="495"/>
      <c r="N53" s="496"/>
      <c r="O53" s="497"/>
      <c r="P53" s="497"/>
      <c r="Q53" s="497"/>
      <c r="R53" s="498"/>
      <c r="S53" s="545"/>
      <c r="T53" s="546"/>
      <c r="U53" s="404"/>
      <c r="V53" s="476"/>
      <c r="W53" s="476"/>
      <c r="X53" s="477"/>
      <c r="AA53" s="366"/>
      <c r="AB53" s="503"/>
      <c r="AC53" s="366"/>
      <c r="AD53" s="366"/>
      <c r="AE53" s="366"/>
      <c r="AF53" s="366"/>
      <c r="AG53" s="366"/>
      <c r="AH53" s="366"/>
      <c r="AI53" s="366"/>
      <c r="AJ53" s="366"/>
      <c r="AM53" s="366"/>
      <c r="AN53" s="366"/>
    </row>
    <row r="54" spans="1:40" ht="20.25" customHeight="1" x14ac:dyDescent="0.35">
      <c r="A54" s="366"/>
      <c r="B54" s="467"/>
      <c r="C54" s="365"/>
      <c r="D54" s="365"/>
      <c r="E54" s="468"/>
      <c r="F54" s="478"/>
      <c r="G54" s="470"/>
      <c r="H54" s="494"/>
      <c r="I54" s="471"/>
      <c r="J54" s="424"/>
      <c r="K54" s="495"/>
      <c r="L54" s="495"/>
      <c r="M54" s="495"/>
      <c r="N54" s="496"/>
      <c r="O54" s="497"/>
      <c r="P54" s="497"/>
      <c r="Q54" s="497"/>
      <c r="R54" s="498"/>
      <c r="S54" s="545"/>
      <c r="T54" s="546"/>
      <c r="U54" s="404"/>
      <c r="V54" s="476"/>
      <c r="W54" s="476"/>
      <c r="X54" s="477"/>
      <c r="AA54" s="366"/>
      <c r="AB54" s="503"/>
      <c r="AC54" s="366"/>
      <c r="AD54" s="366"/>
      <c r="AE54" s="366"/>
      <c r="AF54" s="366"/>
      <c r="AG54" s="366"/>
      <c r="AH54" s="366"/>
      <c r="AI54" s="366"/>
      <c r="AJ54" s="366"/>
      <c r="AM54" s="366"/>
      <c r="AN54" s="366"/>
    </row>
    <row r="55" spans="1:40" ht="20.25" customHeight="1" x14ac:dyDescent="0.35">
      <c r="A55" s="366"/>
      <c r="B55" s="467"/>
      <c r="C55" s="365"/>
      <c r="D55" s="365"/>
      <c r="E55" s="468"/>
      <c r="F55" s="478"/>
      <c r="G55" s="470"/>
      <c r="H55" s="494"/>
      <c r="I55" s="471"/>
      <c r="J55" s="424"/>
      <c r="K55" s="495"/>
      <c r="L55" s="495"/>
      <c r="M55" s="495"/>
      <c r="N55" s="496"/>
      <c r="O55" s="497"/>
      <c r="P55" s="497"/>
      <c r="Q55" s="497"/>
      <c r="R55" s="498"/>
      <c r="S55" s="545"/>
      <c r="T55" s="546"/>
      <c r="U55" s="404"/>
      <c r="V55" s="476"/>
      <c r="W55" s="476"/>
      <c r="X55" s="477"/>
      <c r="AA55" s="366"/>
      <c r="AB55" s="503"/>
      <c r="AC55" s="366"/>
      <c r="AD55" s="366"/>
      <c r="AE55" s="366"/>
      <c r="AF55" s="366"/>
      <c r="AG55" s="366"/>
      <c r="AH55" s="366"/>
      <c r="AI55" s="366"/>
      <c r="AJ55" s="366"/>
      <c r="AM55" s="366"/>
      <c r="AN55" s="366"/>
    </row>
    <row r="56" spans="1:40" ht="20.25" customHeight="1" x14ac:dyDescent="0.35">
      <c r="A56" s="366"/>
      <c r="B56" s="467"/>
      <c r="C56" s="365"/>
      <c r="D56" s="365"/>
      <c r="E56" s="468"/>
      <c r="F56" s="478"/>
      <c r="G56" s="470"/>
      <c r="H56" s="494"/>
      <c r="I56" s="471"/>
      <c r="J56" s="424"/>
      <c r="K56" s="495"/>
      <c r="L56" s="495"/>
      <c r="M56" s="495"/>
      <c r="N56" s="496"/>
      <c r="O56" s="497"/>
      <c r="P56" s="497"/>
      <c r="Q56" s="497"/>
      <c r="R56" s="498"/>
      <c r="S56" s="545"/>
      <c r="T56" s="546"/>
      <c r="U56" s="404"/>
      <c r="V56" s="476"/>
      <c r="W56" s="476"/>
      <c r="X56" s="477"/>
      <c r="AA56" s="366"/>
      <c r="AB56" s="503"/>
      <c r="AC56" s="366"/>
      <c r="AD56" s="366"/>
      <c r="AE56" s="366"/>
      <c r="AF56" s="366"/>
      <c r="AG56" s="366"/>
      <c r="AH56" s="366"/>
      <c r="AI56" s="366"/>
      <c r="AJ56" s="366"/>
      <c r="AM56" s="366"/>
      <c r="AN56" s="366"/>
    </row>
    <row r="57" spans="1:40" ht="20.25" customHeight="1" x14ac:dyDescent="0.35">
      <c r="A57" s="366"/>
      <c r="B57" s="467"/>
      <c r="C57" s="365"/>
      <c r="D57" s="365"/>
      <c r="E57" s="468"/>
      <c r="F57" s="478"/>
      <c r="G57" s="470"/>
      <c r="H57" s="494"/>
      <c r="I57" s="471"/>
      <c r="J57" s="424"/>
      <c r="K57" s="495"/>
      <c r="L57" s="495"/>
      <c r="M57" s="495"/>
      <c r="N57" s="496"/>
      <c r="O57" s="497"/>
      <c r="P57" s="497"/>
      <c r="Q57" s="497"/>
      <c r="R57" s="498"/>
      <c r="S57" s="545"/>
      <c r="T57" s="546"/>
      <c r="U57" s="404"/>
      <c r="V57" s="476"/>
      <c r="W57" s="476"/>
      <c r="X57" s="477"/>
      <c r="AA57" s="366"/>
      <c r="AB57" s="503"/>
      <c r="AC57" s="366"/>
      <c r="AD57" s="366"/>
      <c r="AE57" s="366"/>
      <c r="AF57" s="366"/>
      <c r="AG57" s="366"/>
      <c r="AH57" s="366"/>
      <c r="AI57" s="366"/>
      <c r="AJ57" s="366"/>
      <c r="AM57" s="366"/>
      <c r="AN57" s="366"/>
    </row>
    <row r="58" spans="1:40" ht="20.25" customHeight="1" x14ac:dyDescent="0.35">
      <c r="A58" s="366"/>
      <c r="B58" s="467"/>
      <c r="C58" s="365"/>
      <c r="D58" s="365"/>
      <c r="E58" s="468"/>
      <c r="F58" s="478"/>
      <c r="G58" s="470"/>
      <c r="H58" s="494"/>
      <c r="I58" s="471"/>
      <c r="J58" s="424"/>
      <c r="K58" s="495"/>
      <c r="L58" s="495"/>
      <c r="M58" s="495"/>
      <c r="N58" s="496"/>
      <c r="O58" s="497"/>
      <c r="P58" s="497"/>
      <c r="Q58" s="497"/>
      <c r="R58" s="498"/>
      <c r="S58" s="545"/>
      <c r="T58" s="546"/>
      <c r="U58" s="404"/>
      <c r="V58" s="476"/>
      <c r="W58" s="476"/>
      <c r="X58" s="477"/>
      <c r="AA58" s="366"/>
      <c r="AB58" s="503"/>
      <c r="AC58" s="366"/>
      <c r="AD58" s="366"/>
      <c r="AE58" s="366"/>
      <c r="AF58" s="366"/>
      <c r="AG58" s="366"/>
      <c r="AH58" s="366"/>
      <c r="AI58" s="366"/>
      <c r="AJ58" s="366"/>
      <c r="AM58" s="366"/>
      <c r="AN58" s="366"/>
    </row>
    <row r="59" spans="1:40" ht="20.25" customHeight="1" x14ac:dyDescent="0.35">
      <c r="A59" s="366"/>
      <c r="B59" s="467"/>
      <c r="C59" s="365"/>
      <c r="D59" s="495"/>
      <c r="E59" s="468"/>
      <c r="F59" s="478"/>
      <c r="G59" s="470"/>
      <c r="H59" s="494"/>
      <c r="I59" s="471"/>
      <c r="J59" s="424"/>
      <c r="K59" s="495"/>
      <c r="L59" s="495"/>
      <c r="M59" s="495"/>
      <c r="N59" s="496"/>
      <c r="O59" s="497"/>
      <c r="P59" s="497"/>
      <c r="Q59" s="497"/>
      <c r="R59" s="498"/>
      <c r="S59" s="545"/>
      <c r="T59" s="546"/>
      <c r="U59" s="404"/>
      <c r="V59" s="476"/>
      <c r="W59" s="476"/>
      <c r="X59" s="477"/>
      <c r="AA59" s="366"/>
      <c r="AB59" s="503"/>
      <c r="AC59" s="366"/>
      <c r="AD59" s="366"/>
      <c r="AE59" s="366"/>
      <c r="AF59" s="366"/>
      <c r="AG59" s="366"/>
      <c r="AH59" s="366"/>
      <c r="AI59" s="366"/>
      <c r="AJ59" s="366"/>
      <c r="AM59" s="366"/>
      <c r="AN59" s="366"/>
    </row>
    <row r="60" spans="1:40" ht="20.25" customHeight="1" x14ac:dyDescent="0.35">
      <c r="A60" s="453"/>
      <c r="B60" s="479"/>
      <c r="C60" s="480"/>
      <c r="D60" s="480"/>
      <c r="E60" s="481"/>
      <c r="F60" s="482"/>
      <c r="G60" s="481"/>
      <c r="H60" s="481"/>
      <c r="I60" s="481"/>
      <c r="J60" s="484"/>
      <c r="K60" s="480"/>
      <c r="L60" s="480"/>
      <c r="M60" s="480"/>
      <c r="N60" s="485"/>
      <c r="O60" s="486"/>
      <c r="P60" s="486"/>
      <c r="Q60" s="486"/>
      <c r="R60" s="487"/>
      <c r="S60" s="487"/>
      <c r="T60" s="487"/>
      <c r="U60" s="404"/>
      <c r="V60" s="476"/>
      <c r="W60" s="476"/>
      <c r="X60" s="477"/>
      <c r="AA60" s="366"/>
      <c r="AB60" s="503"/>
      <c r="AC60" s="366"/>
      <c r="AD60" s="366"/>
      <c r="AE60" s="366"/>
      <c r="AF60" s="366"/>
      <c r="AG60" s="366"/>
      <c r="AH60" s="366"/>
      <c r="AI60" s="366"/>
      <c r="AJ60" s="366"/>
      <c r="AM60" s="366"/>
      <c r="AN60" s="366"/>
    </row>
    <row r="61" spans="1:40" ht="20.25" customHeight="1" x14ac:dyDescent="0.35">
      <c r="A61" s="366"/>
      <c r="B61" s="467"/>
      <c r="C61" s="365"/>
      <c r="D61" s="365"/>
      <c r="E61" s="468"/>
      <c r="F61" s="478"/>
      <c r="G61" s="470"/>
      <c r="H61" s="494"/>
      <c r="I61" s="471"/>
      <c r="J61" s="424"/>
      <c r="K61" s="495"/>
      <c r="L61" s="495"/>
      <c r="M61" s="495"/>
      <c r="N61" s="496"/>
      <c r="O61" s="497"/>
      <c r="P61" s="497"/>
      <c r="Q61" s="497"/>
      <c r="R61" s="498"/>
      <c r="S61" s="545"/>
      <c r="T61" s="546"/>
      <c r="U61" s="404"/>
      <c r="V61" s="476"/>
      <c r="W61" s="476"/>
      <c r="X61" s="477"/>
      <c r="Y61" s="488"/>
      <c r="AA61" s="366"/>
      <c r="AB61" s="503"/>
      <c r="AC61" s="366"/>
      <c r="AD61" s="366"/>
      <c r="AE61" s="366"/>
      <c r="AF61" s="366"/>
      <c r="AG61" s="366"/>
      <c r="AH61" s="366"/>
      <c r="AI61" s="366"/>
      <c r="AJ61" s="366"/>
      <c r="AM61" s="366"/>
      <c r="AN61" s="366"/>
    </row>
    <row r="62" spans="1:40" ht="20.25" customHeight="1" x14ac:dyDescent="0.35">
      <c r="A62" s="366"/>
      <c r="B62" s="467"/>
      <c r="C62" s="365"/>
      <c r="D62" s="365"/>
      <c r="E62" s="468"/>
      <c r="F62" s="478"/>
      <c r="G62" s="470"/>
      <c r="H62" s="494"/>
      <c r="I62" s="471"/>
      <c r="J62" s="424"/>
      <c r="K62" s="495"/>
      <c r="L62" s="495"/>
      <c r="M62" s="495"/>
      <c r="N62" s="496"/>
      <c r="O62" s="497"/>
      <c r="P62" s="497"/>
      <c r="Q62" s="497"/>
      <c r="R62" s="498"/>
      <c r="S62" s="545"/>
      <c r="T62" s="546"/>
      <c r="U62" s="404"/>
      <c r="V62" s="476"/>
      <c r="W62" s="476"/>
      <c r="X62" s="477"/>
      <c r="AA62" s="366"/>
      <c r="AB62" s="503"/>
      <c r="AC62" s="366"/>
      <c r="AD62" s="366"/>
      <c r="AE62" s="366"/>
      <c r="AF62" s="366"/>
      <c r="AG62" s="366"/>
      <c r="AH62" s="366"/>
      <c r="AI62" s="366"/>
      <c r="AJ62" s="366"/>
      <c r="AM62" s="366"/>
      <c r="AN62" s="366"/>
    </row>
    <row r="63" spans="1:40" ht="20.25" customHeight="1" x14ac:dyDescent="0.35">
      <c r="A63" s="366"/>
      <c r="B63" s="467"/>
      <c r="C63" s="365"/>
      <c r="D63" s="365"/>
      <c r="E63" s="468"/>
      <c r="F63" s="478"/>
      <c r="G63" s="470"/>
      <c r="H63" s="494"/>
      <c r="I63" s="471"/>
      <c r="J63" s="424"/>
      <c r="K63" s="495"/>
      <c r="L63" s="495"/>
      <c r="M63" s="495"/>
      <c r="N63" s="496"/>
      <c r="O63" s="497"/>
      <c r="P63" s="497"/>
      <c r="Q63" s="497"/>
      <c r="R63" s="498"/>
      <c r="S63" s="545"/>
      <c r="T63" s="546"/>
      <c r="U63" s="404"/>
      <c r="V63" s="476"/>
      <c r="W63" s="476"/>
      <c r="X63" s="477"/>
      <c r="AA63" s="366"/>
      <c r="AB63" s="503"/>
      <c r="AC63" s="366"/>
      <c r="AD63" s="366"/>
      <c r="AE63" s="366"/>
      <c r="AF63" s="366"/>
      <c r="AG63" s="366"/>
      <c r="AH63" s="366"/>
      <c r="AI63" s="366"/>
      <c r="AJ63" s="366"/>
      <c r="AM63" s="366"/>
      <c r="AN63" s="366"/>
    </row>
    <row r="64" spans="1:40" ht="20.25" customHeight="1" x14ac:dyDescent="0.35">
      <c r="A64" s="366"/>
      <c r="B64" s="467"/>
      <c r="C64" s="365"/>
      <c r="D64" s="365"/>
      <c r="E64" s="468"/>
      <c r="F64" s="478"/>
      <c r="G64" s="470"/>
      <c r="H64" s="494"/>
      <c r="I64" s="471"/>
      <c r="J64" s="424"/>
      <c r="K64" s="495"/>
      <c r="L64" s="495"/>
      <c r="M64" s="495"/>
      <c r="N64" s="496"/>
      <c r="O64" s="497"/>
      <c r="P64" s="497"/>
      <c r="Q64" s="497"/>
      <c r="R64" s="498"/>
      <c r="S64" s="545"/>
      <c r="T64" s="546"/>
      <c r="U64" s="404"/>
      <c r="V64" s="476"/>
      <c r="W64" s="476"/>
      <c r="X64" s="477"/>
      <c r="AA64" s="366"/>
      <c r="AB64" s="503"/>
      <c r="AC64" s="366"/>
      <c r="AD64" s="366"/>
      <c r="AE64" s="366"/>
      <c r="AF64" s="366"/>
      <c r="AG64" s="366"/>
      <c r="AH64" s="366"/>
      <c r="AI64" s="366"/>
      <c r="AJ64" s="366"/>
      <c r="AM64" s="366"/>
      <c r="AN64" s="366"/>
    </row>
    <row r="65" spans="1:40" ht="20.25" customHeight="1" x14ac:dyDescent="0.35">
      <c r="A65" s="366"/>
      <c r="B65" s="495"/>
      <c r="C65" s="495"/>
      <c r="D65" s="495"/>
      <c r="E65" s="494"/>
      <c r="F65" s="507"/>
      <c r="G65" s="494"/>
      <c r="H65" s="494"/>
      <c r="I65" s="471"/>
      <c r="J65" s="424"/>
      <c r="K65" s="495"/>
      <c r="L65" s="495"/>
      <c r="M65" s="495"/>
      <c r="N65" s="496"/>
      <c r="O65" s="497"/>
      <c r="P65" s="497"/>
      <c r="Q65" s="497"/>
      <c r="R65" s="498"/>
      <c r="S65" s="545"/>
      <c r="T65" s="546"/>
      <c r="U65" s="404"/>
      <c r="V65" s="476"/>
      <c r="W65" s="476"/>
      <c r="X65" s="477"/>
      <c r="AA65" s="366"/>
      <c r="AB65" s="503"/>
      <c r="AC65" s="366"/>
      <c r="AD65" s="366"/>
      <c r="AE65" s="366"/>
      <c r="AF65" s="366"/>
      <c r="AG65" s="366"/>
      <c r="AH65" s="366"/>
      <c r="AI65" s="366"/>
      <c r="AJ65" s="366"/>
      <c r="AM65" s="366"/>
      <c r="AN65" s="366"/>
    </row>
    <row r="66" spans="1:40" ht="20.25" customHeight="1" x14ac:dyDescent="0.35">
      <c r="A66" s="453"/>
      <c r="B66" s="479"/>
      <c r="C66" s="484"/>
      <c r="D66" s="484"/>
      <c r="E66" s="489"/>
      <c r="F66" s="490"/>
      <c r="G66" s="489"/>
      <c r="H66" s="489"/>
      <c r="I66" s="490"/>
      <c r="J66" s="484"/>
      <c r="K66" s="480"/>
      <c r="L66" s="480"/>
      <c r="M66" s="480"/>
      <c r="N66" s="491"/>
      <c r="O66" s="486"/>
      <c r="P66" s="486"/>
      <c r="Q66" s="486"/>
      <c r="R66" s="487"/>
      <c r="S66" s="487"/>
      <c r="T66" s="487"/>
      <c r="U66" s="404"/>
      <c r="V66" s="476"/>
      <c r="W66" s="476"/>
      <c r="X66" s="477"/>
      <c r="AA66" s="366"/>
      <c r="AB66" s="503"/>
      <c r="AC66" s="366"/>
      <c r="AD66" s="366"/>
      <c r="AE66" s="366"/>
      <c r="AF66" s="366"/>
      <c r="AG66" s="366"/>
      <c r="AH66" s="366"/>
      <c r="AI66" s="366"/>
      <c r="AJ66" s="366"/>
      <c r="AM66" s="366"/>
      <c r="AN66" s="366"/>
    </row>
    <row r="67" spans="1:40" ht="20.25" customHeight="1" x14ac:dyDescent="0.35">
      <c r="A67" s="366"/>
      <c r="B67" s="508"/>
      <c r="C67" s="365"/>
      <c r="D67" s="365"/>
      <c r="E67" s="468"/>
      <c r="F67" s="478"/>
      <c r="G67" s="470"/>
      <c r="H67" s="494"/>
      <c r="I67" s="471"/>
      <c r="J67" s="424"/>
      <c r="K67" s="495"/>
      <c r="L67" s="495"/>
      <c r="M67" s="495"/>
      <c r="N67" s="496"/>
      <c r="O67" s="497"/>
      <c r="P67" s="497"/>
      <c r="Q67" s="497"/>
      <c r="R67" s="498"/>
      <c r="S67" s="545"/>
      <c r="T67" s="546"/>
      <c r="U67" s="404"/>
      <c r="V67" s="476"/>
      <c r="W67" s="476"/>
      <c r="X67" s="477"/>
      <c r="AA67" s="366"/>
      <c r="AB67" s="503"/>
      <c r="AC67" s="366"/>
      <c r="AD67" s="366"/>
      <c r="AE67" s="366"/>
      <c r="AF67" s="366"/>
      <c r="AG67" s="366"/>
      <c r="AH67" s="366"/>
      <c r="AI67" s="366"/>
      <c r="AJ67" s="366"/>
      <c r="AM67" s="366"/>
      <c r="AN67" s="366"/>
    </row>
    <row r="68" spans="1:40" ht="20.25" customHeight="1" x14ac:dyDescent="0.35">
      <c r="A68" s="366"/>
      <c r="B68" s="508"/>
      <c r="C68" s="365"/>
      <c r="D68" s="365"/>
      <c r="E68" s="468"/>
      <c r="F68" s="478"/>
      <c r="G68" s="470"/>
      <c r="H68" s="494"/>
      <c r="I68" s="471"/>
      <c r="J68" s="424"/>
      <c r="K68" s="495"/>
      <c r="L68" s="495"/>
      <c r="M68" s="495"/>
      <c r="N68" s="496"/>
      <c r="O68" s="497"/>
      <c r="P68" s="497"/>
      <c r="Q68" s="497"/>
      <c r="R68" s="498"/>
      <c r="S68" s="545"/>
      <c r="T68" s="546"/>
      <c r="U68" s="404"/>
      <c r="V68" s="476"/>
      <c r="W68" s="476"/>
      <c r="X68" s="477"/>
      <c r="AA68" s="366"/>
      <c r="AB68" s="503"/>
      <c r="AC68" s="366"/>
      <c r="AD68" s="366"/>
      <c r="AE68" s="366"/>
      <c r="AF68" s="366"/>
      <c r="AG68" s="366"/>
      <c r="AH68" s="366"/>
      <c r="AI68" s="366"/>
      <c r="AJ68" s="366"/>
      <c r="AM68" s="366"/>
      <c r="AN68" s="366"/>
    </row>
    <row r="69" spans="1:40" ht="20.25" customHeight="1" x14ac:dyDescent="0.35">
      <c r="A69" s="366"/>
      <c r="B69" s="508"/>
      <c r="C69" s="365"/>
      <c r="D69" s="365"/>
      <c r="E69" s="468"/>
      <c r="F69" s="478"/>
      <c r="G69" s="470"/>
      <c r="H69" s="494"/>
      <c r="I69" s="471"/>
      <c r="J69" s="424"/>
      <c r="K69" s="495"/>
      <c r="L69" s="495"/>
      <c r="M69" s="495"/>
      <c r="N69" s="496"/>
      <c r="O69" s="497"/>
      <c r="P69" s="497"/>
      <c r="Q69" s="497"/>
      <c r="R69" s="498"/>
      <c r="S69" s="545"/>
      <c r="T69" s="546"/>
      <c r="U69" s="404"/>
      <c r="V69" s="476"/>
      <c r="W69" s="476"/>
      <c r="X69" s="477"/>
      <c r="AA69" s="366"/>
      <c r="AB69" s="503"/>
      <c r="AC69" s="366"/>
      <c r="AD69" s="366"/>
      <c r="AE69" s="366"/>
      <c r="AF69" s="366"/>
      <c r="AG69" s="366"/>
      <c r="AH69" s="366"/>
      <c r="AI69" s="366"/>
      <c r="AJ69" s="366"/>
      <c r="AM69" s="366"/>
      <c r="AN69" s="366"/>
    </row>
    <row r="70" spans="1:40" ht="20.25" customHeight="1" x14ac:dyDescent="0.35">
      <c r="A70" s="366"/>
      <c r="B70" s="508"/>
      <c r="C70" s="365"/>
      <c r="D70" s="365"/>
      <c r="E70" s="468"/>
      <c r="F70" s="478"/>
      <c r="G70" s="470"/>
      <c r="H70" s="494"/>
      <c r="I70" s="471"/>
      <c r="J70" s="424"/>
      <c r="K70" s="495"/>
      <c r="L70" s="495"/>
      <c r="M70" s="495"/>
      <c r="N70" s="496"/>
      <c r="O70" s="497"/>
      <c r="P70" s="497"/>
      <c r="Q70" s="497"/>
      <c r="R70" s="498"/>
      <c r="S70" s="545"/>
      <c r="T70" s="546"/>
      <c r="U70" s="404"/>
      <c r="V70" s="476"/>
      <c r="W70" s="476"/>
      <c r="X70" s="477"/>
      <c r="AA70" s="366"/>
      <c r="AB70" s="503"/>
      <c r="AC70" s="366"/>
      <c r="AD70" s="366"/>
      <c r="AE70" s="366"/>
      <c r="AF70" s="366"/>
      <c r="AG70" s="366"/>
      <c r="AH70" s="366"/>
      <c r="AI70" s="366"/>
      <c r="AJ70" s="366"/>
      <c r="AM70" s="366"/>
      <c r="AN70" s="366"/>
    </row>
    <row r="71" spans="1:40" ht="20.25" customHeight="1" x14ac:dyDescent="0.35">
      <c r="A71" s="366"/>
      <c r="B71" s="508"/>
      <c r="C71" s="365"/>
      <c r="D71" s="365"/>
      <c r="E71" s="468"/>
      <c r="F71" s="478"/>
      <c r="G71" s="470"/>
      <c r="H71" s="494"/>
      <c r="I71" s="471"/>
      <c r="J71" s="424"/>
      <c r="K71" s="495"/>
      <c r="L71" s="495"/>
      <c r="M71" s="495"/>
      <c r="N71" s="496"/>
      <c r="O71" s="497"/>
      <c r="P71" s="497"/>
      <c r="Q71" s="497"/>
      <c r="R71" s="498"/>
      <c r="S71" s="545"/>
      <c r="T71" s="546"/>
      <c r="U71" s="404"/>
      <c r="V71" s="476"/>
      <c r="W71" s="476"/>
      <c r="X71" s="477"/>
      <c r="AA71" s="366"/>
      <c r="AB71" s="503"/>
      <c r="AC71" s="366"/>
      <c r="AD71" s="366"/>
      <c r="AE71" s="366"/>
      <c r="AF71" s="366"/>
      <c r="AG71" s="366"/>
      <c r="AH71" s="366"/>
      <c r="AI71" s="366"/>
      <c r="AJ71" s="366"/>
      <c r="AM71" s="366"/>
      <c r="AN71" s="366"/>
    </row>
    <row r="72" spans="1:40" ht="20.25" customHeight="1" x14ac:dyDescent="0.35">
      <c r="A72" s="366"/>
      <c r="B72" s="508"/>
      <c r="C72" s="365"/>
      <c r="D72" s="365"/>
      <c r="E72" s="468"/>
      <c r="F72" s="478"/>
      <c r="G72" s="470"/>
      <c r="H72" s="494"/>
      <c r="I72" s="471"/>
      <c r="J72" s="424"/>
      <c r="K72" s="495"/>
      <c r="L72" s="495"/>
      <c r="M72" s="495"/>
      <c r="N72" s="496"/>
      <c r="O72" s="497"/>
      <c r="P72" s="497"/>
      <c r="Q72" s="497"/>
      <c r="R72" s="498"/>
      <c r="S72" s="545"/>
      <c r="T72" s="546"/>
      <c r="U72" s="404"/>
      <c r="V72" s="476"/>
      <c r="W72" s="476"/>
      <c r="X72" s="477"/>
      <c r="AA72" s="366"/>
      <c r="AB72" s="503"/>
      <c r="AC72" s="366"/>
      <c r="AD72" s="366"/>
      <c r="AE72" s="366"/>
      <c r="AF72" s="366"/>
      <c r="AG72" s="366"/>
      <c r="AH72" s="366"/>
      <c r="AI72" s="366"/>
      <c r="AJ72" s="366"/>
      <c r="AM72" s="366"/>
      <c r="AN72" s="366"/>
    </row>
    <row r="73" spans="1:40" ht="20.25" customHeight="1" x14ac:dyDescent="0.35">
      <c r="A73" s="366"/>
      <c r="B73" s="508"/>
      <c r="C73" s="365"/>
      <c r="D73" s="365"/>
      <c r="E73" s="468"/>
      <c r="F73" s="478"/>
      <c r="G73" s="470"/>
      <c r="H73" s="494"/>
      <c r="I73" s="471"/>
      <c r="J73" s="424"/>
      <c r="K73" s="495"/>
      <c r="L73" s="495"/>
      <c r="M73" s="495"/>
      <c r="N73" s="496"/>
      <c r="O73" s="497"/>
      <c r="P73" s="497"/>
      <c r="Q73" s="497"/>
      <c r="R73" s="498"/>
      <c r="S73" s="545"/>
      <c r="T73" s="546"/>
      <c r="U73" s="404"/>
      <c r="V73" s="476"/>
      <c r="W73" s="476"/>
      <c r="X73" s="477"/>
      <c r="AA73" s="366"/>
      <c r="AB73" s="503"/>
      <c r="AC73" s="366"/>
      <c r="AD73" s="366"/>
      <c r="AE73" s="366"/>
      <c r="AF73" s="366"/>
      <c r="AG73" s="366"/>
      <c r="AH73" s="366"/>
      <c r="AI73" s="366"/>
      <c r="AJ73" s="366"/>
      <c r="AM73" s="366"/>
      <c r="AN73" s="366"/>
    </row>
    <row r="74" spans="1:40" ht="20.25" customHeight="1" x14ac:dyDescent="0.35">
      <c r="A74" s="366"/>
      <c r="B74" s="508"/>
      <c r="C74" s="365"/>
      <c r="D74" s="365"/>
      <c r="E74" s="468"/>
      <c r="F74" s="478"/>
      <c r="G74" s="470"/>
      <c r="H74" s="494"/>
      <c r="I74" s="471"/>
      <c r="J74" s="424"/>
      <c r="K74" s="495"/>
      <c r="L74" s="495"/>
      <c r="M74" s="495"/>
      <c r="N74" s="496"/>
      <c r="O74" s="497"/>
      <c r="P74" s="497"/>
      <c r="Q74" s="497"/>
      <c r="R74" s="498"/>
      <c r="S74" s="545"/>
      <c r="T74" s="546"/>
      <c r="U74" s="404"/>
      <c r="V74" s="476"/>
      <c r="W74" s="476"/>
      <c r="X74" s="477"/>
      <c r="AA74" s="366"/>
      <c r="AB74" s="503"/>
      <c r="AC74" s="366"/>
      <c r="AD74" s="366"/>
      <c r="AE74" s="366"/>
      <c r="AF74" s="366"/>
      <c r="AG74" s="366"/>
      <c r="AH74" s="366"/>
      <c r="AI74" s="366"/>
      <c r="AJ74" s="366"/>
      <c r="AM74" s="366"/>
      <c r="AN74" s="366"/>
    </row>
    <row r="75" spans="1:40" ht="20.25" customHeight="1" x14ac:dyDescent="0.35">
      <c r="A75" s="366"/>
      <c r="B75" s="508"/>
      <c r="C75" s="365"/>
      <c r="D75" s="365"/>
      <c r="E75" s="468"/>
      <c r="F75" s="478"/>
      <c r="G75" s="470"/>
      <c r="H75" s="494"/>
      <c r="I75" s="471"/>
      <c r="J75" s="424"/>
      <c r="K75" s="495"/>
      <c r="L75" s="495"/>
      <c r="M75" s="495"/>
      <c r="N75" s="496"/>
      <c r="O75" s="497"/>
      <c r="P75" s="497"/>
      <c r="Q75" s="497"/>
      <c r="R75" s="498"/>
      <c r="S75" s="545"/>
      <c r="T75" s="546"/>
      <c r="U75" s="404"/>
      <c r="V75" s="476"/>
      <c r="W75" s="476"/>
      <c r="X75" s="477"/>
      <c r="AA75" s="366"/>
      <c r="AB75" s="503"/>
      <c r="AC75" s="366"/>
      <c r="AD75" s="366"/>
      <c r="AE75" s="366"/>
      <c r="AF75" s="366"/>
      <c r="AG75" s="366"/>
      <c r="AH75" s="366"/>
      <c r="AI75" s="366"/>
      <c r="AJ75" s="366"/>
      <c r="AM75" s="366"/>
      <c r="AN75" s="366"/>
    </row>
    <row r="76" spans="1:40" ht="20.25" customHeight="1" x14ac:dyDescent="0.35">
      <c r="A76" s="366"/>
      <c r="B76" s="508"/>
      <c r="C76" s="365"/>
      <c r="D76" s="365"/>
      <c r="E76" s="468"/>
      <c r="F76" s="478"/>
      <c r="G76" s="470"/>
      <c r="H76" s="494"/>
      <c r="I76" s="471"/>
      <c r="J76" s="424"/>
      <c r="K76" s="495"/>
      <c r="L76" s="495"/>
      <c r="M76" s="495"/>
      <c r="N76" s="496"/>
      <c r="O76" s="497"/>
      <c r="P76" s="497"/>
      <c r="Q76" s="497"/>
      <c r="R76" s="498"/>
      <c r="S76" s="545"/>
      <c r="T76" s="546"/>
      <c r="U76" s="404"/>
      <c r="V76" s="476"/>
      <c r="W76" s="476"/>
      <c r="X76" s="477"/>
      <c r="AA76" s="366"/>
      <c r="AB76" s="503"/>
      <c r="AC76" s="366"/>
      <c r="AD76" s="366"/>
      <c r="AE76" s="366"/>
      <c r="AF76" s="366"/>
      <c r="AG76" s="366"/>
      <c r="AH76" s="366"/>
      <c r="AI76" s="366"/>
      <c r="AJ76" s="366"/>
      <c r="AM76" s="366"/>
      <c r="AN76" s="366"/>
    </row>
    <row r="77" spans="1:40" ht="20.25" customHeight="1" x14ac:dyDescent="0.35">
      <c r="A77" s="366"/>
      <c r="B77" s="508"/>
      <c r="C77" s="365"/>
      <c r="D77" s="365"/>
      <c r="E77" s="468"/>
      <c r="F77" s="478"/>
      <c r="G77" s="470"/>
      <c r="H77" s="494"/>
      <c r="I77" s="471"/>
      <c r="J77" s="424"/>
      <c r="K77" s="495"/>
      <c r="L77" s="495"/>
      <c r="M77" s="495"/>
      <c r="N77" s="496"/>
      <c r="O77" s="497"/>
      <c r="P77" s="497"/>
      <c r="Q77" s="497"/>
      <c r="R77" s="498"/>
      <c r="S77" s="545"/>
      <c r="T77" s="546"/>
      <c r="U77" s="404"/>
      <c r="V77" s="476"/>
      <c r="W77" s="476"/>
      <c r="X77" s="477"/>
      <c r="AA77" s="366"/>
      <c r="AB77" s="503"/>
      <c r="AC77" s="366"/>
      <c r="AD77" s="366"/>
      <c r="AE77" s="366"/>
      <c r="AF77" s="366"/>
      <c r="AG77" s="366"/>
      <c r="AH77" s="366"/>
      <c r="AI77" s="366"/>
      <c r="AJ77" s="366"/>
      <c r="AM77" s="366"/>
      <c r="AN77" s="366"/>
    </row>
    <row r="78" spans="1:40" ht="20.25" customHeight="1" x14ac:dyDescent="0.35">
      <c r="A78" s="366"/>
      <c r="B78" s="508"/>
      <c r="C78" s="365"/>
      <c r="D78" s="365"/>
      <c r="E78" s="468"/>
      <c r="F78" s="478"/>
      <c r="G78" s="470"/>
      <c r="H78" s="494"/>
      <c r="I78" s="471"/>
      <c r="J78" s="424"/>
      <c r="K78" s="495"/>
      <c r="L78" s="495"/>
      <c r="M78" s="495"/>
      <c r="N78" s="496"/>
      <c r="O78" s="497"/>
      <c r="P78" s="497"/>
      <c r="Q78" s="497"/>
      <c r="R78" s="498"/>
      <c r="S78" s="545"/>
      <c r="T78" s="546"/>
      <c r="U78" s="404"/>
      <c r="V78" s="476"/>
      <c r="W78" s="476"/>
      <c r="X78" s="477"/>
      <c r="AA78" s="366"/>
      <c r="AB78" s="503"/>
      <c r="AC78" s="366"/>
      <c r="AD78" s="366"/>
      <c r="AE78" s="366"/>
      <c r="AF78" s="366"/>
      <c r="AG78" s="366"/>
      <c r="AH78" s="366"/>
      <c r="AI78" s="366"/>
      <c r="AJ78" s="366"/>
      <c r="AM78" s="366"/>
      <c r="AN78" s="366"/>
    </row>
    <row r="79" spans="1:40" ht="20.25" customHeight="1" x14ac:dyDescent="0.35">
      <c r="A79" s="366"/>
      <c r="B79" s="508"/>
      <c r="C79" s="365"/>
      <c r="D79" s="365"/>
      <c r="E79" s="468"/>
      <c r="F79" s="478"/>
      <c r="G79" s="470"/>
      <c r="H79" s="494"/>
      <c r="I79" s="471"/>
      <c r="J79" s="424"/>
      <c r="K79" s="495"/>
      <c r="L79" s="495"/>
      <c r="M79" s="495"/>
      <c r="N79" s="496"/>
      <c r="O79" s="497"/>
      <c r="P79" s="497"/>
      <c r="Q79" s="497"/>
      <c r="R79" s="498"/>
      <c r="S79" s="545"/>
      <c r="T79" s="546"/>
      <c r="U79" s="404"/>
      <c r="V79" s="476"/>
      <c r="W79" s="476"/>
      <c r="X79" s="477"/>
      <c r="AA79" s="366"/>
      <c r="AB79" s="503"/>
      <c r="AC79" s="366"/>
      <c r="AD79" s="366"/>
      <c r="AE79" s="366"/>
      <c r="AF79" s="366"/>
      <c r="AG79" s="366"/>
      <c r="AH79" s="366"/>
      <c r="AI79" s="366"/>
      <c r="AJ79" s="366"/>
      <c r="AM79" s="366"/>
      <c r="AN79" s="366"/>
    </row>
    <row r="80" spans="1:40" ht="20.25" customHeight="1" x14ac:dyDescent="0.35">
      <c r="A80" s="366"/>
      <c r="B80" s="508"/>
      <c r="C80" s="365"/>
      <c r="D80" s="365"/>
      <c r="E80" s="468"/>
      <c r="F80" s="478"/>
      <c r="G80" s="470"/>
      <c r="H80" s="494"/>
      <c r="I80" s="471"/>
      <c r="J80" s="424"/>
      <c r="K80" s="495"/>
      <c r="L80" s="495"/>
      <c r="M80" s="495"/>
      <c r="N80" s="496"/>
      <c r="O80" s="497"/>
      <c r="P80" s="497"/>
      <c r="Q80" s="497"/>
      <c r="R80" s="498"/>
      <c r="S80" s="545"/>
      <c r="T80" s="546"/>
      <c r="U80" s="404"/>
      <c r="V80" s="476"/>
      <c r="W80" s="476"/>
      <c r="X80" s="477"/>
      <c r="AA80" s="366"/>
      <c r="AB80" s="503"/>
      <c r="AC80" s="366"/>
      <c r="AD80" s="366"/>
      <c r="AE80" s="366"/>
      <c r="AF80" s="366"/>
      <c r="AG80" s="366"/>
      <c r="AH80" s="366"/>
      <c r="AI80" s="366"/>
      <c r="AJ80" s="366"/>
      <c r="AM80" s="366"/>
      <c r="AN80" s="366"/>
    </row>
    <row r="81" spans="1:40" ht="20.25" customHeight="1" x14ac:dyDescent="0.35">
      <c r="A81" s="366"/>
      <c r="B81" s="508"/>
      <c r="C81" s="365"/>
      <c r="D81" s="365"/>
      <c r="E81" s="468"/>
      <c r="F81" s="478"/>
      <c r="G81" s="470"/>
      <c r="H81" s="494"/>
      <c r="I81" s="471"/>
      <c r="J81" s="424"/>
      <c r="K81" s="495"/>
      <c r="L81" s="495"/>
      <c r="M81" s="495"/>
      <c r="N81" s="496"/>
      <c r="O81" s="497"/>
      <c r="P81" s="497"/>
      <c r="Q81" s="497"/>
      <c r="R81" s="498"/>
      <c r="S81" s="545"/>
      <c r="T81" s="546"/>
      <c r="U81" s="404"/>
      <c r="V81" s="476"/>
      <c r="W81" s="476"/>
      <c r="X81" s="477"/>
      <c r="AA81" s="366"/>
      <c r="AB81" s="503"/>
      <c r="AC81" s="366"/>
      <c r="AD81" s="366"/>
      <c r="AE81" s="366"/>
      <c r="AF81" s="366"/>
      <c r="AG81" s="366"/>
      <c r="AH81" s="366"/>
      <c r="AI81" s="366"/>
      <c r="AJ81" s="366"/>
      <c r="AM81" s="366"/>
      <c r="AN81" s="366"/>
    </row>
    <row r="82" spans="1:40" ht="20.25" customHeight="1" x14ac:dyDescent="0.35">
      <c r="A82" s="366"/>
      <c r="B82" s="508"/>
      <c r="C82" s="365"/>
      <c r="D82" s="365"/>
      <c r="E82" s="468"/>
      <c r="F82" s="478"/>
      <c r="G82" s="470"/>
      <c r="H82" s="494"/>
      <c r="I82" s="471"/>
      <c r="J82" s="424"/>
      <c r="K82" s="495"/>
      <c r="L82" s="495"/>
      <c r="M82" s="495"/>
      <c r="N82" s="496"/>
      <c r="O82" s="497"/>
      <c r="P82" s="497"/>
      <c r="Q82" s="497"/>
      <c r="R82" s="498"/>
      <c r="S82" s="545"/>
      <c r="T82" s="546"/>
      <c r="U82" s="404"/>
      <c r="V82" s="476"/>
      <c r="W82" s="476"/>
      <c r="X82" s="477"/>
      <c r="AA82" s="366"/>
      <c r="AB82" s="503"/>
      <c r="AC82" s="366"/>
      <c r="AD82" s="366"/>
      <c r="AE82" s="366"/>
      <c r="AF82" s="366"/>
      <c r="AG82" s="366"/>
      <c r="AH82" s="366"/>
      <c r="AI82" s="366"/>
      <c r="AJ82" s="366"/>
      <c r="AM82" s="366"/>
      <c r="AN82" s="366"/>
    </row>
    <row r="83" spans="1:40" ht="20.25" customHeight="1" x14ac:dyDescent="0.35">
      <c r="A83" s="366"/>
      <c r="B83" s="508"/>
      <c r="C83" s="365"/>
      <c r="D83" s="365"/>
      <c r="E83" s="468"/>
      <c r="F83" s="478"/>
      <c r="G83" s="470"/>
      <c r="H83" s="494"/>
      <c r="I83" s="471"/>
      <c r="J83" s="424"/>
      <c r="K83" s="495"/>
      <c r="L83" s="495"/>
      <c r="M83" s="495"/>
      <c r="N83" s="496"/>
      <c r="O83" s="497"/>
      <c r="P83" s="497"/>
      <c r="Q83" s="497"/>
      <c r="R83" s="498"/>
      <c r="S83" s="545"/>
      <c r="T83" s="546"/>
      <c r="U83" s="404"/>
      <c r="V83" s="476"/>
      <c r="W83" s="476"/>
      <c r="X83" s="477"/>
      <c r="AA83" s="366"/>
      <c r="AB83" s="503"/>
      <c r="AC83" s="366"/>
      <c r="AD83" s="366"/>
      <c r="AE83" s="366"/>
      <c r="AF83" s="366"/>
      <c r="AG83" s="366"/>
      <c r="AH83" s="366"/>
      <c r="AI83" s="366"/>
      <c r="AJ83" s="366"/>
      <c r="AM83" s="366"/>
      <c r="AN83" s="366"/>
    </row>
    <row r="84" spans="1:40" ht="20.25" customHeight="1" x14ac:dyDescent="0.35">
      <c r="A84" s="366"/>
      <c r="B84" s="508"/>
      <c r="C84" s="365"/>
      <c r="D84" s="365"/>
      <c r="E84" s="468"/>
      <c r="F84" s="478"/>
      <c r="G84" s="470"/>
      <c r="H84" s="494"/>
      <c r="I84" s="471"/>
      <c r="J84" s="424"/>
      <c r="K84" s="495"/>
      <c r="L84" s="495"/>
      <c r="M84" s="495"/>
      <c r="N84" s="496"/>
      <c r="O84" s="497"/>
      <c r="P84" s="497"/>
      <c r="Q84" s="497"/>
      <c r="R84" s="498"/>
      <c r="S84" s="545"/>
      <c r="T84" s="546"/>
      <c r="U84" s="404"/>
      <c r="V84" s="476"/>
      <c r="W84" s="476"/>
      <c r="X84" s="477"/>
      <c r="AA84" s="366"/>
      <c r="AB84" s="503"/>
      <c r="AC84" s="366"/>
      <c r="AD84" s="366"/>
      <c r="AE84" s="366"/>
      <c r="AF84" s="366"/>
      <c r="AG84" s="366"/>
      <c r="AH84" s="366"/>
      <c r="AI84" s="366"/>
      <c r="AJ84" s="366"/>
      <c r="AM84" s="366"/>
      <c r="AN84" s="366"/>
    </row>
    <row r="85" spans="1:40" ht="20.25" customHeight="1" x14ac:dyDescent="0.35">
      <c r="A85" s="366"/>
      <c r="B85" s="508"/>
      <c r="C85" s="365"/>
      <c r="D85" s="365"/>
      <c r="E85" s="468"/>
      <c r="F85" s="478"/>
      <c r="G85" s="470"/>
      <c r="H85" s="494"/>
      <c r="I85" s="471"/>
      <c r="J85" s="424"/>
      <c r="K85" s="495"/>
      <c r="L85" s="495"/>
      <c r="M85" s="495"/>
      <c r="N85" s="496"/>
      <c r="O85" s="497"/>
      <c r="P85" s="497"/>
      <c r="Q85" s="497"/>
      <c r="R85" s="498"/>
      <c r="S85" s="545"/>
      <c r="T85" s="546"/>
      <c r="U85" s="404"/>
      <c r="V85" s="476"/>
      <c r="W85" s="476"/>
      <c r="X85" s="477"/>
      <c r="AA85" s="366"/>
      <c r="AB85" s="503"/>
      <c r="AC85" s="366"/>
      <c r="AD85" s="366"/>
      <c r="AE85" s="366"/>
      <c r="AF85" s="366"/>
      <c r="AG85" s="366"/>
      <c r="AH85" s="366"/>
      <c r="AI85" s="366"/>
      <c r="AJ85" s="366"/>
      <c r="AM85" s="366"/>
      <c r="AN85" s="366"/>
    </row>
    <row r="86" spans="1:40" ht="20.25" customHeight="1" x14ac:dyDescent="0.35">
      <c r="A86" s="366"/>
      <c r="B86" s="508"/>
      <c r="C86" s="365"/>
      <c r="D86" s="365"/>
      <c r="E86" s="468"/>
      <c r="F86" s="478"/>
      <c r="G86" s="470"/>
      <c r="H86" s="494"/>
      <c r="I86" s="471"/>
      <c r="J86" s="424"/>
      <c r="K86" s="495"/>
      <c r="L86" s="495"/>
      <c r="M86" s="495"/>
      <c r="N86" s="496"/>
      <c r="O86" s="497"/>
      <c r="P86" s="497"/>
      <c r="Q86" s="497"/>
      <c r="R86" s="498"/>
      <c r="S86" s="545"/>
      <c r="T86" s="546"/>
      <c r="U86" s="404"/>
      <c r="V86" s="476"/>
      <c r="W86" s="476"/>
      <c r="X86" s="477"/>
      <c r="AA86" s="366"/>
      <c r="AB86" s="503"/>
      <c r="AC86" s="366"/>
      <c r="AD86" s="366"/>
      <c r="AE86" s="366"/>
      <c r="AF86" s="366"/>
      <c r="AG86" s="366"/>
      <c r="AH86" s="366"/>
      <c r="AI86" s="366"/>
      <c r="AJ86" s="366"/>
      <c r="AM86" s="366"/>
      <c r="AN86" s="366"/>
    </row>
    <row r="87" spans="1:40" ht="20.25" customHeight="1" x14ac:dyDescent="0.35">
      <c r="A87" s="366"/>
      <c r="B87" s="508"/>
      <c r="C87" s="365"/>
      <c r="D87" s="365"/>
      <c r="E87" s="468"/>
      <c r="F87" s="478"/>
      <c r="G87" s="470"/>
      <c r="H87" s="494"/>
      <c r="I87" s="471"/>
      <c r="J87" s="424"/>
      <c r="K87" s="495"/>
      <c r="L87" s="495"/>
      <c r="M87" s="495"/>
      <c r="N87" s="496"/>
      <c r="O87" s="497"/>
      <c r="P87" s="497"/>
      <c r="Q87" s="497"/>
      <c r="R87" s="498"/>
      <c r="S87" s="545"/>
      <c r="T87" s="546"/>
      <c r="U87" s="404"/>
      <c r="V87" s="476"/>
      <c r="W87" s="476"/>
      <c r="X87" s="477"/>
      <c r="AA87" s="366"/>
      <c r="AB87" s="503"/>
      <c r="AC87" s="366"/>
      <c r="AD87" s="366"/>
      <c r="AE87" s="366"/>
      <c r="AF87" s="366"/>
      <c r="AG87" s="366"/>
      <c r="AH87" s="366"/>
      <c r="AI87" s="366"/>
      <c r="AJ87" s="366"/>
      <c r="AM87" s="366"/>
      <c r="AN87" s="366"/>
    </row>
    <row r="88" spans="1:40" ht="20.25" customHeight="1" x14ac:dyDescent="0.35">
      <c r="A88" s="366"/>
      <c r="B88" s="508"/>
      <c r="C88" s="365"/>
      <c r="D88" s="365"/>
      <c r="E88" s="468"/>
      <c r="F88" s="478"/>
      <c r="G88" s="470"/>
      <c r="H88" s="494"/>
      <c r="I88" s="471"/>
      <c r="J88" s="424"/>
      <c r="K88" s="495"/>
      <c r="L88" s="495"/>
      <c r="M88" s="495"/>
      <c r="N88" s="496"/>
      <c r="O88" s="497"/>
      <c r="P88" s="497"/>
      <c r="Q88" s="497"/>
      <c r="R88" s="498"/>
      <c r="S88" s="545"/>
      <c r="T88" s="546"/>
      <c r="U88" s="404"/>
      <c r="V88" s="476"/>
      <c r="W88" s="476"/>
      <c r="X88" s="477"/>
      <c r="AA88" s="366"/>
      <c r="AB88" s="503"/>
      <c r="AC88" s="366"/>
      <c r="AD88" s="366"/>
      <c r="AE88" s="366"/>
      <c r="AF88" s="366"/>
      <c r="AG88" s="366"/>
      <c r="AH88" s="366"/>
      <c r="AI88" s="366"/>
      <c r="AJ88" s="366"/>
      <c r="AM88" s="366"/>
      <c r="AN88" s="366"/>
    </row>
    <row r="89" spans="1:40" ht="20.25" customHeight="1" x14ac:dyDescent="0.35">
      <c r="A89" s="366"/>
      <c r="B89" s="508"/>
      <c r="C89" s="365"/>
      <c r="D89" s="365"/>
      <c r="E89" s="468"/>
      <c r="F89" s="478"/>
      <c r="G89" s="470"/>
      <c r="H89" s="494"/>
      <c r="I89" s="471"/>
      <c r="J89" s="424"/>
      <c r="K89" s="495"/>
      <c r="L89" s="495"/>
      <c r="M89" s="495"/>
      <c r="N89" s="496"/>
      <c r="O89" s="497"/>
      <c r="P89" s="497"/>
      <c r="Q89" s="497"/>
      <c r="R89" s="498"/>
      <c r="S89" s="545"/>
      <c r="T89" s="546"/>
      <c r="U89" s="404"/>
      <c r="V89" s="476"/>
      <c r="W89" s="476"/>
      <c r="X89" s="477"/>
      <c r="AA89" s="366"/>
      <c r="AB89" s="503"/>
      <c r="AC89" s="366"/>
      <c r="AD89" s="366"/>
      <c r="AE89" s="366"/>
      <c r="AF89" s="366"/>
      <c r="AG89" s="366"/>
      <c r="AH89" s="366"/>
      <c r="AI89" s="366"/>
      <c r="AJ89" s="366"/>
      <c r="AM89" s="366"/>
      <c r="AN89" s="366"/>
    </row>
    <row r="90" spans="1:40" ht="20.25" customHeight="1" x14ac:dyDescent="0.35">
      <c r="A90" s="366"/>
      <c r="B90" s="508"/>
      <c r="C90" s="365"/>
      <c r="D90" s="365"/>
      <c r="E90" s="468"/>
      <c r="F90" s="478"/>
      <c r="G90" s="470"/>
      <c r="H90" s="494"/>
      <c r="I90" s="471"/>
      <c r="J90" s="424"/>
      <c r="K90" s="495"/>
      <c r="L90" s="495"/>
      <c r="M90" s="495"/>
      <c r="N90" s="496"/>
      <c r="O90" s="497"/>
      <c r="P90" s="497"/>
      <c r="Q90" s="497"/>
      <c r="R90" s="498"/>
      <c r="S90" s="545"/>
      <c r="T90" s="546"/>
      <c r="U90" s="404"/>
      <c r="V90" s="476"/>
      <c r="W90" s="476"/>
      <c r="X90" s="477"/>
      <c r="AA90" s="366"/>
      <c r="AB90" s="503"/>
      <c r="AC90" s="366"/>
      <c r="AD90" s="366"/>
      <c r="AE90" s="366"/>
      <c r="AF90" s="366"/>
      <c r="AG90" s="366"/>
      <c r="AH90" s="366"/>
      <c r="AI90" s="366"/>
      <c r="AJ90" s="366"/>
      <c r="AM90" s="366"/>
      <c r="AN90" s="366"/>
    </row>
    <row r="91" spans="1:40" ht="20.25" customHeight="1" x14ac:dyDescent="0.35">
      <c r="A91" s="366"/>
      <c r="B91" s="508"/>
      <c r="C91" s="365"/>
      <c r="D91" s="365"/>
      <c r="E91" s="468"/>
      <c r="F91" s="478"/>
      <c r="G91" s="470"/>
      <c r="H91" s="494"/>
      <c r="I91" s="471"/>
      <c r="J91" s="424"/>
      <c r="K91" s="495"/>
      <c r="L91" s="495"/>
      <c r="M91" s="495"/>
      <c r="N91" s="496"/>
      <c r="O91" s="497"/>
      <c r="P91" s="497"/>
      <c r="Q91" s="497"/>
      <c r="R91" s="498"/>
      <c r="S91" s="545"/>
      <c r="T91" s="546"/>
      <c r="U91" s="404"/>
      <c r="V91" s="476"/>
      <c r="W91" s="476"/>
      <c r="X91" s="477"/>
      <c r="AA91" s="366"/>
      <c r="AB91" s="503"/>
      <c r="AC91" s="366"/>
      <c r="AD91" s="366"/>
      <c r="AE91" s="366"/>
      <c r="AF91" s="366"/>
      <c r="AG91" s="366"/>
      <c r="AH91" s="366"/>
      <c r="AI91" s="366"/>
      <c r="AJ91" s="366"/>
      <c r="AM91" s="366"/>
      <c r="AN91" s="366"/>
    </row>
    <row r="92" spans="1:40" ht="20.25" customHeight="1" x14ac:dyDescent="0.35">
      <c r="A92" s="366"/>
      <c r="B92" s="508"/>
      <c r="C92" s="365"/>
      <c r="D92" s="365"/>
      <c r="E92" s="468"/>
      <c r="F92" s="478"/>
      <c r="G92" s="470"/>
      <c r="H92" s="494"/>
      <c r="I92" s="471"/>
      <c r="J92" s="424"/>
      <c r="K92" s="495"/>
      <c r="L92" s="495"/>
      <c r="M92" s="495"/>
      <c r="N92" s="496"/>
      <c r="O92" s="497"/>
      <c r="P92" s="497"/>
      <c r="Q92" s="497"/>
      <c r="R92" s="498"/>
      <c r="S92" s="545"/>
      <c r="T92" s="546"/>
      <c r="U92" s="404"/>
      <c r="V92" s="476"/>
      <c r="W92" s="476"/>
      <c r="X92" s="477"/>
      <c r="AA92" s="366"/>
      <c r="AB92" s="503"/>
      <c r="AC92" s="366"/>
      <c r="AD92" s="366"/>
      <c r="AE92" s="366"/>
      <c r="AF92" s="366"/>
      <c r="AG92" s="366"/>
      <c r="AH92" s="366"/>
      <c r="AI92" s="366"/>
      <c r="AJ92" s="366"/>
      <c r="AM92" s="366"/>
      <c r="AN92" s="366"/>
    </row>
    <row r="93" spans="1:40" ht="20.25" customHeight="1" x14ac:dyDescent="0.35">
      <c r="A93" s="366"/>
      <c r="B93" s="508"/>
      <c r="C93" s="365"/>
      <c r="D93" s="365"/>
      <c r="E93" s="468"/>
      <c r="F93" s="478"/>
      <c r="G93" s="470"/>
      <c r="H93" s="494"/>
      <c r="I93" s="471"/>
      <c r="J93" s="424"/>
      <c r="K93" s="495"/>
      <c r="L93" s="495"/>
      <c r="M93" s="495"/>
      <c r="N93" s="496"/>
      <c r="O93" s="497"/>
      <c r="P93" s="497"/>
      <c r="Q93" s="497"/>
      <c r="R93" s="498"/>
      <c r="S93" s="545"/>
      <c r="T93" s="546"/>
      <c r="U93" s="404"/>
      <c r="V93" s="476"/>
      <c r="W93" s="476"/>
      <c r="X93" s="477"/>
      <c r="AA93" s="366"/>
      <c r="AB93" s="503"/>
      <c r="AC93" s="366"/>
      <c r="AD93" s="366"/>
      <c r="AE93" s="366"/>
      <c r="AF93" s="366"/>
      <c r="AG93" s="366"/>
      <c r="AH93" s="366"/>
      <c r="AI93" s="366"/>
      <c r="AJ93" s="366"/>
      <c r="AM93" s="366"/>
      <c r="AN93" s="366"/>
    </row>
    <row r="94" spans="1:40" ht="20.25" customHeight="1" x14ac:dyDescent="0.35">
      <c r="A94" s="366"/>
      <c r="B94" s="508"/>
      <c r="C94" s="365"/>
      <c r="D94" s="365"/>
      <c r="E94" s="468"/>
      <c r="F94" s="478"/>
      <c r="G94" s="470"/>
      <c r="H94" s="494"/>
      <c r="I94" s="471"/>
      <c r="J94" s="424"/>
      <c r="K94" s="495"/>
      <c r="L94" s="495"/>
      <c r="M94" s="495"/>
      <c r="N94" s="496"/>
      <c r="O94" s="497"/>
      <c r="P94" s="497"/>
      <c r="Q94" s="497"/>
      <c r="R94" s="498"/>
      <c r="S94" s="545"/>
      <c r="T94" s="546"/>
      <c r="U94" s="404"/>
      <c r="V94" s="476"/>
      <c r="W94" s="476"/>
      <c r="X94" s="477"/>
      <c r="AA94" s="366"/>
      <c r="AB94" s="503"/>
      <c r="AC94" s="366"/>
      <c r="AD94" s="366"/>
      <c r="AE94" s="366"/>
      <c r="AF94" s="366"/>
      <c r="AG94" s="366"/>
      <c r="AH94" s="366"/>
      <c r="AI94" s="366"/>
      <c r="AJ94" s="366"/>
      <c r="AM94" s="366"/>
      <c r="AN94" s="366"/>
    </row>
    <row r="95" spans="1:40" ht="20.25" customHeight="1" x14ac:dyDescent="0.35">
      <c r="A95" s="366"/>
      <c r="B95" s="508"/>
      <c r="C95" s="365"/>
      <c r="D95" s="365"/>
      <c r="E95" s="468"/>
      <c r="F95" s="478"/>
      <c r="G95" s="470"/>
      <c r="H95" s="494"/>
      <c r="I95" s="471"/>
      <c r="J95" s="424"/>
      <c r="K95" s="495"/>
      <c r="L95" s="495"/>
      <c r="M95" s="495"/>
      <c r="N95" s="496"/>
      <c r="O95" s="497"/>
      <c r="P95" s="497"/>
      <c r="Q95" s="497"/>
      <c r="R95" s="498"/>
      <c r="S95" s="545"/>
      <c r="T95" s="546"/>
      <c r="U95" s="404"/>
      <c r="V95" s="476"/>
      <c r="W95" s="476"/>
      <c r="X95" s="477"/>
      <c r="AA95" s="366"/>
      <c r="AB95" s="503"/>
      <c r="AC95" s="366"/>
      <c r="AD95" s="366"/>
      <c r="AE95" s="366"/>
      <c r="AF95" s="366"/>
      <c r="AG95" s="366"/>
      <c r="AH95" s="366"/>
      <c r="AI95" s="366"/>
      <c r="AJ95" s="366"/>
      <c r="AM95" s="366"/>
      <c r="AN95" s="366"/>
    </row>
    <row r="96" spans="1:40" ht="20.25" customHeight="1" x14ac:dyDescent="0.35">
      <c r="A96" s="366"/>
      <c r="B96" s="508"/>
      <c r="C96" s="365"/>
      <c r="D96" s="365"/>
      <c r="E96" s="468"/>
      <c r="F96" s="478"/>
      <c r="G96" s="470"/>
      <c r="H96" s="494"/>
      <c r="I96" s="471"/>
      <c r="J96" s="424"/>
      <c r="K96" s="495"/>
      <c r="L96" s="495"/>
      <c r="M96" s="495"/>
      <c r="N96" s="496"/>
      <c r="O96" s="497"/>
      <c r="P96" s="497"/>
      <c r="Q96" s="497"/>
      <c r="R96" s="498"/>
      <c r="S96" s="545"/>
      <c r="T96" s="546"/>
      <c r="U96" s="404"/>
      <c r="V96" s="476"/>
      <c r="W96" s="476"/>
      <c r="X96" s="477"/>
      <c r="AA96" s="366"/>
      <c r="AB96" s="503"/>
      <c r="AC96" s="366"/>
      <c r="AD96" s="366"/>
      <c r="AE96" s="366"/>
      <c r="AF96" s="366"/>
      <c r="AG96" s="366"/>
      <c r="AH96" s="366"/>
      <c r="AI96" s="366"/>
      <c r="AJ96" s="366"/>
      <c r="AM96" s="366"/>
      <c r="AN96" s="366"/>
    </row>
    <row r="97" spans="1:40" ht="20.25" customHeight="1" x14ac:dyDescent="0.35">
      <c r="A97" s="366"/>
      <c r="B97" s="508"/>
      <c r="C97" s="365"/>
      <c r="D97" s="365"/>
      <c r="E97" s="468"/>
      <c r="F97" s="478"/>
      <c r="G97" s="470"/>
      <c r="H97" s="494"/>
      <c r="I97" s="471"/>
      <c r="J97" s="424"/>
      <c r="K97" s="495"/>
      <c r="L97" s="495"/>
      <c r="M97" s="495"/>
      <c r="N97" s="496"/>
      <c r="O97" s="497"/>
      <c r="P97" s="497"/>
      <c r="Q97" s="497"/>
      <c r="R97" s="498"/>
      <c r="S97" s="545"/>
      <c r="T97" s="546"/>
      <c r="U97" s="404"/>
      <c r="V97" s="476"/>
      <c r="W97" s="476"/>
      <c r="X97" s="477"/>
      <c r="AA97" s="366"/>
      <c r="AB97" s="503"/>
      <c r="AC97" s="366"/>
      <c r="AD97" s="366"/>
      <c r="AE97" s="366"/>
      <c r="AF97" s="366"/>
      <c r="AG97" s="366"/>
      <c r="AH97" s="366"/>
      <c r="AI97" s="366"/>
      <c r="AJ97" s="366"/>
      <c r="AM97" s="366"/>
      <c r="AN97" s="366"/>
    </row>
    <row r="98" spans="1:40" ht="20.25" customHeight="1" x14ac:dyDescent="0.35">
      <c r="A98" s="366"/>
      <c r="B98" s="508"/>
      <c r="C98" s="365"/>
      <c r="D98" s="365"/>
      <c r="E98" s="468"/>
      <c r="F98" s="478"/>
      <c r="G98" s="470"/>
      <c r="H98" s="494"/>
      <c r="I98" s="471"/>
      <c r="J98" s="424"/>
      <c r="K98" s="495"/>
      <c r="L98" s="495"/>
      <c r="M98" s="495"/>
      <c r="N98" s="496"/>
      <c r="O98" s="497"/>
      <c r="P98" s="497"/>
      <c r="Q98" s="497"/>
      <c r="R98" s="498"/>
      <c r="S98" s="545"/>
      <c r="T98" s="546"/>
      <c r="U98" s="404"/>
      <c r="V98" s="476"/>
      <c r="W98" s="476"/>
      <c r="X98" s="477"/>
      <c r="AA98" s="366"/>
      <c r="AB98" s="503"/>
      <c r="AC98" s="366"/>
      <c r="AD98" s="366"/>
      <c r="AE98" s="366"/>
      <c r="AF98" s="366"/>
      <c r="AG98" s="366"/>
      <c r="AH98" s="366"/>
      <c r="AI98" s="366"/>
      <c r="AJ98" s="366"/>
      <c r="AM98" s="366"/>
      <c r="AN98" s="366"/>
    </row>
    <row r="99" spans="1:40" ht="20.25" customHeight="1" x14ac:dyDescent="0.35">
      <c r="A99" s="366"/>
      <c r="B99" s="508"/>
      <c r="C99" s="365"/>
      <c r="D99" s="365"/>
      <c r="E99" s="468"/>
      <c r="F99" s="478"/>
      <c r="G99" s="470"/>
      <c r="H99" s="494"/>
      <c r="I99" s="471"/>
      <c r="J99" s="424"/>
      <c r="K99" s="495"/>
      <c r="L99" s="495"/>
      <c r="M99" s="495"/>
      <c r="N99" s="496"/>
      <c r="O99" s="497"/>
      <c r="P99" s="497"/>
      <c r="Q99" s="497"/>
      <c r="R99" s="498"/>
      <c r="S99" s="545"/>
      <c r="T99" s="546"/>
      <c r="U99" s="404"/>
      <c r="V99" s="476"/>
      <c r="W99" s="476"/>
      <c r="X99" s="477"/>
      <c r="AA99" s="366"/>
      <c r="AB99" s="503"/>
      <c r="AC99" s="366"/>
      <c r="AD99" s="366"/>
      <c r="AE99" s="366"/>
      <c r="AF99" s="366"/>
      <c r="AG99" s="366"/>
      <c r="AH99" s="366"/>
      <c r="AI99" s="366"/>
      <c r="AJ99" s="366"/>
      <c r="AM99" s="366"/>
      <c r="AN99" s="366"/>
    </row>
    <row r="100" spans="1:40" ht="20.25" customHeight="1" x14ac:dyDescent="0.35">
      <c r="A100" s="366"/>
      <c r="B100" s="508"/>
      <c r="C100" s="365"/>
      <c r="D100" s="365"/>
      <c r="E100" s="468"/>
      <c r="F100" s="478"/>
      <c r="G100" s="470"/>
      <c r="H100" s="494"/>
      <c r="I100" s="471"/>
      <c r="J100" s="424"/>
      <c r="K100" s="495"/>
      <c r="L100" s="495"/>
      <c r="M100" s="495"/>
      <c r="N100" s="496"/>
      <c r="O100" s="497"/>
      <c r="P100" s="497"/>
      <c r="Q100" s="497"/>
      <c r="R100" s="498"/>
      <c r="S100" s="545"/>
      <c r="T100" s="546"/>
      <c r="U100" s="404"/>
      <c r="V100" s="476"/>
      <c r="W100" s="476"/>
      <c r="X100" s="477"/>
      <c r="AA100" s="366"/>
      <c r="AB100" s="503"/>
      <c r="AC100" s="366"/>
      <c r="AD100" s="366"/>
      <c r="AE100" s="366"/>
      <c r="AF100" s="366"/>
      <c r="AG100" s="366"/>
      <c r="AH100" s="366"/>
      <c r="AI100" s="366"/>
      <c r="AJ100" s="366"/>
      <c r="AM100" s="366"/>
      <c r="AN100" s="366"/>
    </row>
    <row r="101" spans="1:40" ht="20.25" customHeight="1" x14ac:dyDescent="0.35">
      <c r="A101" s="366"/>
      <c r="B101" s="508"/>
      <c r="C101" s="365"/>
      <c r="D101" s="495"/>
      <c r="E101" s="468"/>
      <c r="F101" s="478"/>
      <c r="G101" s="470"/>
      <c r="H101" s="494"/>
      <c r="I101" s="471"/>
      <c r="J101" s="424"/>
      <c r="K101" s="495"/>
      <c r="L101" s="495"/>
      <c r="M101" s="495"/>
      <c r="N101" s="496"/>
      <c r="O101" s="497"/>
      <c r="P101" s="497"/>
      <c r="Q101" s="497"/>
      <c r="R101" s="498"/>
      <c r="S101" s="545"/>
      <c r="T101" s="546"/>
      <c r="U101" s="404"/>
      <c r="V101" s="476"/>
      <c r="W101" s="476"/>
      <c r="X101" s="477"/>
      <c r="AA101" s="366"/>
      <c r="AB101" s="503"/>
      <c r="AC101" s="366"/>
      <c r="AD101" s="366"/>
      <c r="AE101" s="366"/>
      <c r="AF101" s="366"/>
      <c r="AG101" s="366"/>
      <c r="AH101" s="366"/>
      <c r="AI101" s="366"/>
      <c r="AJ101" s="366"/>
      <c r="AM101" s="366"/>
      <c r="AN101" s="366"/>
    </row>
    <row r="102" spans="1:40" ht="20.25" customHeight="1" x14ac:dyDescent="0.35">
      <c r="A102" s="453"/>
      <c r="B102" s="331"/>
      <c r="C102" s="332"/>
      <c r="D102" s="484"/>
      <c r="E102" s="489"/>
      <c r="F102" s="490"/>
      <c r="G102" s="489"/>
      <c r="H102" s="489"/>
      <c r="I102" s="489"/>
      <c r="J102" s="484"/>
      <c r="K102" s="480"/>
      <c r="L102" s="480"/>
      <c r="M102" s="480"/>
      <c r="N102" s="491"/>
      <c r="O102" s="486"/>
      <c r="P102" s="486"/>
      <c r="Q102" s="486"/>
      <c r="R102" s="487"/>
      <c r="S102" s="487"/>
      <c r="T102" s="487"/>
      <c r="U102" s="404"/>
      <c r="V102" s="476"/>
      <c r="W102" s="476"/>
      <c r="X102" s="477"/>
      <c r="AA102" s="366"/>
      <c r="AB102" s="503"/>
      <c r="AC102" s="366"/>
      <c r="AD102" s="366"/>
      <c r="AE102" s="366"/>
      <c r="AF102" s="366"/>
      <c r="AG102" s="366"/>
      <c r="AH102" s="366"/>
      <c r="AI102" s="366"/>
      <c r="AJ102" s="366"/>
      <c r="AM102" s="366"/>
      <c r="AN102" s="366"/>
    </row>
    <row r="103" spans="1:40" ht="20.25" customHeight="1" x14ac:dyDescent="0.35">
      <c r="A103" s="366"/>
      <c r="B103" s="276"/>
      <c r="C103" s="365"/>
      <c r="D103" s="365"/>
      <c r="E103" s="468"/>
      <c r="F103" s="478"/>
      <c r="G103" s="470"/>
      <c r="H103" s="494"/>
      <c r="I103" s="471"/>
      <c r="J103" s="424"/>
      <c r="K103" s="495"/>
      <c r="L103" s="495"/>
      <c r="M103" s="495"/>
      <c r="N103" s="496"/>
      <c r="O103" s="497"/>
      <c r="P103" s="497"/>
      <c r="Q103" s="497"/>
      <c r="R103" s="498"/>
      <c r="S103" s="545"/>
      <c r="T103" s="546"/>
      <c r="U103" s="404"/>
      <c r="V103" s="476"/>
      <c r="W103" s="476"/>
      <c r="X103" s="477"/>
      <c r="AA103" s="366"/>
      <c r="AB103" s="503"/>
      <c r="AC103" s="366"/>
      <c r="AD103" s="366"/>
      <c r="AE103" s="366"/>
      <c r="AF103" s="366"/>
      <c r="AG103" s="366"/>
      <c r="AH103" s="366"/>
      <c r="AI103" s="366"/>
      <c r="AJ103" s="366"/>
      <c r="AM103" s="366"/>
      <c r="AN103" s="366"/>
    </row>
    <row r="104" spans="1:40" ht="20.25" customHeight="1" x14ac:dyDescent="0.35">
      <c r="A104" s="366"/>
      <c r="B104" s="467"/>
      <c r="C104" s="365"/>
      <c r="D104" s="365"/>
      <c r="E104" s="468"/>
      <c r="F104" s="478"/>
      <c r="G104" s="470"/>
      <c r="H104" s="494"/>
      <c r="I104" s="471"/>
      <c r="J104" s="424"/>
      <c r="K104" s="495"/>
      <c r="L104" s="495"/>
      <c r="M104" s="495"/>
      <c r="N104" s="496"/>
      <c r="O104" s="497"/>
      <c r="P104" s="497"/>
      <c r="Q104" s="497"/>
      <c r="R104" s="498"/>
      <c r="S104" s="545"/>
      <c r="T104" s="546"/>
      <c r="U104" s="404"/>
      <c r="V104" s="476"/>
      <c r="W104" s="476"/>
      <c r="X104" s="477"/>
      <c r="AA104" s="366"/>
      <c r="AB104" s="503"/>
      <c r="AC104" s="366"/>
      <c r="AD104" s="366"/>
      <c r="AE104" s="366"/>
      <c r="AF104" s="366"/>
      <c r="AG104" s="366"/>
      <c r="AH104" s="366"/>
      <c r="AI104" s="366"/>
      <c r="AJ104" s="366"/>
      <c r="AM104" s="366"/>
      <c r="AN104" s="366"/>
    </row>
    <row r="105" spans="1:40" ht="20.25" customHeight="1" x14ac:dyDescent="0.35">
      <c r="A105" s="366"/>
      <c r="B105" s="467"/>
      <c r="C105" s="365"/>
      <c r="D105" s="365"/>
      <c r="E105" s="468"/>
      <c r="F105" s="478"/>
      <c r="G105" s="470"/>
      <c r="H105" s="494"/>
      <c r="I105" s="471"/>
      <c r="J105" s="424"/>
      <c r="K105" s="495"/>
      <c r="L105" s="495"/>
      <c r="M105" s="495"/>
      <c r="N105" s="496"/>
      <c r="O105" s="497"/>
      <c r="P105" s="497"/>
      <c r="Q105" s="497"/>
      <c r="R105" s="498"/>
      <c r="S105" s="545"/>
      <c r="T105" s="546"/>
      <c r="U105" s="404"/>
      <c r="V105" s="476"/>
      <c r="W105" s="476"/>
      <c r="X105" s="477"/>
      <c r="Y105" s="488"/>
      <c r="AA105" s="366"/>
      <c r="AB105" s="503"/>
      <c r="AC105" s="366"/>
      <c r="AD105" s="366"/>
      <c r="AE105" s="366"/>
      <c r="AF105" s="366"/>
      <c r="AG105" s="366"/>
      <c r="AH105" s="366"/>
      <c r="AI105" s="366"/>
      <c r="AJ105" s="366"/>
      <c r="AM105" s="366"/>
      <c r="AN105" s="366"/>
    </row>
    <row r="106" spans="1:40" ht="20.25" customHeight="1" x14ac:dyDescent="0.35">
      <c r="A106" s="366"/>
      <c r="B106" s="467"/>
      <c r="C106" s="365"/>
      <c r="D106" s="365"/>
      <c r="E106" s="468"/>
      <c r="F106" s="478"/>
      <c r="G106" s="470"/>
      <c r="H106" s="494"/>
      <c r="I106" s="471"/>
      <c r="J106" s="424"/>
      <c r="K106" s="495"/>
      <c r="L106" s="495"/>
      <c r="M106" s="495"/>
      <c r="N106" s="496"/>
      <c r="O106" s="497"/>
      <c r="P106" s="497"/>
      <c r="Q106" s="497"/>
      <c r="R106" s="498"/>
      <c r="S106" s="545"/>
      <c r="T106" s="546"/>
      <c r="U106" s="404"/>
      <c r="V106" s="476"/>
      <c r="W106" s="476"/>
      <c r="X106" s="477"/>
      <c r="AA106" s="366"/>
      <c r="AB106" s="503"/>
      <c r="AC106" s="366"/>
      <c r="AD106" s="366"/>
      <c r="AE106" s="366"/>
      <c r="AF106" s="366"/>
      <c r="AG106" s="366"/>
      <c r="AH106" s="366"/>
      <c r="AI106" s="366"/>
      <c r="AJ106" s="366"/>
      <c r="AM106" s="366"/>
      <c r="AN106" s="366"/>
    </row>
    <row r="107" spans="1:40" ht="20.25" customHeight="1" x14ac:dyDescent="0.35">
      <c r="A107" s="366"/>
      <c r="B107" s="467"/>
      <c r="C107" s="365"/>
      <c r="D107" s="495"/>
      <c r="E107" s="468"/>
      <c r="F107" s="478"/>
      <c r="G107" s="470"/>
      <c r="H107" s="494"/>
      <c r="I107" s="471"/>
      <c r="J107" s="424"/>
      <c r="K107" s="495"/>
      <c r="L107" s="495"/>
      <c r="M107" s="495"/>
      <c r="N107" s="496"/>
      <c r="O107" s="497"/>
      <c r="P107" s="497"/>
      <c r="Q107" s="497"/>
      <c r="R107" s="498"/>
      <c r="S107" s="545"/>
      <c r="T107" s="546"/>
      <c r="U107" s="404"/>
      <c r="V107" s="476"/>
      <c r="W107" s="476"/>
      <c r="X107" s="477"/>
      <c r="AA107" s="366"/>
      <c r="AB107" s="503"/>
      <c r="AC107" s="366"/>
      <c r="AD107" s="366"/>
      <c r="AE107" s="366"/>
      <c r="AF107" s="366"/>
      <c r="AG107" s="366"/>
      <c r="AH107" s="366"/>
      <c r="AI107" s="366"/>
      <c r="AJ107" s="366"/>
      <c r="AM107" s="366"/>
      <c r="AN107" s="366"/>
    </row>
    <row r="108" spans="1:40" ht="20.25" customHeight="1" x14ac:dyDescent="0.35">
      <c r="A108" s="453"/>
      <c r="B108" s="479"/>
      <c r="C108" s="479"/>
      <c r="D108" s="484"/>
      <c r="E108" s="489"/>
      <c r="F108" s="490"/>
      <c r="G108" s="489"/>
      <c r="H108" s="489"/>
      <c r="I108" s="489"/>
      <c r="J108" s="484"/>
      <c r="K108" s="480"/>
      <c r="L108" s="480"/>
      <c r="M108" s="480"/>
      <c r="N108" s="491"/>
      <c r="O108" s="486"/>
      <c r="P108" s="486"/>
      <c r="Q108" s="486"/>
      <c r="R108" s="487"/>
      <c r="S108" s="487"/>
      <c r="T108" s="487"/>
      <c r="U108" s="404"/>
      <c r="V108" s="476"/>
      <c r="W108" s="476"/>
      <c r="X108" s="477"/>
      <c r="AA108" s="366"/>
      <c r="AB108" s="503"/>
      <c r="AC108" s="366"/>
      <c r="AD108" s="366"/>
      <c r="AE108" s="366"/>
      <c r="AF108" s="366"/>
      <c r="AG108" s="366"/>
      <c r="AH108" s="366"/>
      <c r="AI108" s="366"/>
      <c r="AJ108" s="366"/>
      <c r="AM108" s="366"/>
      <c r="AN108" s="366"/>
    </row>
    <row r="109" spans="1:40" ht="20.25" customHeight="1" x14ac:dyDescent="0.35">
      <c r="A109" s="366"/>
      <c r="B109" s="509"/>
      <c r="C109" s="365"/>
      <c r="D109" s="365"/>
      <c r="E109" s="468"/>
      <c r="F109" s="478"/>
      <c r="G109" s="470"/>
      <c r="H109" s="494"/>
      <c r="I109" s="471"/>
      <c r="J109" s="424"/>
      <c r="K109" s="495"/>
      <c r="L109" s="495"/>
      <c r="M109" s="495"/>
      <c r="N109" s="496"/>
      <c r="O109" s="497"/>
      <c r="P109" s="497"/>
      <c r="Q109" s="497"/>
      <c r="R109" s="498"/>
      <c r="S109" s="545"/>
      <c r="T109" s="546"/>
      <c r="U109" s="404"/>
      <c r="V109" s="476"/>
      <c r="W109" s="476"/>
      <c r="X109" s="477"/>
      <c r="AA109" s="366"/>
      <c r="AB109" s="503"/>
      <c r="AC109" s="366"/>
      <c r="AD109" s="366"/>
      <c r="AE109" s="366"/>
      <c r="AF109" s="366"/>
      <c r="AG109" s="366"/>
      <c r="AH109" s="366"/>
      <c r="AI109" s="366"/>
      <c r="AJ109" s="366"/>
      <c r="AM109" s="366"/>
      <c r="AN109" s="366"/>
    </row>
    <row r="110" spans="1:40" ht="20.25" customHeight="1" x14ac:dyDescent="0.35">
      <c r="A110" s="366"/>
      <c r="B110" s="495"/>
      <c r="C110" s="495"/>
      <c r="D110" s="495"/>
      <c r="E110" s="494"/>
      <c r="F110" s="507"/>
      <c r="G110" s="494"/>
      <c r="H110" s="494"/>
      <c r="I110" s="471"/>
      <c r="J110" s="424"/>
      <c r="K110" s="495"/>
      <c r="L110" s="495"/>
      <c r="M110" s="495"/>
      <c r="N110" s="496"/>
      <c r="O110" s="497"/>
      <c r="P110" s="497"/>
      <c r="Q110" s="497"/>
      <c r="R110" s="498"/>
      <c r="S110" s="545"/>
      <c r="T110" s="546"/>
      <c r="U110" s="404"/>
      <c r="V110" s="476"/>
      <c r="W110" s="476"/>
      <c r="X110" s="477"/>
      <c r="AA110" s="366"/>
      <c r="AB110" s="503"/>
      <c r="AC110" s="366"/>
      <c r="AD110" s="366"/>
      <c r="AE110" s="366"/>
      <c r="AF110" s="366"/>
      <c r="AG110" s="366"/>
      <c r="AH110" s="366"/>
      <c r="AI110" s="366"/>
      <c r="AJ110" s="366"/>
      <c r="AM110" s="366"/>
      <c r="AN110" s="366"/>
    </row>
    <row r="111" spans="1:40" ht="20.25" customHeight="1" x14ac:dyDescent="0.35">
      <c r="A111" s="453"/>
      <c r="B111" s="479"/>
      <c r="C111" s="479"/>
      <c r="D111" s="484"/>
      <c r="E111" s="489"/>
      <c r="F111" s="490"/>
      <c r="G111" s="489"/>
      <c r="H111" s="489"/>
      <c r="I111" s="490"/>
      <c r="J111" s="484"/>
      <c r="K111" s="480"/>
      <c r="L111" s="480"/>
      <c r="M111" s="480"/>
      <c r="N111" s="491"/>
      <c r="O111" s="486"/>
      <c r="P111" s="486"/>
      <c r="Q111" s="486"/>
      <c r="R111" s="487"/>
      <c r="S111" s="487"/>
      <c r="T111" s="487"/>
      <c r="U111" s="404"/>
      <c r="V111" s="476"/>
      <c r="W111" s="476"/>
      <c r="X111" s="477"/>
      <c r="AA111" s="366"/>
      <c r="AB111" s="503"/>
      <c r="AC111" s="366"/>
      <c r="AD111" s="366"/>
      <c r="AE111" s="366"/>
      <c r="AF111" s="366"/>
      <c r="AG111" s="366"/>
      <c r="AH111" s="366"/>
      <c r="AI111" s="366"/>
      <c r="AJ111" s="366"/>
      <c r="AM111" s="366"/>
      <c r="AN111" s="366"/>
    </row>
    <row r="112" spans="1:40" ht="20.25" customHeight="1" x14ac:dyDescent="0.35">
      <c r="A112" s="366"/>
      <c r="B112" s="467"/>
      <c r="C112" s="365"/>
      <c r="D112" s="365"/>
      <c r="E112" s="468"/>
      <c r="F112" s="478"/>
      <c r="G112" s="470"/>
      <c r="H112" s="494"/>
      <c r="I112" s="471"/>
      <c r="J112" s="424"/>
      <c r="K112" s="495"/>
      <c r="L112" s="495"/>
      <c r="M112" s="495"/>
      <c r="N112" s="496"/>
      <c r="O112" s="497"/>
      <c r="P112" s="497"/>
      <c r="Q112" s="497"/>
      <c r="R112" s="498"/>
      <c r="S112" s="545"/>
      <c r="T112" s="546"/>
      <c r="U112" s="404"/>
      <c r="V112" s="476"/>
      <c r="W112" s="476"/>
      <c r="X112" s="477"/>
      <c r="AA112" s="366"/>
      <c r="AB112" s="503"/>
      <c r="AC112" s="366"/>
      <c r="AD112" s="366"/>
      <c r="AE112" s="366"/>
      <c r="AF112" s="366"/>
      <c r="AG112" s="366"/>
      <c r="AH112" s="366"/>
      <c r="AI112" s="366"/>
      <c r="AJ112" s="366"/>
      <c r="AM112" s="366"/>
      <c r="AN112" s="366"/>
    </row>
    <row r="113" spans="1:40" ht="20.25" customHeight="1" x14ac:dyDescent="0.35">
      <c r="A113" s="366"/>
      <c r="B113" s="467"/>
      <c r="C113" s="365"/>
      <c r="D113" s="365"/>
      <c r="E113" s="468"/>
      <c r="F113" s="478"/>
      <c r="G113" s="470"/>
      <c r="H113" s="494"/>
      <c r="I113" s="471"/>
      <c r="J113" s="424"/>
      <c r="K113" s="495"/>
      <c r="L113" s="495"/>
      <c r="M113" s="495"/>
      <c r="N113" s="496"/>
      <c r="O113" s="497"/>
      <c r="P113" s="497"/>
      <c r="Q113" s="497"/>
      <c r="R113" s="498"/>
      <c r="S113" s="545"/>
      <c r="T113" s="546"/>
      <c r="U113" s="404"/>
      <c r="V113" s="476"/>
      <c r="W113" s="476"/>
      <c r="X113" s="477"/>
      <c r="AA113" s="366"/>
      <c r="AB113" s="503"/>
      <c r="AC113" s="366"/>
      <c r="AD113" s="366"/>
      <c r="AE113" s="366"/>
      <c r="AF113" s="366"/>
      <c r="AG113" s="366"/>
      <c r="AH113" s="366"/>
      <c r="AI113" s="366"/>
      <c r="AJ113" s="366"/>
      <c r="AM113" s="366"/>
      <c r="AN113" s="366"/>
    </row>
    <row r="114" spans="1:40" ht="20.25" customHeight="1" x14ac:dyDescent="0.35">
      <c r="A114" s="366"/>
      <c r="B114" s="467"/>
      <c r="C114" s="365"/>
      <c r="D114" s="365"/>
      <c r="E114" s="468"/>
      <c r="F114" s="478"/>
      <c r="G114" s="470"/>
      <c r="H114" s="494"/>
      <c r="I114" s="471"/>
      <c r="J114" s="424"/>
      <c r="K114" s="495"/>
      <c r="L114" s="495"/>
      <c r="M114" s="495"/>
      <c r="N114" s="496"/>
      <c r="O114" s="497"/>
      <c r="P114" s="497"/>
      <c r="Q114" s="497"/>
      <c r="R114" s="498"/>
      <c r="S114" s="545"/>
      <c r="T114" s="546"/>
      <c r="U114" s="404"/>
      <c r="V114" s="476"/>
      <c r="W114" s="476"/>
      <c r="X114" s="477"/>
      <c r="AA114" s="366"/>
      <c r="AB114" s="503"/>
      <c r="AC114" s="366"/>
      <c r="AD114" s="366"/>
      <c r="AE114" s="366"/>
      <c r="AF114" s="366"/>
      <c r="AG114" s="366"/>
      <c r="AH114" s="366"/>
      <c r="AI114" s="366"/>
      <c r="AJ114" s="366"/>
      <c r="AM114" s="366"/>
      <c r="AN114" s="366"/>
    </row>
    <row r="115" spans="1:40" ht="20.25" customHeight="1" x14ac:dyDescent="0.35">
      <c r="A115" s="366"/>
      <c r="B115" s="467"/>
      <c r="C115" s="365"/>
      <c r="D115" s="365"/>
      <c r="E115" s="468"/>
      <c r="F115" s="478"/>
      <c r="G115" s="470"/>
      <c r="H115" s="494"/>
      <c r="I115" s="471"/>
      <c r="J115" s="424"/>
      <c r="K115" s="495"/>
      <c r="L115" s="495"/>
      <c r="M115" s="495"/>
      <c r="N115" s="496"/>
      <c r="O115" s="497"/>
      <c r="P115" s="497"/>
      <c r="Q115" s="497"/>
      <c r="R115" s="498"/>
      <c r="S115" s="545"/>
      <c r="T115" s="546"/>
      <c r="U115" s="404"/>
      <c r="V115" s="476"/>
      <c r="W115" s="476"/>
      <c r="X115" s="477"/>
      <c r="AA115" s="366"/>
      <c r="AB115" s="503"/>
      <c r="AC115" s="366"/>
      <c r="AD115" s="366"/>
      <c r="AE115" s="366"/>
      <c r="AF115" s="366"/>
      <c r="AG115" s="366"/>
      <c r="AH115" s="366"/>
      <c r="AI115" s="366"/>
      <c r="AJ115" s="366"/>
      <c r="AM115" s="366"/>
      <c r="AN115" s="366"/>
    </row>
    <row r="116" spans="1:40" ht="20.25" customHeight="1" x14ac:dyDescent="0.35">
      <c r="A116" s="366"/>
      <c r="B116" s="467"/>
      <c r="C116" s="365"/>
      <c r="D116" s="365"/>
      <c r="E116" s="468"/>
      <c r="F116" s="478"/>
      <c r="G116" s="470"/>
      <c r="H116" s="494"/>
      <c r="I116" s="471"/>
      <c r="J116" s="424"/>
      <c r="K116" s="495"/>
      <c r="L116" s="495"/>
      <c r="M116" s="495"/>
      <c r="N116" s="496"/>
      <c r="O116" s="497"/>
      <c r="P116" s="497"/>
      <c r="Q116" s="497"/>
      <c r="R116" s="498"/>
      <c r="S116" s="545"/>
      <c r="T116" s="546"/>
      <c r="U116" s="404"/>
      <c r="V116" s="476"/>
      <c r="W116" s="476"/>
      <c r="X116" s="477"/>
      <c r="AA116" s="366"/>
      <c r="AB116" s="503"/>
      <c r="AC116" s="366"/>
      <c r="AD116" s="366"/>
      <c r="AE116" s="366"/>
      <c r="AF116" s="366"/>
      <c r="AG116" s="366"/>
      <c r="AH116" s="366"/>
      <c r="AI116" s="366"/>
      <c r="AJ116" s="366"/>
      <c r="AM116" s="366"/>
      <c r="AN116" s="366"/>
    </row>
    <row r="117" spans="1:40" ht="20.25" customHeight="1" x14ac:dyDescent="0.35">
      <c r="A117" s="366"/>
      <c r="B117" s="467"/>
      <c r="C117" s="365"/>
      <c r="D117" s="365"/>
      <c r="E117" s="468"/>
      <c r="F117" s="478"/>
      <c r="G117" s="470"/>
      <c r="H117" s="494"/>
      <c r="I117" s="471"/>
      <c r="J117" s="424"/>
      <c r="K117" s="495"/>
      <c r="L117" s="495"/>
      <c r="M117" s="495"/>
      <c r="N117" s="496"/>
      <c r="O117" s="497"/>
      <c r="P117" s="497"/>
      <c r="Q117" s="497"/>
      <c r="R117" s="498"/>
      <c r="S117" s="545"/>
      <c r="T117" s="546"/>
      <c r="U117" s="404"/>
      <c r="V117" s="476"/>
      <c r="W117" s="476"/>
      <c r="X117" s="477"/>
      <c r="AA117" s="366"/>
      <c r="AB117" s="503"/>
      <c r="AC117" s="366"/>
      <c r="AD117" s="366"/>
      <c r="AE117" s="366"/>
      <c r="AF117" s="366"/>
      <c r="AG117" s="366"/>
      <c r="AH117" s="366"/>
      <c r="AI117" s="366"/>
      <c r="AJ117" s="366"/>
      <c r="AM117" s="366"/>
      <c r="AN117" s="366"/>
    </row>
    <row r="118" spans="1:40" ht="20.25" customHeight="1" x14ac:dyDescent="0.35">
      <c r="A118" s="366"/>
      <c r="B118" s="467"/>
      <c r="C118" s="365"/>
      <c r="D118" s="365"/>
      <c r="E118" s="468"/>
      <c r="F118" s="478"/>
      <c r="G118" s="470"/>
      <c r="H118" s="494"/>
      <c r="I118" s="471"/>
      <c r="J118" s="424"/>
      <c r="K118" s="495"/>
      <c r="L118" s="495"/>
      <c r="M118" s="495"/>
      <c r="N118" s="496"/>
      <c r="O118" s="497"/>
      <c r="P118" s="497"/>
      <c r="Q118" s="497"/>
      <c r="R118" s="498"/>
      <c r="S118" s="545"/>
      <c r="T118" s="546"/>
      <c r="U118" s="404"/>
      <c r="V118" s="476"/>
      <c r="W118" s="476"/>
      <c r="X118" s="477"/>
      <c r="AA118" s="366"/>
      <c r="AB118" s="503"/>
      <c r="AC118" s="366"/>
      <c r="AD118" s="366"/>
      <c r="AE118" s="366"/>
      <c r="AF118" s="366"/>
      <c r="AG118" s="366"/>
      <c r="AH118" s="366"/>
      <c r="AI118" s="366"/>
      <c r="AJ118" s="366"/>
      <c r="AM118" s="366"/>
      <c r="AN118" s="366"/>
    </row>
    <row r="119" spans="1:40" ht="20.25" customHeight="1" x14ac:dyDescent="0.35">
      <c r="A119" s="366"/>
      <c r="B119" s="467"/>
      <c r="C119" s="365"/>
      <c r="D119" s="365"/>
      <c r="E119" s="468"/>
      <c r="F119" s="478"/>
      <c r="G119" s="470"/>
      <c r="H119" s="494"/>
      <c r="I119" s="471"/>
      <c r="J119" s="424"/>
      <c r="K119" s="495"/>
      <c r="L119" s="495"/>
      <c r="M119" s="495"/>
      <c r="N119" s="496"/>
      <c r="O119" s="497"/>
      <c r="P119" s="497"/>
      <c r="Q119" s="497"/>
      <c r="R119" s="498"/>
      <c r="S119" s="545"/>
      <c r="T119" s="546"/>
      <c r="U119" s="404"/>
      <c r="V119" s="476"/>
      <c r="W119" s="476"/>
      <c r="X119" s="477"/>
      <c r="AA119" s="366"/>
      <c r="AB119" s="503"/>
      <c r="AC119" s="366"/>
      <c r="AD119" s="366"/>
      <c r="AE119" s="366"/>
      <c r="AF119" s="366"/>
      <c r="AG119" s="366"/>
      <c r="AH119" s="366"/>
      <c r="AI119" s="366"/>
      <c r="AJ119" s="366"/>
      <c r="AM119" s="366"/>
      <c r="AN119" s="366"/>
    </row>
    <row r="120" spans="1:40" ht="20.25" customHeight="1" x14ac:dyDescent="0.35">
      <c r="A120" s="366"/>
      <c r="B120" s="467"/>
      <c r="C120" s="365"/>
      <c r="D120" s="365"/>
      <c r="E120" s="468"/>
      <c r="F120" s="478"/>
      <c r="G120" s="470"/>
      <c r="H120" s="494"/>
      <c r="I120" s="471"/>
      <c r="J120" s="424"/>
      <c r="K120" s="495"/>
      <c r="L120" s="495"/>
      <c r="M120" s="495"/>
      <c r="N120" s="496"/>
      <c r="O120" s="497"/>
      <c r="P120" s="497"/>
      <c r="Q120" s="497"/>
      <c r="R120" s="498"/>
      <c r="S120" s="545"/>
      <c r="T120" s="546"/>
      <c r="U120" s="404"/>
      <c r="V120" s="476"/>
      <c r="W120" s="476"/>
      <c r="X120" s="477"/>
      <c r="AA120" s="366"/>
      <c r="AB120" s="503"/>
      <c r="AC120" s="366"/>
      <c r="AD120" s="366"/>
      <c r="AE120" s="366"/>
      <c r="AF120" s="366"/>
      <c r="AG120" s="366"/>
      <c r="AH120" s="366"/>
      <c r="AI120" s="366"/>
      <c r="AJ120" s="366"/>
      <c r="AM120" s="366"/>
      <c r="AN120" s="366"/>
    </row>
    <row r="121" spans="1:40" ht="20.25" customHeight="1" x14ac:dyDescent="0.35">
      <c r="A121" s="366"/>
      <c r="B121" s="467"/>
      <c r="C121" s="365"/>
      <c r="D121" s="365"/>
      <c r="E121" s="468"/>
      <c r="F121" s="478"/>
      <c r="G121" s="470"/>
      <c r="H121" s="494"/>
      <c r="I121" s="471"/>
      <c r="J121" s="424"/>
      <c r="K121" s="495"/>
      <c r="L121" s="495"/>
      <c r="M121" s="495"/>
      <c r="N121" s="496"/>
      <c r="O121" s="497"/>
      <c r="P121" s="497"/>
      <c r="Q121" s="497"/>
      <c r="R121" s="498"/>
      <c r="S121" s="545"/>
      <c r="T121" s="546"/>
      <c r="U121" s="404"/>
      <c r="V121" s="476"/>
      <c r="W121" s="476"/>
      <c r="X121" s="477"/>
      <c r="AA121" s="366"/>
      <c r="AB121" s="503"/>
      <c r="AC121" s="366"/>
      <c r="AD121" s="366"/>
      <c r="AE121" s="366"/>
      <c r="AF121" s="366"/>
      <c r="AG121" s="366"/>
      <c r="AH121" s="366"/>
      <c r="AI121" s="366"/>
      <c r="AJ121" s="366"/>
      <c r="AM121" s="366"/>
      <c r="AN121" s="366"/>
    </row>
    <row r="122" spans="1:40" ht="20.25" customHeight="1" x14ac:dyDescent="0.35">
      <c r="A122" s="366"/>
      <c r="B122" s="467"/>
      <c r="C122" s="365"/>
      <c r="D122" s="365"/>
      <c r="E122" s="468"/>
      <c r="F122" s="478"/>
      <c r="G122" s="470"/>
      <c r="H122" s="494"/>
      <c r="I122" s="471"/>
      <c r="J122" s="424"/>
      <c r="K122" s="495"/>
      <c r="L122" s="495"/>
      <c r="M122" s="495"/>
      <c r="N122" s="496"/>
      <c r="O122" s="497"/>
      <c r="P122" s="497"/>
      <c r="Q122" s="497"/>
      <c r="R122" s="498"/>
      <c r="S122" s="545"/>
      <c r="T122" s="546"/>
      <c r="U122" s="404"/>
      <c r="V122" s="476"/>
      <c r="W122" s="476"/>
      <c r="X122" s="477"/>
      <c r="AA122" s="366"/>
      <c r="AB122" s="503"/>
      <c r="AC122" s="366"/>
      <c r="AD122" s="366"/>
      <c r="AE122" s="366"/>
      <c r="AF122" s="366"/>
      <c r="AG122" s="366"/>
      <c r="AH122" s="366"/>
      <c r="AI122" s="366"/>
      <c r="AJ122" s="366"/>
      <c r="AM122" s="366"/>
      <c r="AN122" s="366"/>
    </row>
    <row r="123" spans="1:40" ht="20.25" customHeight="1" x14ac:dyDescent="0.35">
      <c r="A123" s="366"/>
      <c r="B123" s="467"/>
      <c r="C123" s="365"/>
      <c r="D123" s="365"/>
      <c r="E123" s="468"/>
      <c r="F123" s="478"/>
      <c r="G123" s="470"/>
      <c r="H123" s="494"/>
      <c r="I123" s="471"/>
      <c r="J123" s="424"/>
      <c r="K123" s="495"/>
      <c r="L123" s="495"/>
      <c r="M123" s="495"/>
      <c r="N123" s="496"/>
      <c r="O123" s="497"/>
      <c r="P123" s="497"/>
      <c r="Q123" s="497"/>
      <c r="R123" s="498"/>
      <c r="S123" s="545"/>
      <c r="T123" s="546"/>
      <c r="U123" s="404"/>
      <c r="V123" s="476"/>
      <c r="W123" s="476"/>
      <c r="X123" s="477"/>
      <c r="AA123" s="366"/>
      <c r="AB123" s="503"/>
      <c r="AC123" s="366"/>
      <c r="AD123" s="366"/>
      <c r="AE123" s="366"/>
      <c r="AF123" s="366"/>
      <c r="AG123" s="366"/>
      <c r="AH123" s="366"/>
      <c r="AI123" s="366"/>
      <c r="AJ123" s="366"/>
      <c r="AM123" s="366"/>
      <c r="AN123" s="366"/>
    </row>
    <row r="124" spans="1:40" ht="20.25" customHeight="1" x14ac:dyDescent="0.35">
      <c r="A124" s="366"/>
      <c r="B124" s="495"/>
      <c r="C124" s="495"/>
      <c r="D124" s="495"/>
      <c r="E124" s="494"/>
      <c r="F124" s="507"/>
      <c r="G124" s="494"/>
      <c r="H124" s="494"/>
      <c r="I124" s="471"/>
      <c r="J124" s="424"/>
      <c r="K124" s="495"/>
      <c r="L124" s="495"/>
      <c r="M124" s="495"/>
      <c r="N124" s="496"/>
      <c r="O124" s="497"/>
      <c r="P124" s="497"/>
      <c r="Q124" s="497"/>
      <c r="R124" s="498"/>
      <c r="S124" s="545"/>
      <c r="T124" s="546"/>
      <c r="U124" s="404"/>
      <c r="V124" s="476"/>
      <c r="W124" s="476"/>
      <c r="X124" s="477"/>
      <c r="Y124" s="488"/>
      <c r="AA124" s="366"/>
      <c r="AB124" s="503"/>
      <c r="AC124" s="366"/>
      <c r="AD124" s="366"/>
      <c r="AE124" s="366"/>
      <c r="AF124" s="366"/>
      <c r="AG124" s="366"/>
      <c r="AH124" s="366"/>
      <c r="AI124" s="366"/>
      <c r="AJ124" s="366"/>
      <c r="AM124" s="366"/>
      <c r="AN124" s="366"/>
    </row>
    <row r="125" spans="1:40" ht="20.25" customHeight="1" x14ac:dyDescent="0.35">
      <c r="A125" s="453"/>
      <c r="B125" s="479"/>
      <c r="C125" s="479"/>
      <c r="D125" s="484"/>
      <c r="E125" s="489"/>
      <c r="F125" s="490"/>
      <c r="G125" s="489"/>
      <c r="H125" s="489"/>
      <c r="I125" s="490"/>
      <c r="J125" s="484"/>
      <c r="K125" s="480"/>
      <c r="L125" s="480"/>
      <c r="M125" s="480"/>
      <c r="N125" s="491"/>
      <c r="O125" s="486"/>
      <c r="P125" s="486"/>
      <c r="Q125" s="486"/>
      <c r="R125" s="487"/>
      <c r="S125" s="487"/>
      <c r="T125" s="487"/>
      <c r="U125" s="404"/>
      <c r="V125" s="476"/>
      <c r="W125" s="476"/>
      <c r="X125" s="477"/>
      <c r="AA125" s="366"/>
      <c r="AB125" s="503"/>
      <c r="AC125" s="366"/>
      <c r="AD125" s="366"/>
      <c r="AE125" s="366"/>
      <c r="AF125" s="366"/>
      <c r="AG125" s="366"/>
      <c r="AH125" s="366"/>
      <c r="AI125" s="366"/>
      <c r="AJ125" s="366"/>
      <c r="AM125" s="366"/>
      <c r="AN125" s="366"/>
    </row>
    <row r="126" spans="1:40" ht="20.25" customHeight="1" x14ac:dyDescent="0.35">
      <c r="A126" s="366"/>
      <c r="B126" s="467"/>
      <c r="C126" s="365"/>
      <c r="D126" s="365"/>
      <c r="E126" s="468"/>
      <c r="F126" s="478"/>
      <c r="G126" s="470"/>
      <c r="H126" s="494"/>
      <c r="I126" s="471"/>
      <c r="J126" s="424"/>
      <c r="K126" s="495"/>
      <c r="L126" s="495"/>
      <c r="M126" s="495"/>
      <c r="N126" s="496"/>
      <c r="O126" s="497"/>
      <c r="P126" s="497"/>
      <c r="Q126" s="497"/>
      <c r="R126" s="498"/>
      <c r="S126" s="545"/>
      <c r="T126" s="546"/>
      <c r="U126" s="404"/>
      <c r="V126" s="476"/>
      <c r="W126" s="476"/>
      <c r="X126" s="477"/>
      <c r="AA126" s="366"/>
      <c r="AB126" s="503"/>
      <c r="AC126" s="366"/>
      <c r="AD126" s="366"/>
      <c r="AE126" s="366"/>
      <c r="AF126" s="366"/>
      <c r="AG126" s="366"/>
      <c r="AH126" s="366"/>
      <c r="AI126" s="366"/>
      <c r="AJ126" s="366"/>
      <c r="AM126" s="366"/>
      <c r="AN126" s="366"/>
    </row>
    <row r="127" spans="1:40" ht="20.25" customHeight="1" x14ac:dyDescent="0.35">
      <c r="A127" s="366"/>
      <c r="B127" s="467"/>
      <c r="C127" s="365"/>
      <c r="D127" s="365"/>
      <c r="E127" s="468"/>
      <c r="F127" s="478"/>
      <c r="G127" s="470"/>
      <c r="H127" s="494"/>
      <c r="I127" s="471"/>
      <c r="J127" s="424"/>
      <c r="K127" s="495"/>
      <c r="L127" s="495"/>
      <c r="M127" s="495"/>
      <c r="N127" s="496"/>
      <c r="O127" s="497"/>
      <c r="P127" s="497"/>
      <c r="Q127" s="497"/>
      <c r="R127" s="498"/>
      <c r="S127" s="545"/>
      <c r="T127" s="546"/>
      <c r="U127" s="404"/>
      <c r="V127" s="476"/>
      <c r="W127" s="476"/>
      <c r="X127" s="477"/>
      <c r="AA127" s="366"/>
      <c r="AB127" s="503"/>
      <c r="AC127" s="366"/>
      <c r="AD127" s="366"/>
      <c r="AE127" s="366"/>
      <c r="AF127" s="366"/>
      <c r="AG127" s="366"/>
      <c r="AH127" s="366"/>
      <c r="AI127" s="366"/>
      <c r="AJ127" s="366"/>
      <c r="AM127" s="366"/>
      <c r="AN127" s="366"/>
    </row>
    <row r="128" spans="1:40" ht="20.25" customHeight="1" x14ac:dyDescent="0.35">
      <c r="A128" s="366"/>
      <c r="B128" s="467"/>
      <c r="C128" s="365"/>
      <c r="D128" s="365"/>
      <c r="E128" s="468"/>
      <c r="F128" s="478"/>
      <c r="G128" s="470"/>
      <c r="H128" s="494"/>
      <c r="I128" s="471"/>
      <c r="J128" s="424"/>
      <c r="K128" s="495"/>
      <c r="L128" s="495"/>
      <c r="M128" s="495"/>
      <c r="N128" s="496"/>
      <c r="O128" s="497"/>
      <c r="P128" s="497"/>
      <c r="Q128" s="497"/>
      <c r="R128" s="498"/>
      <c r="S128" s="545"/>
      <c r="T128" s="546"/>
      <c r="U128" s="404"/>
      <c r="V128" s="476"/>
      <c r="W128" s="476"/>
      <c r="X128" s="477"/>
      <c r="AA128" s="366"/>
      <c r="AB128" s="503"/>
      <c r="AC128" s="366"/>
      <c r="AD128" s="366"/>
      <c r="AE128" s="366"/>
      <c r="AF128" s="366"/>
      <c r="AG128" s="366"/>
      <c r="AH128" s="366"/>
      <c r="AI128" s="366"/>
      <c r="AJ128" s="366"/>
      <c r="AM128" s="366"/>
      <c r="AN128" s="366"/>
    </row>
    <row r="129" spans="1:40" ht="20.25" customHeight="1" x14ac:dyDescent="0.35">
      <c r="A129" s="366"/>
      <c r="B129" s="495"/>
      <c r="C129" s="365"/>
      <c r="D129" s="365"/>
      <c r="E129" s="468"/>
      <c r="F129" s="478"/>
      <c r="G129" s="470"/>
      <c r="H129" s="494"/>
      <c r="I129" s="471"/>
      <c r="J129" s="424"/>
      <c r="K129" s="495"/>
      <c r="L129" s="495"/>
      <c r="M129" s="495"/>
      <c r="N129" s="496"/>
      <c r="O129" s="497"/>
      <c r="P129" s="497"/>
      <c r="Q129" s="497"/>
      <c r="R129" s="498"/>
      <c r="S129" s="545"/>
      <c r="T129" s="546"/>
      <c r="U129" s="404"/>
      <c r="V129" s="476"/>
      <c r="W129" s="476"/>
      <c r="X129" s="477"/>
      <c r="AA129" s="366"/>
      <c r="AB129" s="503"/>
      <c r="AC129" s="366"/>
      <c r="AD129" s="366"/>
      <c r="AE129" s="366"/>
      <c r="AF129" s="366"/>
      <c r="AG129" s="366"/>
      <c r="AH129" s="366"/>
      <c r="AI129" s="366"/>
      <c r="AJ129" s="366"/>
      <c r="AM129" s="366"/>
      <c r="AN129" s="366"/>
    </row>
    <row r="130" spans="1:40" ht="20.25" customHeight="1" x14ac:dyDescent="0.35">
      <c r="A130" s="366"/>
      <c r="B130" s="495"/>
      <c r="C130" s="495"/>
      <c r="D130" s="495"/>
      <c r="E130" s="494"/>
      <c r="F130" s="507"/>
      <c r="G130" s="494"/>
      <c r="H130" s="494"/>
      <c r="I130" s="471"/>
      <c r="J130" s="424"/>
      <c r="K130" s="495"/>
      <c r="L130" s="495"/>
      <c r="M130" s="495"/>
      <c r="N130" s="496"/>
      <c r="O130" s="497"/>
      <c r="P130" s="497"/>
      <c r="Q130" s="497"/>
      <c r="R130" s="498"/>
      <c r="S130" s="545"/>
      <c r="T130" s="546"/>
      <c r="U130" s="404"/>
      <c r="V130" s="476"/>
      <c r="W130" s="476"/>
      <c r="X130" s="477"/>
      <c r="AA130" s="366"/>
      <c r="AB130" s="503"/>
      <c r="AC130" s="366"/>
      <c r="AD130" s="366"/>
      <c r="AE130" s="366"/>
      <c r="AF130" s="366"/>
      <c r="AG130" s="366"/>
      <c r="AH130" s="366"/>
      <c r="AI130" s="366"/>
      <c r="AJ130" s="366"/>
      <c r="AM130" s="366"/>
      <c r="AN130" s="366"/>
    </row>
    <row r="131" spans="1:40" ht="20.25" customHeight="1" x14ac:dyDescent="0.35">
      <c r="A131" s="453"/>
      <c r="B131" s="479"/>
      <c r="C131" s="479"/>
      <c r="D131" s="484"/>
      <c r="E131" s="489"/>
      <c r="F131" s="490"/>
      <c r="G131" s="489"/>
      <c r="H131" s="489"/>
      <c r="I131" s="490"/>
      <c r="J131" s="484"/>
      <c r="K131" s="480"/>
      <c r="L131" s="480"/>
      <c r="M131" s="480"/>
      <c r="N131" s="491"/>
      <c r="O131" s="486"/>
      <c r="P131" s="486"/>
      <c r="Q131" s="486"/>
      <c r="R131" s="487"/>
      <c r="S131" s="487"/>
      <c r="T131" s="487"/>
      <c r="U131" s="404"/>
      <c r="V131" s="476"/>
      <c r="W131" s="476"/>
      <c r="X131" s="477"/>
      <c r="AA131" s="366"/>
      <c r="AB131" s="503"/>
      <c r="AC131" s="366"/>
      <c r="AD131" s="366"/>
      <c r="AE131" s="366"/>
      <c r="AF131" s="366"/>
      <c r="AG131" s="366"/>
      <c r="AH131" s="366"/>
      <c r="AI131" s="366"/>
      <c r="AJ131" s="366"/>
      <c r="AM131" s="366"/>
      <c r="AN131" s="366"/>
    </row>
    <row r="132" spans="1:40" ht="20.25" customHeight="1" x14ac:dyDescent="0.35">
      <c r="A132" s="366"/>
      <c r="B132" s="509"/>
      <c r="C132" s="365"/>
      <c r="D132" s="365"/>
      <c r="E132" s="468"/>
      <c r="F132" s="478"/>
      <c r="G132" s="470"/>
      <c r="H132" s="494"/>
      <c r="I132" s="471"/>
      <c r="J132" s="424"/>
      <c r="K132" s="495"/>
      <c r="L132" s="495"/>
      <c r="M132" s="495"/>
      <c r="N132" s="496"/>
      <c r="O132" s="497"/>
      <c r="P132" s="497"/>
      <c r="Q132" s="497"/>
      <c r="R132" s="498"/>
      <c r="S132" s="545"/>
      <c r="T132" s="546"/>
      <c r="U132" s="404"/>
      <c r="V132" s="476"/>
      <c r="W132" s="476"/>
      <c r="X132" s="477"/>
      <c r="AA132" s="366"/>
      <c r="AB132" s="503"/>
      <c r="AC132" s="366"/>
      <c r="AD132" s="366"/>
      <c r="AE132" s="366"/>
      <c r="AF132" s="366"/>
      <c r="AG132" s="366"/>
      <c r="AH132" s="366"/>
      <c r="AI132" s="366"/>
      <c r="AJ132" s="366"/>
      <c r="AM132" s="366"/>
      <c r="AN132" s="366"/>
    </row>
    <row r="133" spans="1:40" ht="20.25" customHeight="1" x14ac:dyDescent="0.35">
      <c r="A133" s="366"/>
      <c r="B133" s="509"/>
      <c r="C133" s="365"/>
      <c r="D133" s="365"/>
      <c r="E133" s="468"/>
      <c r="F133" s="478"/>
      <c r="G133" s="470"/>
      <c r="H133" s="494"/>
      <c r="I133" s="471"/>
      <c r="J133" s="424"/>
      <c r="K133" s="495"/>
      <c r="L133" s="495"/>
      <c r="M133" s="495"/>
      <c r="N133" s="496"/>
      <c r="O133" s="497"/>
      <c r="P133" s="497"/>
      <c r="Q133" s="497"/>
      <c r="R133" s="498"/>
      <c r="S133" s="545"/>
      <c r="T133" s="546"/>
      <c r="U133" s="404"/>
      <c r="V133" s="476"/>
      <c r="W133" s="476"/>
      <c r="X133" s="477"/>
      <c r="Y133" s="488"/>
      <c r="AA133" s="366"/>
      <c r="AB133" s="503"/>
      <c r="AC133" s="366"/>
      <c r="AD133" s="366"/>
      <c r="AE133" s="366"/>
      <c r="AF133" s="366"/>
      <c r="AG133" s="366"/>
      <c r="AH133" s="366"/>
      <c r="AI133" s="366"/>
      <c r="AJ133" s="366"/>
      <c r="AM133" s="366"/>
      <c r="AN133" s="366"/>
    </row>
    <row r="134" spans="1:40" ht="20.25" customHeight="1" x14ac:dyDescent="0.35">
      <c r="A134" s="366"/>
      <c r="B134" s="509"/>
      <c r="C134" s="365"/>
      <c r="D134" s="495"/>
      <c r="E134" s="468"/>
      <c r="F134" s="478"/>
      <c r="G134" s="470"/>
      <c r="H134" s="494"/>
      <c r="I134" s="471"/>
      <c r="J134" s="424"/>
      <c r="K134" s="495"/>
      <c r="L134" s="495"/>
      <c r="M134" s="495"/>
      <c r="N134" s="496"/>
      <c r="O134" s="497"/>
      <c r="P134" s="497"/>
      <c r="Q134" s="497"/>
      <c r="R134" s="498"/>
      <c r="S134" s="545"/>
      <c r="T134" s="546"/>
      <c r="U134" s="404"/>
      <c r="V134" s="476"/>
      <c r="W134" s="476"/>
      <c r="X134" s="477"/>
      <c r="Y134" s="488"/>
      <c r="AA134" s="366"/>
      <c r="AB134" s="503"/>
      <c r="AC134" s="366"/>
      <c r="AD134" s="366"/>
      <c r="AE134" s="366"/>
      <c r="AF134" s="366"/>
      <c r="AG134" s="366"/>
      <c r="AH134" s="366"/>
      <c r="AI134" s="366"/>
      <c r="AJ134" s="366"/>
      <c r="AM134" s="366"/>
      <c r="AN134" s="366"/>
    </row>
    <row r="135" spans="1:40" ht="20.25" customHeight="1" x14ac:dyDescent="0.35">
      <c r="A135" s="366"/>
      <c r="B135" s="509"/>
      <c r="C135" s="365"/>
      <c r="D135" s="495"/>
      <c r="E135" s="468"/>
      <c r="F135" s="478"/>
      <c r="G135" s="470"/>
      <c r="H135" s="494"/>
      <c r="I135" s="471"/>
      <c r="J135" s="424"/>
      <c r="K135" s="495"/>
      <c r="L135" s="495"/>
      <c r="M135" s="495"/>
      <c r="N135" s="496"/>
      <c r="O135" s="497"/>
      <c r="P135" s="497"/>
      <c r="Q135" s="497"/>
      <c r="R135" s="498"/>
      <c r="S135" s="545"/>
      <c r="T135" s="546"/>
      <c r="U135" s="404"/>
      <c r="V135" s="476"/>
      <c r="W135" s="476"/>
      <c r="X135" s="477"/>
      <c r="Y135" s="488"/>
      <c r="AA135" s="366"/>
      <c r="AB135" s="503"/>
      <c r="AC135" s="366"/>
      <c r="AD135" s="366"/>
      <c r="AE135" s="366"/>
      <c r="AF135" s="366"/>
      <c r="AG135" s="366"/>
      <c r="AH135" s="366"/>
      <c r="AI135" s="366"/>
      <c r="AJ135" s="366"/>
      <c r="AM135" s="366"/>
      <c r="AN135" s="366"/>
    </row>
    <row r="136" spans="1:40" ht="20.25" customHeight="1" x14ac:dyDescent="0.35">
      <c r="A136" s="366"/>
      <c r="B136" s="509"/>
      <c r="C136" s="365"/>
      <c r="D136" s="495"/>
      <c r="E136" s="468"/>
      <c r="F136" s="478"/>
      <c r="G136" s="470"/>
      <c r="H136" s="494"/>
      <c r="I136" s="471"/>
      <c r="J136" s="424"/>
      <c r="K136" s="495"/>
      <c r="L136" s="495"/>
      <c r="M136" s="495"/>
      <c r="N136" s="496"/>
      <c r="O136" s="497"/>
      <c r="P136" s="497"/>
      <c r="Q136" s="497"/>
      <c r="R136" s="498"/>
      <c r="S136" s="545"/>
      <c r="T136" s="546"/>
      <c r="U136" s="404"/>
      <c r="V136" s="476"/>
      <c r="W136" s="476"/>
      <c r="X136" s="477"/>
      <c r="Y136" s="488"/>
      <c r="AA136" s="366"/>
      <c r="AB136" s="503"/>
      <c r="AC136" s="366"/>
      <c r="AD136" s="366"/>
      <c r="AE136" s="366"/>
      <c r="AF136" s="366"/>
      <c r="AG136" s="366"/>
      <c r="AH136" s="366"/>
      <c r="AI136" s="366"/>
      <c r="AJ136" s="366"/>
      <c r="AM136" s="366"/>
      <c r="AN136" s="366"/>
    </row>
    <row r="137" spans="1:40" ht="20.25" customHeight="1" x14ac:dyDescent="0.35">
      <c r="A137" s="366"/>
      <c r="B137" s="509"/>
      <c r="C137" s="365"/>
      <c r="D137" s="495"/>
      <c r="E137" s="468"/>
      <c r="F137" s="478"/>
      <c r="G137" s="470"/>
      <c r="H137" s="494"/>
      <c r="I137" s="471"/>
      <c r="J137" s="424"/>
      <c r="K137" s="495"/>
      <c r="L137" s="495"/>
      <c r="M137" s="495"/>
      <c r="N137" s="496"/>
      <c r="O137" s="497"/>
      <c r="P137" s="497"/>
      <c r="Q137" s="497"/>
      <c r="R137" s="498"/>
      <c r="S137" s="545"/>
      <c r="T137" s="546"/>
      <c r="U137" s="404"/>
      <c r="V137" s="476"/>
      <c r="W137" s="476"/>
      <c r="X137" s="477"/>
      <c r="Y137" s="488"/>
      <c r="AA137" s="366"/>
      <c r="AB137" s="503"/>
      <c r="AC137" s="366"/>
      <c r="AD137" s="366"/>
      <c r="AE137" s="366"/>
      <c r="AF137" s="366"/>
      <c r="AG137" s="366"/>
      <c r="AH137" s="366"/>
      <c r="AI137" s="366"/>
      <c r="AJ137" s="366"/>
      <c r="AM137" s="366"/>
      <c r="AN137" s="366"/>
    </row>
    <row r="138" spans="1:40" ht="20.25" customHeight="1" x14ac:dyDescent="0.35">
      <c r="A138" s="366"/>
      <c r="B138" s="495"/>
      <c r="C138" s="495"/>
      <c r="D138" s="495"/>
      <c r="E138" s="494"/>
      <c r="F138" s="478"/>
      <c r="G138" s="494"/>
      <c r="H138" s="494"/>
      <c r="I138" s="471"/>
      <c r="J138" s="424"/>
      <c r="K138" s="495"/>
      <c r="L138" s="495"/>
      <c r="M138" s="495"/>
      <c r="N138" s="496"/>
      <c r="O138" s="497"/>
      <c r="P138" s="497"/>
      <c r="Q138" s="497"/>
      <c r="R138" s="498"/>
      <c r="S138" s="545"/>
      <c r="T138" s="546"/>
      <c r="U138" s="404"/>
      <c r="V138" s="476"/>
      <c r="W138" s="476"/>
      <c r="X138" s="477"/>
      <c r="AA138" s="453"/>
      <c r="AB138" s="504"/>
      <c r="AC138" s="453"/>
      <c r="AD138" s="453"/>
      <c r="AE138" s="453"/>
      <c r="AF138" s="453"/>
      <c r="AG138" s="453"/>
      <c r="AH138" s="453"/>
      <c r="AI138" s="453"/>
      <c r="AJ138" s="453"/>
      <c r="AK138" s="505"/>
      <c r="AL138" s="506"/>
      <c r="AM138" s="366"/>
      <c r="AN138" s="366"/>
    </row>
    <row r="139" spans="1:40" ht="20.25" customHeight="1" x14ac:dyDescent="0.35">
      <c r="A139" s="366"/>
      <c r="B139" s="510"/>
      <c r="C139" s="510"/>
      <c r="D139" s="510"/>
      <c r="E139" s="511"/>
      <c r="F139" s="512"/>
      <c r="G139" s="511"/>
      <c r="H139" s="511"/>
      <c r="I139" s="513"/>
      <c r="J139" s="514"/>
      <c r="K139" s="514"/>
      <c r="L139" s="514"/>
      <c r="M139" s="514"/>
      <c r="N139" s="515"/>
      <c r="O139" s="516"/>
      <c r="P139" s="516"/>
      <c r="Q139" s="516"/>
      <c r="R139" s="517"/>
      <c r="S139" s="517"/>
      <c r="T139" s="517"/>
      <c r="U139" s="404"/>
      <c r="V139" s="476"/>
      <c r="W139" s="476"/>
      <c r="X139" s="477"/>
      <c r="AA139" s="366"/>
      <c r="AB139" s="503"/>
      <c r="AC139" s="366"/>
      <c r="AD139" s="366"/>
      <c r="AE139" s="366"/>
      <c r="AF139" s="366"/>
      <c r="AG139" s="366"/>
      <c r="AH139" s="366"/>
      <c r="AI139" s="366"/>
      <c r="AJ139" s="366"/>
      <c r="AM139" s="366"/>
      <c r="AN139" s="366"/>
    </row>
    <row r="140" spans="1:40" ht="20.25" customHeight="1" x14ac:dyDescent="0.35">
      <c r="A140" s="453"/>
      <c r="B140" s="479"/>
      <c r="C140" s="480"/>
      <c r="D140" s="480"/>
      <c r="E140" s="481"/>
      <c r="F140" s="482"/>
      <c r="G140" s="481"/>
      <c r="H140" s="481"/>
      <c r="I140" s="482"/>
      <c r="J140" s="484"/>
      <c r="K140" s="480"/>
      <c r="L140" s="480"/>
      <c r="M140" s="480"/>
      <c r="N140" s="491"/>
      <c r="O140" s="492"/>
      <c r="P140" s="492"/>
      <c r="Q140" s="492"/>
      <c r="R140" s="493"/>
      <c r="S140" s="545"/>
      <c r="T140" s="546"/>
      <c r="U140" s="404"/>
      <c r="V140" s="476"/>
      <c r="W140" s="476"/>
      <c r="X140" s="477"/>
      <c r="AA140" s="366"/>
      <c r="AB140" s="503"/>
      <c r="AC140" s="366"/>
      <c r="AD140" s="366"/>
      <c r="AE140" s="366"/>
      <c r="AF140" s="366"/>
      <c r="AG140" s="366"/>
      <c r="AH140" s="366"/>
      <c r="AI140" s="366"/>
      <c r="AJ140" s="366"/>
      <c r="AM140" s="366"/>
      <c r="AN140" s="366"/>
    </row>
    <row r="141" spans="1:40" ht="20.25" customHeight="1" x14ac:dyDescent="0.35">
      <c r="A141" s="366"/>
      <c r="B141" s="518"/>
      <c r="C141" s="365"/>
      <c r="D141" s="365"/>
      <c r="E141" s="468"/>
      <c r="F141" s="478"/>
      <c r="G141" s="470"/>
      <c r="H141" s="494"/>
      <c r="I141" s="471"/>
      <c r="J141" s="424"/>
      <c r="K141" s="495"/>
      <c r="L141" s="495"/>
      <c r="M141" s="495"/>
      <c r="N141" s="496"/>
      <c r="O141" s="497"/>
      <c r="P141" s="497"/>
      <c r="Q141" s="497"/>
      <c r="R141" s="498"/>
      <c r="S141" s="545"/>
      <c r="T141" s="546"/>
      <c r="U141" s="404"/>
      <c r="V141" s="476"/>
      <c r="W141" s="476"/>
      <c r="X141" s="477"/>
      <c r="AA141" s="366"/>
      <c r="AB141" s="503"/>
      <c r="AC141" s="366"/>
      <c r="AD141" s="366"/>
      <c r="AE141" s="366"/>
      <c r="AF141" s="366"/>
      <c r="AG141" s="366"/>
      <c r="AH141" s="366"/>
      <c r="AI141" s="366"/>
      <c r="AJ141" s="366"/>
      <c r="AM141" s="366"/>
      <c r="AN141" s="366"/>
    </row>
    <row r="142" spans="1:40" ht="20.25" customHeight="1" x14ac:dyDescent="0.35">
      <c r="A142" s="366"/>
      <c r="B142" s="518"/>
      <c r="C142" s="365"/>
      <c r="D142" s="365"/>
      <c r="E142" s="468"/>
      <c r="F142" s="478"/>
      <c r="G142" s="470"/>
      <c r="H142" s="494"/>
      <c r="I142" s="471"/>
      <c r="J142" s="424"/>
      <c r="K142" s="495"/>
      <c r="L142" s="495"/>
      <c r="M142" s="495"/>
      <c r="N142" s="496"/>
      <c r="O142" s="497"/>
      <c r="P142" s="497"/>
      <c r="Q142" s="497"/>
      <c r="R142" s="498"/>
      <c r="S142" s="545"/>
      <c r="T142" s="546"/>
      <c r="U142" s="404"/>
      <c r="V142" s="476"/>
      <c r="W142" s="476"/>
      <c r="X142" s="477"/>
      <c r="AA142" s="366"/>
      <c r="AB142" s="503"/>
      <c r="AC142" s="366"/>
      <c r="AD142" s="366"/>
      <c r="AE142" s="366"/>
      <c r="AF142" s="366"/>
      <c r="AG142" s="366"/>
      <c r="AH142" s="366"/>
      <c r="AI142" s="366"/>
      <c r="AJ142" s="366"/>
      <c r="AM142" s="366"/>
      <c r="AN142" s="366"/>
    </row>
    <row r="143" spans="1:40" ht="20.25" customHeight="1" x14ac:dyDescent="0.35">
      <c r="A143" s="366"/>
      <c r="B143" s="518"/>
      <c r="C143" s="365"/>
      <c r="D143" s="365"/>
      <c r="E143" s="468"/>
      <c r="F143" s="478"/>
      <c r="G143" s="470"/>
      <c r="H143" s="494"/>
      <c r="I143" s="471"/>
      <c r="J143" s="424"/>
      <c r="K143" s="495"/>
      <c r="L143" s="495"/>
      <c r="M143" s="495"/>
      <c r="N143" s="496"/>
      <c r="O143" s="497"/>
      <c r="P143" s="497"/>
      <c r="Q143" s="497"/>
      <c r="R143" s="498"/>
      <c r="S143" s="545"/>
      <c r="T143" s="546"/>
      <c r="U143" s="404"/>
      <c r="V143" s="476"/>
      <c r="W143" s="476"/>
      <c r="X143" s="477"/>
      <c r="AA143" s="366"/>
      <c r="AB143" s="503"/>
      <c r="AC143" s="366"/>
      <c r="AD143" s="366"/>
      <c r="AE143" s="366"/>
      <c r="AF143" s="366"/>
      <c r="AG143" s="366"/>
      <c r="AH143" s="366"/>
      <c r="AI143" s="366"/>
      <c r="AJ143" s="366"/>
      <c r="AM143" s="366"/>
      <c r="AN143" s="366"/>
    </row>
    <row r="144" spans="1:40" ht="20.25" customHeight="1" x14ac:dyDescent="0.35">
      <c r="A144" s="366"/>
      <c r="B144" s="518"/>
      <c r="C144" s="365"/>
      <c r="D144" s="365"/>
      <c r="E144" s="468"/>
      <c r="F144" s="478"/>
      <c r="G144" s="470"/>
      <c r="H144" s="494"/>
      <c r="I144" s="471"/>
      <c r="J144" s="424"/>
      <c r="K144" s="495"/>
      <c r="L144" s="495"/>
      <c r="M144" s="495"/>
      <c r="N144" s="496"/>
      <c r="O144" s="497"/>
      <c r="P144" s="497"/>
      <c r="Q144" s="497"/>
      <c r="R144" s="498"/>
      <c r="S144" s="545"/>
      <c r="T144" s="546"/>
      <c r="U144" s="404"/>
      <c r="V144" s="476"/>
      <c r="W144" s="476"/>
      <c r="X144" s="477"/>
      <c r="AA144" s="366"/>
      <c r="AB144" s="503"/>
      <c r="AC144" s="366"/>
      <c r="AD144" s="366"/>
      <c r="AE144" s="366"/>
      <c r="AF144" s="366"/>
      <c r="AG144" s="366"/>
      <c r="AH144" s="366"/>
      <c r="AI144" s="366"/>
      <c r="AJ144" s="366"/>
      <c r="AM144" s="366"/>
      <c r="AN144" s="366"/>
    </row>
    <row r="145" spans="1:40" ht="20.25" customHeight="1" x14ac:dyDescent="0.35">
      <c r="A145" s="366"/>
      <c r="B145" s="518"/>
      <c r="C145" s="365"/>
      <c r="D145" s="365"/>
      <c r="E145" s="468"/>
      <c r="F145" s="478"/>
      <c r="G145" s="470"/>
      <c r="H145" s="494"/>
      <c r="I145" s="471"/>
      <c r="J145" s="424"/>
      <c r="K145" s="495"/>
      <c r="L145" s="495"/>
      <c r="M145" s="495"/>
      <c r="N145" s="496"/>
      <c r="O145" s="497"/>
      <c r="P145" s="497"/>
      <c r="Q145" s="497"/>
      <c r="R145" s="498"/>
      <c r="S145" s="545"/>
      <c r="T145" s="546"/>
      <c r="U145" s="404"/>
      <c r="V145" s="476"/>
      <c r="W145" s="476"/>
      <c r="X145" s="477"/>
      <c r="AA145" s="366"/>
      <c r="AB145" s="503"/>
      <c r="AC145" s="366"/>
      <c r="AD145" s="366"/>
      <c r="AE145" s="366"/>
      <c r="AF145" s="366"/>
      <c r="AG145" s="366"/>
      <c r="AH145" s="366"/>
      <c r="AI145" s="366"/>
      <c r="AJ145" s="366"/>
      <c r="AM145" s="366"/>
      <c r="AN145" s="366"/>
    </row>
    <row r="146" spans="1:40" ht="20.25" customHeight="1" x14ac:dyDescent="0.35">
      <c r="A146" s="366"/>
      <c r="B146" s="518"/>
      <c r="C146" s="365"/>
      <c r="D146" s="365"/>
      <c r="E146" s="468"/>
      <c r="F146" s="478"/>
      <c r="G146" s="470"/>
      <c r="H146" s="494"/>
      <c r="I146" s="471"/>
      <c r="J146" s="424"/>
      <c r="K146" s="495"/>
      <c r="L146" s="495"/>
      <c r="M146" s="495"/>
      <c r="N146" s="496"/>
      <c r="O146" s="497"/>
      <c r="P146" s="497"/>
      <c r="Q146" s="497"/>
      <c r="R146" s="498"/>
      <c r="S146" s="545"/>
      <c r="T146" s="546"/>
      <c r="U146" s="404"/>
      <c r="V146" s="476"/>
      <c r="W146" s="476"/>
      <c r="X146" s="477"/>
      <c r="AA146" s="366"/>
      <c r="AB146" s="503"/>
      <c r="AC146" s="366"/>
      <c r="AD146" s="366"/>
      <c r="AE146" s="366"/>
      <c r="AF146" s="366"/>
      <c r="AG146" s="366"/>
      <c r="AH146" s="366"/>
      <c r="AI146" s="366"/>
      <c r="AJ146" s="366"/>
      <c r="AM146" s="366"/>
      <c r="AN146" s="366"/>
    </row>
    <row r="147" spans="1:40" ht="20.25" customHeight="1" x14ac:dyDescent="0.35">
      <c r="A147" s="366"/>
      <c r="B147" s="518"/>
      <c r="C147" s="365"/>
      <c r="D147" s="365"/>
      <c r="E147" s="468"/>
      <c r="F147" s="478"/>
      <c r="G147" s="470"/>
      <c r="H147" s="494"/>
      <c r="I147" s="471"/>
      <c r="J147" s="424"/>
      <c r="K147" s="495"/>
      <c r="L147" s="495"/>
      <c r="M147" s="495"/>
      <c r="N147" s="496"/>
      <c r="O147" s="497"/>
      <c r="P147" s="497"/>
      <c r="Q147" s="497"/>
      <c r="R147" s="498"/>
      <c r="S147" s="545"/>
      <c r="T147" s="546"/>
      <c r="U147" s="404"/>
      <c r="V147" s="476"/>
      <c r="W147" s="476"/>
      <c r="X147" s="477"/>
      <c r="AA147" s="366"/>
      <c r="AB147" s="503"/>
      <c r="AC147" s="366"/>
      <c r="AD147" s="366"/>
      <c r="AE147" s="366"/>
      <c r="AF147" s="366"/>
      <c r="AG147" s="366"/>
      <c r="AH147" s="366"/>
      <c r="AI147" s="366"/>
      <c r="AJ147" s="366"/>
      <c r="AM147" s="366"/>
      <c r="AN147" s="366"/>
    </row>
    <row r="148" spans="1:40" s="466" customFormat="1" ht="20.25" customHeight="1" x14ac:dyDescent="0.35">
      <c r="A148" s="366"/>
      <c r="B148" s="518"/>
      <c r="C148" s="365"/>
      <c r="D148" s="365"/>
      <c r="E148" s="468"/>
      <c r="F148" s="478"/>
      <c r="G148" s="470"/>
      <c r="H148" s="494"/>
      <c r="I148" s="471"/>
      <c r="J148" s="424"/>
      <c r="K148" s="495"/>
      <c r="L148" s="495"/>
      <c r="M148" s="495"/>
      <c r="N148" s="496"/>
      <c r="O148" s="497"/>
      <c r="P148" s="497"/>
      <c r="Q148" s="497"/>
      <c r="R148" s="498"/>
      <c r="S148" s="545"/>
      <c r="T148" s="546"/>
      <c r="U148" s="404"/>
      <c r="V148" s="476"/>
      <c r="W148" s="476"/>
      <c r="X148" s="477"/>
      <c r="Y148" s="374"/>
      <c r="Z148" s="571"/>
      <c r="AA148" s="366"/>
      <c r="AB148" s="503"/>
      <c r="AC148" s="366"/>
      <c r="AD148" s="366"/>
      <c r="AE148" s="366"/>
      <c r="AF148" s="366"/>
      <c r="AG148" s="366"/>
      <c r="AH148" s="366"/>
      <c r="AI148" s="366"/>
      <c r="AJ148" s="366"/>
      <c r="AK148" s="375"/>
      <c r="AL148" s="376"/>
      <c r="AM148" s="453"/>
      <c r="AN148" s="453"/>
    </row>
    <row r="149" spans="1:40" s="466" customFormat="1" ht="20.25" customHeight="1" x14ac:dyDescent="0.35">
      <c r="A149" s="366"/>
      <c r="B149" s="518"/>
      <c r="C149" s="365"/>
      <c r="D149" s="365"/>
      <c r="E149" s="468"/>
      <c r="F149" s="478"/>
      <c r="G149" s="470"/>
      <c r="H149" s="494"/>
      <c r="I149" s="471"/>
      <c r="J149" s="424"/>
      <c r="K149" s="495"/>
      <c r="L149" s="495"/>
      <c r="M149" s="495"/>
      <c r="N149" s="496"/>
      <c r="O149" s="497"/>
      <c r="P149" s="497"/>
      <c r="Q149" s="497"/>
      <c r="R149" s="498"/>
      <c r="S149" s="545"/>
      <c r="T149" s="546"/>
      <c r="U149" s="404"/>
      <c r="V149" s="476"/>
      <c r="W149" s="476"/>
      <c r="X149" s="477"/>
      <c r="Y149" s="374"/>
      <c r="Z149" s="571"/>
      <c r="AA149" s="366"/>
      <c r="AB149" s="503"/>
      <c r="AC149" s="366"/>
      <c r="AD149" s="366"/>
      <c r="AE149" s="366"/>
      <c r="AF149" s="366"/>
      <c r="AG149" s="366"/>
      <c r="AH149" s="366"/>
      <c r="AI149" s="366"/>
      <c r="AJ149" s="366"/>
      <c r="AK149" s="375"/>
      <c r="AL149" s="376"/>
      <c r="AM149" s="453"/>
      <c r="AN149" s="453"/>
    </row>
    <row r="150" spans="1:40" s="466" customFormat="1" ht="20.25" customHeight="1" x14ac:dyDescent="0.35">
      <c r="A150" s="366"/>
      <c r="B150" s="518"/>
      <c r="C150" s="365"/>
      <c r="D150" s="365"/>
      <c r="E150" s="468"/>
      <c r="F150" s="478"/>
      <c r="G150" s="470"/>
      <c r="H150" s="494"/>
      <c r="I150" s="471"/>
      <c r="J150" s="424"/>
      <c r="K150" s="495"/>
      <c r="L150" s="495"/>
      <c r="M150" s="495"/>
      <c r="N150" s="496"/>
      <c r="O150" s="497"/>
      <c r="P150" s="497"/>
      <c r="Q150" s="497"/>
      <c r="R150" s="498"/>
      <c r="S150" s="545"/>
      <c r="T150" s="546"/>
      <c r="U150" s="404"/>
      <c r="V150" s="476"/>
      <c r="W150" s="476"/>
      <c r="X150" s="477"/>
      <c r="Y150" s="374"/>
      <c r="Z150" s="571"/>
      <c r="AA150" s="366"/>
      <c r="AB150" s="503"/>
      <c r="AC150" s="366"/>
      <c r="AD150" s="366"/>
      <c r="AE150" s="366"/>
      <c r="AF150" s="366"/>
      <c r="AG150" s="366"/>
      <c r="AH150" s="366"/>
      <c r="AI150" s="366"/>
      <c r="AJ150" s="366"/>
      <c r="AK150" s="375"/>
      <c r="AL150" s="376"/>
      <c r="AM150" s="453"/>
      <c r="AN150" s="453"/>
    </row>
    <row r="151" spans="1:40" s="466" customFormat="1" ht="20.25" customHeight="1" x14ac:dyDescent="0.35">
      <c r="A151" s="366"/>
      <c r="B151" s="518"/>
      <c r="C151" s="365"/>
      <c r="D151" s="365"/>
      <c r="E151" s="468"/>
      <c r="F151" s="478"/>
      <c r="G151" s="470"/>
      <c r="H151" s="494"/>
      <c r="I151" s="471"/>
      <c r="J151" s="424"/>
      <c r="K151" s="495"/>
      <c r="L151" s="495"/>
      <c r="M151" s="495"/>
      <c r="N151" s="496"/>
      <c r="O151" s="497"/>
      <c r="P151" s="497"/>
      <c r="Q151" s="497"/>
      <c r="R151" s="498"/>
      <c r="S151" s="545"/>
      <c r="T151" s="546"/>
      <c r="U151" s="404"/>
      <c r="V151" s="476"/>
      <c r="W151" s="476"/>
      <c r="X151" s="477"/>
      <c r="Y151" s="374"/>
      <c r="Z151" s="571"/>
      <c r="AA151" s="366"/>
      <c r="AB151" s="503"/>
      <c r="AC151" s="366"/>
      <c r="AD151" s="366"/>
      <c r="AE151" s="366"/>
      <c r="AF151" s="366"/>
      <c r="AG151" s="366"/>
      <c r="AH151" s="366"/>
      <c r="AI151" s="366"/>
      <c r="AJ151" s="366"/>
      <c r="AK151" s="375"/>
      <c r="AL151" s="376"/>
      <c r="AM151" s="453"/>
      <c r="AN151" s="453"/>
    </row>
    <row r="152" spans="1:40" ht="20.25" customHeight="1" x14ac:dyDescent="0.35">
      <c r="A152" s="366"/>
      <c r="B152" s="518"/>
      <c r="C152" s="365"/>
      <c r="D152" s="365"/>
      <c r="E152" s="468"/>
      <c r="F152" s="478"/>
      <c r="G152" s="470"/>
      <c r="H152" s="494"/>
      <c r="I152" s="471"/>
      <c r="J152" s="424"/>
      <c r="K152" s="495"/>
      <c r="L152" s="495"/>
      <c r="M152" s="495"/>
      <c r="N152" s="496"/>
      <c r="O152" s="497"/>
      <c r="P152" s="497"/>
      <c r="Q152" s="497"/>
      <c r="R152" s="498"/>
      <c r="S152" s="545"/>
      <c r="T152" s="546"/>
      <c r="U152" s="404"/>
      <c r="V152" s="476"/>
      <c r="W152" s="476"/>
      <c r="X152" s="477"/>
      <c r="AA152" s="453"/>
      <c r="AB152" s="504"/>
      <c r="AC152" s="453"/>
      <c r="AD152" s="453"/>
      <c r="AE152" s="453"/>
      <c r="AF152" s="453"/>
      <c r="AG152" s="453"/>
      <c r="AH152" s="453"/>
      <c r="AI152" s="453"/>
      <c r="AJ152" s="453"/>
      <c r="AK152" s="505"/>
      <c r="AL152" s="506"/>
      <c r="AM152" s="366"/>
      <c r="AN152" s="366"/>
    </row>
    <row r="153" spans="1:40" ht="20.25" customHeight="1" x14ac:dyDescent="0.35">
      <c r="A153" s="366"/>
      <c r="B153" s="518"/>
      <c r="C153" s="518"/>
      <c r="D153" s="495"/>
      <c r="E153" s="468"/>
      <c r="F153" s="478"/>
      <c r="G153" s="470"/>
      <c r="H153" s="494"/>
      <c r="I153" s="471"/>
      <c r="J153" s="424"/>
      <c r="K153" s="495"/>
      <c r="L153" s="495"/>
      <c r="M153" s="495"/>
      <c r="N153" s="496"/>
      <c r="O153" s="497"/>
      <c r="P153" s="497"/>
      <c r="Q153" s="497"/>
      <c r="R153" s="498"/>
      <c r="S153" s="545"/>
      <c r="T153" s="546"/>
      <c r="U153" s="404"/>
      <c r="V153" s="476"/>
      <c r="W153" s="476"/>
      <c r="X153" s="477"/>
      <c r="AA153" s="366"/>
      <c r="AB153" s="503"/>
      <c r="AC153" s="366"/>
      <c r="AD153" s="366"/>
      <c r="AE153" s="366"/>
      <c r="AF153" s="366"/>
      <c r="AG153" s="366"/>
      <c r="AH153" s="366"/>
      <c r="AI153" s="366"/>
      <c r="AJ153" s="366"/>
      <c r="AM153" s="366"/>
      <c r="AN153" s="366"/>
    </row>
    <row r="154" spans="1:40" ht="20.25" customHeight="1" x14ac:dyDescent="0.35">
      <c r="A154" s="453"/>
      <c r="B154" s="479"/>
      <c r="C154" s="480"/>
      <c r="D154" s="480"/>
      <c r="E154" s="481"/>
      <c r="F154" s="482"/>
      <c r="G154" s="481"/>
      <c r="H154" s="481"/>
      <c r="I154" s="482"/>
      <c r="J154" s="484"/>
      <c r="K154" s="480"/>
      <c r="L154" s="480"/>
      <c r="M154" s="480"/>
      <c r="N154" s="491"/>
      <c r="O154" s="492"/>
      <c r="P154" s="492"/>
      <c r="Q154" s="492"/>
      <c r="R154" s="493"/>
      <c r="S154" s="493"/>
      <c r="T154" s="493"/>
      <c r="U154" s="404"/>
      <c r="V154" s="476"/>
      <c r="W154" s="476"/>
      <c r="X154" s="477"/>
      <c r="Y154" s="488"/>
      <c r="AA154" s="366"/>
      <c r="AB154" s="503"/>
      <c r="AC154" s="366"/>
      <c r="AD154" s="366"/>
      <c r="AE154" s="366"/>
      <c r="AF154" s="366"/>
      <c r="AG154" s="366"/>
      <c r="AH154" s="366"/>
      <c r="AI154" s="366"/>
      <c r="AJ154" s="366"/>
      <c r="AM154" s="366"/>
      <c r="AN154" s="366"/>
    </row>
    <row r="155" spans="1:40" ht="20.25" customHeight="1" x14ac:dyDescent="0.35">
      <c r="A155" s="366"/>
      <c r="B155" s="509"/>
      <c r="C155" s="365"/>
      <c r="D155" s="365"/>
      <c r="E155" s="468"/>
      <c r="F155" s="478"/>
      <c r="G155" s="470"/>
      <c r="H155" s="494"/>
      <c r="I155" s="471"/>
      <c r="J155" s="424"/>
      <c r="K155" s="495"/>
      <c r="L155" s="495"/>
      <c r="M155" s="495"/>
      <c r="N155" s="496"/>
      <c r="O155" s="497"/>
      <c r="P155" s="497"/>
      <c r="Q155" s="497"/>
      <c r="R155" s="498"/>
      <c r="S155" s="545"/>
      <c r="T155" s="546"/>
      <c r="U155" s="404"/>
      <c r="V155" s="476"/>
      <c r="W155" s="476"/>
      <c r="X155" s="477"/>
      <c r="Y155" s="488"/>
      <c r="AA155" s="366"/>
      <c r="AB155" s="503"/>
      <c r="AC155" s="366"/>
      <c r="AD155" s="366"/>
      <c r="AE155" s="366"/>
      <c r="AF155" s="366"/>
      <c r="AG155" s="366"/>
      <c r="AH155" s="366"/>
      <c r="AI155" s="366"/>
      <c r="AJ155" s="366"/>
      <c r="AM155" s="366"/>
      <c r="AN155" s="366"/>
    </row>
    <row r="156" spans="1:40" ht="20.25" customHeight="1" x14ac:dyDescent="0.35">
      <c r="A156" s="366"/>
      <c r="B156" s="509"/>
      <c r="C156" s="365"/>
      <c r="D156" s="365"/>
      <c r="E156" s="468"/>
      <c r="F156" s="478"/>
      <c r="G156" s="470"/>
      <c r="H156" s="494"/>
      <c r="I156" s="471"/>
      <c r="J156" s="424"/>
      <c r="K156" s="495"/>
      <c r="L156" s="495"/>
      <c r="M156" s="495"/>
      <c r="N156" s="496"/>
      <c r="O156" s="497"/>
      <c r="P156" s="497"/>
      <c r="Q156" s="497"/>
      <c r="R156" s="498"/>
      <c r="S156" s="545"/>
      <c r="T156" s="546"/>
      <c r="U156" s="404"/>
      <c r="V156" s="476"/>
      <c r="W156" s="476"/>
      <c r="X156" s="477"/>
      <c r="Y156" s="488"/>
      <c r="AA156" s="366"/>
      <c r="AB156" s="503"/>
      <c r="AC156" s="366"/>
      <c r="AD156" s="366"/>
      <c r="AE156" s="366"/>
      <c r="AF156" s="366"/>
      <c r="AG156" s="366"/>
      <c r="AH156" s="366"/>
      <c r="AI156" s="366"/>
      <c r="AJ156" s="366"/>
      <c r="AM156" s="366"/>
      <c r="AN156" s="366"/>
    </row>
    <row r="157" spans="1:40" ht="20.25" customHeight="1" x14ac:dyDescent="0.35">
      <c r="A157" s="366"/>
      <c r="B157" s="509"/>
      <c r="C157" s="365"/>
      <c r="D157" s="365"/>
      <c r="E157" s="468"/>
      <c r="F157" s="478"/>
      <c r="G157" s="470"/>
      <c r="H157" s="494"/>
      <c r="I157" s="471"/>
      <c r="J157" s="424"/>
      <c r="K157" s="495"/>
      <c r="L157" s="495"/>
      <c r="M157" s="495"/>
      <c r="N157" s="496"/>
      <c r="O157" s="497"/>
      <c r="P157" s="497"/>
      <c r="Q157" s="497"/>
      <c r="R157" s="498"/>
      <c r="S157" s="545"/>
      <c r="T157" s="546"/>
      <c r="U157" s="404"/>
      <c r="V157" s="476"/>
      <c r="W157" s="476"/>
      <c r="X157" s="477"/>
      <c r="Y157" s="488"/>
      <c r="AA157" s="366"/>
      <c r="AB157" s="503"/>
      <c r="AC157" s="366"/>
      <c r="AD157" s="366"/>
      <c r="AE157" s="366"/>
      <c r="AF157" s="366"/>
      <c r="AG157" s="366"/>
      <c r="AH157" s="366"/>
      <c r="AI157" s="366"/>
      <c r="AJ157" s="366"/>
      <c r="AM157" s="366"/>
      <c r="AN157" s="366"/>
    </row>
    <row r="158" spans="1:40" ht="20.25" customHeight="1" x14ac:dyDescent="0.35">
      <c r="A158" s="366"/>
      <c r="B158" s="509"/>
      <c r="C158" s="365"/>
      <c r="D158" s="365"/>
      <c r="E158" s="468"/>
      <c r="F158" s="478"/>
      <c r="G158" s="470"/>
      <c r="H158" s="494"/>
      <c r="I158" s="471"/>
      <c r="J158" s="424"/>
      <c r="K158" s="495"/>
      <c r="L158" s="495"/>
      <c r="M158" s="495"/>
      <c r="N158" s="496"/>
      <c r="O158" s="497"/>
      <c r="P158" s="497"/>
      <c r="Q158" s="497"/>
      <c r="R158" s="498"/>
      <c r="S158" s="545"/>
      <c r="T158" s="546"/>
      <c r="U158" s="404"/>
      <c r="V158" s="476"/>
      <c r="W158" s="476"/>
      <c r="X158" s="477"/>
      <c r="Y158" s="488"/>
      <c r="AA158" s="366"/>
      <c r="AB158" s="503"/>
      <c r="AC158" s="366"/>
      <c r="AD158" s="366"/>
      <c r="AE158" s="366"/>
      <c r="AF158" s="366"/>
      <c r="AG158" s="366"/>
      <c r="AH158" s="366"/>
      <c r="AI158" s="366"/>
      <c r="AJ158" s="366"/>
      <c r="AM158" s="366"/>
      <c r="AN158" s="366"/>
    </row>
    <row r="159" spans="1:40" ht="20.25" customHeight="1" x14ac:dyDescent="0.35">
      <c r="A159" s="366"/>
      <c r="B159" s="509"/>
      <c r="C159" s="365"/>
      <c r="D159" s="365"/>
      <c r="E159" s="468"/>
      <c r="F159" s="478"/>
      <c r="G159" s="470"/>
      <c r="H159" s="494"/>
      <c r="I159" s="471"/>
      <c r="J159" s="424"/>
      <c r="K159" s="495"/>
      <c r="L159" s="495"/>
      <c r="M159" s="495"/>
      <c r="N159" s="496"/>
      <c r="O159" s="497"/>
      <c r="P159" s="497"/>
      <c r="Q159" s="497"/>
      <c r="R159" s="498"/>
      <c r="S159" s="545"/>
      <c r="T159" s="546"/>
      <c r="U159" s="404"/>
      <c r="V159" s="476"/>
      <c r="W159" s="476"/>
      <c r="X159" s="477"/>
      <c r="Y159" s="488"/>
      <c r="AA159" s="366"/>
      <c r="AB159" s="503"/>
      <c r="AC159" s="366"/>
      <c r="AD159" s="366"/>
      <c r="AE159" s="366"/>
      <c r="AF159" s="366"/>
      <c r="AG159" s="366"/>
      <c r="AH159" s="366"/>
      <c r="AI159" s="366"/>
      <c r="AJ159" s="366"/>
      <c r="AM159" s="366"/>
      <c r="AN159" s="366"/>
    </row>
    <row r="160" spans="1:40" ht="20.25" customHeight="1" x14ac:dyDescent="0.35">
      <c r="A160" s="366"/>
      <c r="B160" s="509"/>
      <c r="C160" s="365"/>
      <c r="D160" s="365"/>
      <c r="E160" s="468"/>
      <c r="F160" s="478"/>
      <c r="G160" s="470"/>
      <c r="H160" s="494"/>
      <c r="I160" s="471"/>
      <c r="J160" s="424"/>
      <c r="K160" s="495"/>
      <c r="L160" s="495"/>
      <c r="M160" s="495"/>
      <c r="N160" s="496"/>
      <c r="O160" s="497"/>
      <c r="P160" s="497"/>
      <c r="Q160" s="497"/>
      <c r="R160" s="498"/>
      <c r="S160" s="545"/>
      <c r="T160" s="546"/>
      <c r="U160" s="404"/>
      <c r="V160" s="476"/>
      <c r="W160" s="476"/>
      <c r="X160" s="477"/>
      <c r="Y160" s="488"/>
      <c r="AA160" s="366"/>
      <c r="AB160" s="503"/>
      <c r="AC160" s="366"/>
      <c r="AD160" s="366"/>
      <c r="AE160" s="366"/>
      <c r="AF160" s="366"/>
      <c r="AG160" s="366"/>
      <c r="AH160" s="366"/>
      <c r="AI160" s="366"/>
      <c r="AJ160" s="366"/>
      <c r="AM160" s="366"/>
      <c r="AN160" s="366"/>
    </row>
    <row r="161" spans="1:40" ht="20.25" customHeight="1" x14ac:dyDescent="0.35">
      <c r="A161" s="366"/>
      <c r="B161" s="509"/>
      <c r="C161" s="365"/>
      <c r="D161" s="365"/>
      <c r="E161" s="468"/>
      <c r="F161" s="478"/>
      <c r="G161" s="470"/>
      <c r="H161" s="494"/>
      <c r="I161" s="471"/>
      <c r="J161" s="424"/>
      <c r="K161" s="495"/>
      <c r="L161" s="495"/>
      <c r="M161" s="495"/>
      <c r="N161" s="496"/>
      <c r="O161" s="497"/>
      <c r="P161" s="497"/>
      <c r="Q161" s="497"/>
      <c r="R161" s="498"/>
      <c r="S161" s="545"/>
      <c r="T161" s="546"/>
      <c r="U161" s="404"/>
      <c r="V161" s="476"/>
      <c r="W161" s="476"/>
      <c r="X161" s="477"/>
      <c r="AA161" s="366"/>
      <c r="AB161" s="503"/>
      <c r="AC161" s="366"/>
      <c r="AD161" s="366"/>
      <c r="AE161" s="366"/>
      <c r="AF161" s="366"/>
      <c r="AG161" s="366"/>
      <c r="AH161" s="366"/>
      <c r="AI161" s="366"/>
      <c r="AJ161" s="366"/>
      <c r="AM161" s="366"/>
      <c r="AN161" s="366"/>
    </row>
    <row r="162" spans="1:40" s="466" customFormat="1" ht="20.25" customHeight="1" x14ac:dyDescent="0.35">
      <c r="A162" s="366"/>
      <c r="B162" s="509"/>
      <c r="C162" s="365"/>
      <c r="D162" s="365"/>
      <c r="E162" s="468"/>
      <c r="F162" s="478"/>
      <c r="G162" s="470"/>
      <c r="H162" s="494"/>
      <c r="I162" s="471"/>
      <c r="J162" s="424"/>
      <c r="K162" s="495"/>
      <c r="L162" s="495"/>
      <c r="M162" s="495"/>
      <c r="N162" s="496"/>
      <c r="O162" s="497"/>
      <c r="P162" s="497"/>
      <c r="Q162" s="497"/>
      <c r="R162" s="498"/>
      <c r="S162" s="545"/>
      <c r="T162" s="546"/>
      <c r="U162" s="404"/>
      <c r="V162" s="476"/>
      <c r="W162" s="476"/>
      <c r="X162" s="477"/>
      <c r="Y162" s="374"/>
      <c r="Z162" s="571"/>
      <c r="AA162" s="366"/>
      <c r="AB162" s="503"/>
      <c r="AC162" s="366"/>
      <c r="AD162" s="366"/>
      <c r="AE162" s="366"/>
      <c r="AF162" s="366"/>
      <c r="AG162" s="366"/>
      <c r="AH162" s="366"/>
      <c r="AI162" s="366"/>
      <c r="AJ162" s="366"/>
      <c r="AK162" s="375"/>
      <c r="AL162" s="376"/>
      <c r="AM162" s="453"/>
      <c r="AN162" s="453"/>
    </row>
    <row r="163" spans="1:40" ht="20.25" customHeight="1" x14ac:dyDescent="0.35">
      <c r="A163" s="366"/>
      <c r="B163" s="518"/>
      <c r="C163" s="518"/>
      <c r="D163" s="495"/>
      <c r="E163" s="468"/>
      <c r="F163" s="478"/>
      <c r="G163" s="470"/>
      <c r="H163" s="494"/>
      <c r="I163" s="471"/>
      <c r="J163" s="424"/>
      <c r="K163" s="495"/>
      <c r="L163" s="495"/>
      <c r="M163" s="495"/>
      <c r="N163" s="496"/>
      <c r="O163" s="497"/>
      <c r="P163" s="497"/>
      <c r="Q163" s="497"/>
      <c r="R163" s="498"/>
      <c r="S163" s="545"/>
      <c r="T163" s="546"/>
      <c r="U163" s="404"/>
      <c r="V163" s="476"/>
      <c r="W163" s="476"/>
      <c r="X163" s="477"/>
      <c r="AA163" s="366"/>
      <c r="AB163" s="503"/>
      <c r="AC163" s="366"/>
      <c r="AD163" s="366"/>
      <c r="AE163" s="366"/>
      <c r="AF163" s="366"/>
      <c r="AG163" s="366"/>
      <c r="AH163" s="366"/>
      <c r="AI163" s="366"/>
      <c r="AJ163" s="366"/>
      <c r="AM163" s="366"/>
      <c r="AN163" s="366"/>
    </row>
    <row r="164" spans="1:40" ht="20.25" customHeight="1" x14ac:dyDescent="0.35">
      <c r="A164" s="453"/>
      <c r="B164" s="479"/>
      <c r="C164" s="480"/>
      <c r="D164" s="480"/>
      <c r="E164" s="481"/>
      <c r="F164" s="482"/>
      <c r="G164" s="481"/>
      <c r="H164" s="481"/>
      <c r="I164" s="482"/>
      <c r="J164" s="484"/>
      <c r="K164" s="480"/>
      <c r="L164" s="480"/>
      <c r="M164" s="480"/>
      <c r="N164" s="485"/>
      <c r="O164" s="486"/>
      <c r="P164" s="486"/>
      <c r="Q164" s="486"/>
      <c r="R164" s="487"/>
      <c r="S164" s="487"/>
      <c r="T164" s="487"/>
      <c r="U164" s="404"/>
      <c r="V164" s="476"/>
      <c r="W164" s="476"/>
      <c r="X164" s="477"/>
      <c r="AA164" s="366"/>
      <c r="AB164" s="503"/>
      <c r="AC164" s="366"/>
      <c r="AD164" s="366"/>
      <c r="AE164" s="366"/>
      <c r="AF164" s="366"/>
      <c r="AG164" s="366"/>
      <c r="AH164" s="366"/>
      <c r="AI164" s="366"/>
      <c r="AJ164" s="366"/>
      <c r="AM164" s="366"/>
      <c r="AN164" s="366"/>
    </row>
    <row r="165" spans="1:40" ht="20.25" customHeight="1" x14ac:dyDescent="0.35">
      <c r="A165" s="366"/>
      <c r="B165" s="509"/>
      <c r="C165" s="365"/>
      <c r="D165" s="365"/>
      <c r="E165" s="468"/>
      <c r="F165" s="478"/>
      <c r="G165" s="470"/>
      <c r="H165" s="494"/>
      <c r="I165" s="471"/>
      <c r="J165" s="424"/>
      <c r="K165" s="495"/>
      <c r="L165" s="495"/>
      <c r="M165" s="495"/>
      <c r="N165" s="496"/>
      <c r="O165" s="497"/>
      <c r="P165" s="497"/>
      <c r="Q165" s="497"/>
      <c r="R165" s="498"/>
      <c r="S165" s="545"/>
      <c r="T165" s="546"/>
      <c r="U165" s="404"/>
      <c r="V165" s="476"/>
      <c r="W165" s="476"/>
      <c r="X165" s="477"/>
      <c r="AA165" s="366"/>
      <c r="AB165" s="503"/>
      <c r="AC165" s="366"/>
      <c r="AD165" s="366"/>
      <c r="AE165" s="366"/>
      <c r="AF165" s="366"/>
      <c r="AG165" s="366"/>
      <c r="AH165" s="366"/>
      <c r="AI165" s="366"/>
      <c r="AJ165" s="366"/>
      <c r="AM165" s="366"/>
      <c r="AN165" s="366"/>
    </row>
    <row r="166" spans="1:40" ht="20.25" customHeight="1" x14ac:dyDescent="0.35">
      <c r="A166" s="366"/>
      <c r="B166" s="509"/>
      <c r="C166" s="365"/>
      <c r="D166" s="365"/>
      <c r="E166" s="468"/>
      <c r="F166" s="478"/>
      <c r="G166" s="470"/>
      <c r="H166" s="494"/>
      <c r="I166" s="471"/>
      <c r="J166" s="424"/>
      <c r="K166" s="495"/>
      <c r="L166" s="495"/>
      <c r="M166" s="495"/>
      <c r="N166" s="496"/>
      <c r="O166" s="497"/>
      <c r="P166" s="497"/>
      <c r="Q166" s="497"/>
      <c r="R166" s="498"/>
      <c r="S166" s="545"/>
      <c r="T166" s="546"/>
      <c r="U166" s="404"/>
      <c r="V166" s="476"/>
      <c r="W166" s="476"/>
      <c r="X166" s="477"/>
      <c r="AA166" s="366"/>
      <c r="AB166" s="503"/>
      <c r="AC166" s="366"/>
      <c r="AD166" s="366"/>
      <c r="AE166" s="366"/>
      <c r="AF166" s="366"/>
      <c r="AG166" s="366"/>
      <c r="AH166" s="366"/>
      <c r="AI166" s="366"/>
      <c r="AJ166" s="366"/>
      <c r="AM166" s="366"/>
      <c r="AN166" s="366"/>
    </row>
    <row r="167" spans="1:40" s="466" customFormat="1" ht="20.25" customHeight="1" x14ac:dyDescent="0.35">
      <c r="A167" s="366"/>
      <c r="B167" s="509"/>
      <c r="C167" s="365"/>
      <c r="D167" s="365"/>
      <c r="E167" s="468"/>
      <c r="F167" s="478"/>
      <c r="G167" s="470"/>
      <c r="H167" s="494"/>
      <c r="I167" s="471"/>
      <c r="J167" s="424"/>
      <c r="K167" s="495"/>
      <c r="L167" s="495"/>
      <c r="M167" s="495"/>
      <c r="N167" s="496"/>
      <c r="O167" s="497"/>
      <c r="P167" s="497"/>
      <c r="Q167" s="497"/>
      <c r="R167" s="498"/>
      <c r="S167" s="545"/>
      <c r="T167" s="546"/>
      <c r="U167" s="404"/>
      <c r="V167" s="476"/>
      <c r="W167" s="476"/>
      <c r="X167" s="477"/>
      <c r="Y167" s="374"/>
      <c r="Z167" s="571"/>
      <c r="AA167" s="366"/>
      <c r="AB167" s="503"/>
      <c r="AC167" s="366"/>
      <c r="AD167" s="366"/>
      <c r="AE167" s="366"/>
      <c r="AF167" s="366"/>
      <c r="AG167" s="366"/>
      <c r="AH167" s="366"/>
      <c r="AI167" s="366"/>
      <c r="AJ167" s="366"/>
      <c r="AK167" s="375"/>
      <c r="AL167" s="376"/>
      <c r="AM167" s="453"/>
      <c r="AN167" s="453"/>
    </row>
    <row r="168" spans="1:40" ht="20.25" customHeight="1" x14ac:dyDescent="0.35">
      <c r="A168" s="366"/>
      <c r="B168" s="509"/>
      <c r="C168" s="365"/>
      <c r="D168" s="365"/>
      <c r="E168" s="468"/>
      <c r="F168" s="478"/>
      <c r="G168" s="470"/>
      <c r="H168" s="494"/>
      <c r="I168" s="471"/>
      <c r="J168" s="424"/>
      <c r="K168" s="495"/>
      <c r="L168" s="495"/>
      <c r="M168" s="495"/>
      <c r="N168" s="496"/>
      <c r="O168" s="497"/>
      <c r="P168" s="497"/>
      <c r="Q168" s="497"/>
      <c r="R168" s="498"/>
      <c r="S168" s="545"/>
      <c r="T168" s="546"/>
      <c r="U168" s="404"/>
      <c r="V168" s="476"/>
      <c r="W168" s="476"/>
      <c r="X168" s="477"/>
      <c r="AA168" s="453"/>
      <c r="AB168" s="504"/>
      <c r="AC168" s="453"/>
      <c r="AD168" s="453"/>
      <c r="AE168" s="453"/>
      <c r="AF168" s="453"/>
      <c r="AG168" s="453"/>
      <c r="AH168" s="453"/>
      <c r="AI168" s="453"/>
      <c r="AJ168" s="453"/>
      <c r="AK168" s="505"/>
      <c r="AL168" s="506"/>
      <c r="AM168" s="366"/>
      <c r="AN168" s="366"/>
    </row>
    <row r="169" spans="1:40" ht="20.25" customHeight="1" x14ac:dyDescent="0.35">
      <c r="A169" s="366"/>
      <c r="B169" s="518"/>
      <c r="C169" s="365"/>
      <c r="D169" s="365"/>
      <c r="E169" s="468"/>
      <c r="F169" s="478"/>
      <c r="G169" s="470"/>
      <c r="H169" s="494"/>
      <c r="I169" s="471"/>
      <c r="J169" s="424"/>
      <c r="K169" s="495"/>
      <c r="L169" s="495"/>
      <c r="M169" s="495"/>
      <c r="N169" s="496"/>
      <c r="O169" s="497"/>
      <c r="P169" s="497"/>
      <c r="Q169" s="497"/>
      <c r="R169" s="498"/>
      <c r="S169" s="545"/>
      <c r="T169" s="546"/>
      <c r="U169" s="404"/>
      <c r="V169" s="476"/>
      <c r="W169" s="476"/>
      <c r="X169" s="477"/>
      <c r="AA169" s="366"/>
      <c r="AB169" s="503"/>
      <c r="AC169" s="366"/>
      <c r="AD169" s="366"/>
      <c r="AE169" s="366"/>
      <c r="AF169" s="366"/>
      <c r="AG169" s="366"/>
      <c r="AH169" s="366"/>
      <c r="AI169" s="366"/>
      <c r="AJ169" s="366"/>
      <c r="AM169" s="366"/>
      <c r="AN169" s="366"/>
    </row>
    <row r="170" spans="1:40" ht="20.25" customHeight="1" x14ac:dyDescent="0.35">
      <c r="A170" s="453"/>
      <c r="B170" s="479"/>
      <c r="C170" s="480"/>
      <c r="D170" s="480"/>
      <c r="E170" s="481"/>
      <c r="F170" s="482"/>
      <c r="G170" s="481"/>
      <c r="H170" s="481"/>
      <c r="I170" s="483"/>
      <c r="J170" s="484"/>
      <c r="K170" s="480"/>
      <c r="L170" s="480"/>
      <c r="M170" s="480"/>
      <c r="N170" s="485"/>
      <c r="O170" s="486"/>
      <c r="P170" s="486"/>
      <c r="Q170" s="486"/>
      <c r="R170" s="487"/>
      <c r="S170" s="487"/>
      <c r="T170" s="487"/>
      <c r="U170" s="404"/>
      <c r="V170" s="476"/>
      <c r="W170" s="476"/>
      <c r="X170" s="477"/>
      <c r="AA170" s="366"/>
      <c r="AB170" s="503"/>
      <c r="AC170" s="366"/>
      <c r="AD170" s="366"/>
      <c r="AE170" s="366"/>
      <c r="AF170" s="366"/>
      <c r="AG170" s="366"/>
      <c r="AH170" s="366"/>
      <c r="AI170" s="366"/>
      <c r="AJ170" s="366"/>
      <c r="AM170" s="366"/>
      <c r="AN170" s="366"/>
    </row>
    <row r="171" spans="1:40" ht="20.25" customHeight="1" x14ac:dyDescent="0.35">
      <c r="A171" s="366"/>
      <c r="B171" s="467"/>
      <c r="C171" s="365"/>
      <c r="D171" s="365"/>
      <c r="E171" s="468"/>
      <c r="F171" s="469"/>
      <c r="G171" s="470"/>
      <c r="H171" s="470"/>
      <c r="I171" s="471"/>
      <c r="J171" s="424"/>
      <c r="K171" s="472"/>
      <c r="L171" s="424"/>
      <c r="M171" s="424"/>
      <c r="N171" s="473"/>
      <c r="O171" s="474"/>
      <c r="P171" s="474"/>
      <c r="Q171" s="474"/>
      <c r="R171" s="475"/>
      <c r="S171" s="545"/>
      <c r="T171" s="546"/>
      <c r="U171" s="404"/>
      <c r="V171" s="476"/>
      <c r="W171" s="476"/>
      <c r="X171" s="477"/>
      <c r="AA171" s="366"/>
      <c r="AB171" s="503"/>
      <c r="AC171" s="366"/>
      <c r="AD171" s="366"/>
      <c r="AE171" s="366"/>
      <c r="AF171" s="366"/>
      <c r="AG171" s="366"/>
      <c r="AH171" s="366"/>
      <c r="AI171" s="366"/>
      <c r="AJ171" s="366"/>
      <c r="AM171" s="366"/>
      <c r="AN171" s="366"/>
    </row>
    <row r="172" spans="1:40" ht="20.25" customHeight="1" x14ac:dyDescent="0.35">
      <c r="A172" s="366"/>
      <c r="B172" s="518"/>
      <c r="C172" s="518"/>
      <c r="D172" s="495"/>
      <c r="E172" s="468"/>
      <c r="F172" s="478"/>
      <c r="G172" s="470"/>
      <c r="H172" s="494"/>
      <c r="I172" s="471"/>
      <c r="J172" s="424"/>
      <c r="K172" s="495"/>
      <c r="L172" s="495"/>
      <c r="M172" s="495"/>
      <c r="N172" s="496"/>
      <c r="O172" s="497"/>
      <c r="P172" s="497"/>
      <c r="Q172" s="497"/>
      <c r="R172" s="498"/>
      <c r="S172" s="545"/>
      <c r="T172" s="546"/>
      <c r="U172" s="404"/>
      <c r="V172" s="476"/>
      <c r="W172" s="476"/>
      <c r="X172" s="477"/>
      <c r="AA172" s="366"/>
      <c r="AB172" s="503"/>
      <c r="AC172" s="366"/>
      <c r="AD172" s="366"/>
      <c r="AE172" s="366"/>
      <c r="AF172" s="366"/>
      <c r="AG172" s="366"/>
      <c r="AH172" s="366"/>
      <c r="AI172" s="366"/>
      <c r="AJ172" s="366"/>
      <c r="AM172" s="366"/>
      <c r="AN172" s="366"/>
    </row>
    <row r="173" spans="1:40" ht="20.25" customHeight="1" x14ac:dyDescent="0.35">
      <c r="A173" s="453"/>
      <c r="B173" s="479"/>
      <c r="C173" s="479"/>
      <c r="D173" s="480"/>
      <c r="E173" s="481"/>
      <c r="F173" s="482"/>
      <c r="G173" s="481"/>
      <c r="H173" s="481"/>
      <c r="I173" s="482"/>
      <c r="J173" s="484"/>
      <c r="K173" s="480"/>
      <c r="L173" s="480"/>
      <c r="M173" s="480"/>
      <c r="N173" s="485"/>
      <c r="O173" s="486"/>
      <c r="P173" s="486"/>
      <c r="Q173" s="486"/>
      <c r="R173" s="487"/>
      <c r="S173" s="487"/>
      <c r="T173" s="487"/>
      <c r="U173" s="404"/>
      <c r="V173" s="476"/>
      <c r="W173" s="476"/>
      <c r="X173" s="477"/>
      <c r="AA173" s="366"/>
      <c r="AB173" s="503"/>
      <c r="AC173" s="366"/>
      <c r="AD173" s="366"/>
      <c r="AE173" s="366"/>
      <c r="AF173" s="366"/>
      <c r="AG173" s="366"/>
      <c r="AH173" s="366"/>
      <c r="AI173" s="366"/>
      <c r="AJ173" s="366"/>
      <c r="AM173" s="366"/>
      <c r="AN173" s="366"/>
    </row>
    <row r="174" spans="1:40" ht="20.25" customHeight="1" x14ac:dyDescent="0.35">
      <c r="A174" s="366"/>
      <c r="B174" s="518"/>
      <c r="C174" s="365"/>
      <c r="D174" s="365"/>
      <c r="E174" s="468"/>
      <c r="F174" s="478"/>
      <c r="G174" s="470"/>
      <c r="H174" s="494"/>
      <c r="I174" s="471"/>
      <c r="J174" s="424"/>
      <c r="K174" s="495"/>
      <c r="L174" s="495"/>
      <c r="M174" s="495"/>
      <c r="N174" s="496"/>
      <c r="O174" s="497"/>
      <c r="P174" s="497"/>
      <c r="Q174" s="497"/>
      <c r="R174" s="498"/>
      <c r="S174" s="545"/>
      <c r="T174" s="546"/>
      <c r="U174" s="404"/>
      <c r="V174" s="476"/>
      <c r="W174" s="476"/>
      <c r="X174" s="477"/>
      <c r="AA174" s="366"/>
      <c r="AB174" s="503"/>
      <c r="AC174" s="366"/>
      <c r="AD174" s="366"/>
      <c r="AE174" s="366"/>
      <c r="AF174" s="366"/>
      <c r="AG174" s="366"/>
      <c r="AH174" s="366"/>
      <c r="AI174" s="366"/>
      <c r="AJ174" s="366"/>
      <c r="AM174" s="366"/>
      <c r="AN174" s="366"/>
    </row>
    <row r="175" spans="1:40" ht="20.25" customHeight="1" x14ac:dyDescent="0.35">
      <c r="A175" s="366"/>
      <c r="B175" s="518"/>
      <c r="C175" s="365"/>
      <c r="D175" s="365"/>
      <c r="E175" s="468"/>
      <c r="F175" s="478"/>
      <c r="G175" s="470"/>
      <c r="H175" s="494"/>
      <c r="I175" s="471"/>
      <c r="J175" s="424"/>
      <c r="K175" s="495"/>
      <c r="L175" s="495"/>
      <c r="M175" s="495"/>
      <c r="N175" s="496"/>
      <c r="O175" s="497"/>
      <c r="P175" s="497"/>
      <c r="Q175" s="497"/>
      <c r="R175" s="498"/>
      <c r="S175" s="545"/>
      <c r="T175" s="546"/>
      <c r="U175" s="404"/>
      <c r="V175" s="476"/>
      <c r="W175" s="476"/>
      <c r="X175" s="477"/>
      <c r="AA175" s="366"/>
      <c r="AB175" s="503"/>
      <c r="AC175" s="366"/>
      <c r="AD175" s="366"/>
      <c r="AE175" s="366"/>
      <c r="AF175" s="366"/>
      <c r="AG175" s="366"/>
      <c r="AH175" s="366"/>
      <c r="AI175" s="366"/>
      <c r="AJ175" s="366"/>
      <c r="AM175" s="366"/>
      <c r="AN175" s="366"/>
    </row>
    <row r="176" spans="1:40" ht="20.25" customHeight="1" x14ac:dyDescent="0.35">
      <c r="A176" s="366"/>
      <c r="B176" s="518"/>
      <c r="C176" s="365"/>
      <c r="D176" s="365"/>
      <c r="E176" s="468"/>
      <c r="F176" s="478"/>
      <c r="G176" s="470"/>
      <c r="H176" s="494"/>
      <c r="I176" s="471"/>
      <c r="J176" s="424"/>
      <c r="K176" s="495"/>
      <c r="L176" s="495"/>
      <c r="M176" s="495"/>
      <c r="N176" s="496"/>
      <c r="O176" s="497"/>
      <c r="P176" s="497"/>
      <c r="Q176" s="497"/>
      <c r="R176" s="498"/>
      <c r="S176" s="545"/>
      <c r="T176" s="546"/>
      <c r="U176" s="404"/>
      <c r="V176" s="476"/>
      <c r="W176" s="476"/>
      <c r="X176" s="477"/>
      <c r="Y176" s="488"/>
      <c r="Z176" s="465"/>
      <c r="AA176" s="366"/>
      <c r="AB176" s="503"/>
      <c r="AC176" s="366"/>
      <c r="AD176" s="366"/>
      <c r="AE176" s="366"/>
      <c r="AF176" s="366"/>
      <c r="AG176" s="366"/>
      <c r="AH176" s="366"/>
      <c r="AI176" s="366"/>
      <c r="AJ176" s="366"/>
      <c r="AM176" s="366"/>
      <c r="AN176" s="366"/>
    </row>
    <row r="177" spans="1:36" ht="20.25" customHeight="1" x14ac:dyDescent="0.35">
      <c r="A177" s="366"/>
      <c r="B177" s="518"/>
      <c r="C177" s="365"/>
      <c r="D177" s="365"/>
      <c r="E177" s="468"/>
      <c r="F177" s="478"/>
      <c r="G177" s="470"/>
      <c r="H177" s="494"/>
      <c r="I177" s="471"/>
      <c r="J177" s="424"/>
      <c r="K177" s="495"/>
      <c r="L177" s="495"/>
      <c r="M177" s="495"/>
      <c r="N177" s="496"/>
      <c r="O177" s="497"/>
      <c r="P177" s="497"/>
      <c r="Q177" s="497"/>
      <c r="R177" s="498"/>
      <c r="S177" s="545"/>
      <c r="T177" s="546"/>
      <c r="U177" s="404"/>
      <c r="V177" s="476"/>
      <c r="W177" s="476"/>
      <c r="X177" s="477"/>
      <c r="Y177" s="571"/>
      <c r="AA177" s="366"/>
      <c r="AB177" s="503"/>
      <c r="AC177" s="366"/>
      <c r="AD177" s="366"/>
      <c r="AE177" s="366"/>
      <c r="AF177" s="366"/>
      <c r="AG177" s="366"/>
      <c r="AH177" s="366"/>
      <c r="AI177" s="366"/>
      <c r="AJ177" s="366"/>
    </row>
    <row r="178" spans="1:36" ht="20.25" customHeight="1" x14ac:dyDescent="0.35">
      <c r="A178" s="366"/>
      <c r="B178" s="518"/>
      <c r="C178" s="365"/>
      <c r="D178" s="365"/>
      <c r="E178" s="468"/>
      <c r="F178" s="478"/>
      <c r="G178" s="470"/>
      <c r="H178" s="494"/>
      <c r="I178" s="471"/>
      <c r="J178" s="424"/>
      <c r="K178" s="495"/>
      <c r="L178" s="495"/>
      <c r="M178" s="495"/>
      <c r="N178" s="496"/>
      <c r="O178" s="497"/>
      <c r="P178" s="497"/>
      <c r="Q178" s="497"/>
      <c r="R178" s="498"/>
      <c r="S178" s="545"/>
      <c r="T178" s="546"/>
      <c r="U178" s="404"/>
      <c r="V178" s="476"/>
      <c r="W178" s="476"/>
      <c r="X178" s="477"/>
      <c r="Y178" s="571"/>
    </row>
    <row r="179" spans="1:36" ht="20.25" customHeight="1" x14ac:dyDescent="0.35">
      <c r="A179" s="366"/>
      <c r="B179" s="519"/>
      <c r="C179" s="520"/>
      <c r="D179" s="520"/>
      <c r="E179" s="521"/>
      <c r="F179" s="522"/>
      <c r="G179" s="523"/>
      <c r="H179" s="524"/>
      <c r="I179" s="525"/>
      <c r="J179" s="499"/>
      <c r="K179" s="526"/>
      <c r="L179" s="526"/>
      <c r="M179" s="526"/>
      <c r="N179" s="527"/>
      <c r="O179" s="528"/>
      <c r="P179" s="528"/>
      <c r="Q179" s="528"/>
      <c r="R179" s="529"/>
      <c r="S179" s="549"/>
      <c r="T179" s="550"/>
      <c r="U179" s="404"/>
      <c r="V179" s="476"/>
      <c r="W179" s="476"/>
      <c r="X179" s="477"/>
      <c r="Y179" s="571"/>
    </row>
    <row r="180" spans="1:36" ht="15" customHeight="1" x14ac:dyDescent="0.35">
      <c r="U180" s="465"/>
      <c r="V180" s="571"/>
      <c r="W180" s="571"/>
      <c r="X180" s="571"/>
    </row>
    <row r="181" spans="1:36" ht="15" customHeight="1" x14ac:dyDescent="0.35">
      <c r="U181" s="465"/>
      <c r="V181" s="571"/>
      <c r="W181" s="571"/>
      <c r="X181" s="571"/>
    </row>
    <row r="182" spans="1:36" ht="15" customHeight="1" x14ac:dyDescent="0.35">
      <c r="V182" s="571"/>
      <c r="W182" s="571"/>
      <c r="X182" s="571"/>
    </row>
    <row r="183" spans="1:36" ht="15" customHeight="1" x14ac:dyDescent="0.35"/>
    <row r="184" spans="1:36" ht="15" customHeight="1" x14ac:dyDescent="0.35"/>
    <row r="185" spans="1:36" ht="15" customHeight="1" x14ac:dyDescent="0.35"/>
    <row r="186" spans="1:36" ht="15" customHeight="1" x14ac:dyDescent="0.35"/>
    <row r="187" spans="1:36" ht="15" customHeight="1" x14ac:dyDescent="0.35"/>
    <row r="188" spans="1:36" ht="15" customHeight="1" x14ac:dyDescent="0.35"/>
    <row r="189" spans="1:36" ht="15" customHeight="1" x14ac:dyDescent="0.35"/>
    <row r="190" spans="1:36" ht="15" customHeight="1" x14ac:dyDescent="0.35"/>
    <row r="191" spans="1:36" ht="15" customHeight="1" x14ac:dyDescent="0.35"/>
    <row r="192" spans="1:36"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sheetData>
  <mergeCells count="29">
    <mergeCell ref="R7:R8"/>
    <mergeCell ref="B7:B8"/>
    <mergeCell ref="C7:C8"/>
    <mergeCell ref="D7:D8"/>
    <mergeCell ref="E7:E8"/>
    <mergeCell ref="K7:K8"/>
    <mergeCell ref="L7:L8"/>
    <mergeCell ref="M7:M8"/>
    <mergeCell ref="N7:N8"/>
    <mergeCell ref="O7:O8"/>
    <mergeCell ref="P7:P8"/>
    <mergeCell ref="Q7:Q8"/>
    <mergeCell ref="C4:D4"/>
    <mergeCell ref="L4:M4"/>
    <mergeCell ref="N4:O4"/>
    <mergeCell ref="C5:D5"/>
    <mergeCell ref="L5:M5"/>
    <mergeCell ref="N5:O5"/>
    <mergeCell ref="V10:W10"/>
    <mergeCell ref="V12:W12"/>
    <mergeCell ref="AC6:AF6"/>
    <mergeCell ref="AG6:AJ6"/>
    <mergeCell ref="S7:S8"/>
    <mergeCell ref="T7:T8"/>
    <mergeCell ref="V7:V8"/>
    <mergeCell ref="W7:W8"/>
    <mergeCell ref="X7:X8"/>
    <mergeCell ref="AA7:AA8"/>
    <mergeCell ref="AB7:AB8"/>
  </mergeCells>
  <conditionalFormatting sqref="B15">
    <cfRule type="duplicateValues" dxfId="249" priority="9"/>
    <cfRule type="duplicateValues" dxfId="248" priority="10"/>
  </conditionalFormatting>
  <conditionalFormatting sqref="B102:B106">
    <cfRule type="duplicateValues" dxfId="247" priority="8"/>
  </conditionalFormatting>
  <conditionalFormatting sqref="B171">
    <cfRule type="duplicateValues" dxfId="246" priority="11"/>
    <cfRule type="duplicateValues" dxfId="245" priority="12"/>
  </conditionalFormatting>
  <conditionalFormatting sqref="B172:B1048576 B1:B14 B16:B101 B107:B170">
    <cfRule type="duplicateValues" dxfId="244" priority="21"/>
  </conditionalFormatting>
  <conditionalFormatting sqref="B16:C16 C15">
    <cfRule type="duplicateValues" dxfId="243" priority="19"/>
  </conditionalFormatting>
  <conditionalFormatting sqref="B102:C102 B103:B106">
    <cfRule type="duplicateValues" dxfId="242" priority="7"/>
  </conditionalFormatting>
  <conditionalFormatting sqref="B172:C172">
    <cfRule type="duplicateValues" dxfId="241" priority="14"/>
  </conditionalFormatting>
  <conditionalFormatting sqref="B173:C178 B24:C24 B40:C41 B101:C101 B67:B100 B65:C66 B61:B64 B59:C60 B42:B58 B26:B39 B18:B23 B107:C169">
    <cfRule type="duplicateValues" dxfId="240" priority="27"/>
  </conditionalFormatting>
  <conditionalFormatting sqref="C18:C23">
    <cfRule type="duplicateValues" dxfId="239" priority="1"/>
  </conditionalFormatting>
  <conditionalFormatting sqref="C26:C39">
    <cfRule type="duplicateValues" dxfId="238" priority="2"/>
  </conditionalFormatting>
  <conditionalFormatting sqref="C42:C58">
    <cfRule type="duplicateValues" dxfId="237" priority="3"/>
  </conditionalFormatting>
  <conditionalFormatting sqref="C61:C64">
    <cfRule type="duplicateValues" dxfId="236" priority="4"/>
  </conditionalFormatting>
  <conditionalFormatting sqref="C67:C100">
    <cfRule type="duplicateValues" dxfId="235" priority="5"/>
  </conditionalFormatting>
  <conditionalFormatting sqref="C103:C106">
    <cfRule type="duplicateValues" dxfId="234" priority="6"/>
  </conditionalFormatting>
  <conditionalFormatting sqref="C171">
    <cfRule type="duplicateValues" dxfId="233" priority="13"/>
  </conditionalFormatting>
  <conditionalFormatting sqref="J2:J3 J7:J179">
    <cfRule type="cellIs" dxfId="232" priority="26" operator="equal">
      <formula>"Disc"</formula>
    </cfRule>
  </conditionalFormatting>
  <conditionalFormatting sqref="V2:V5">
    <cfRule type="containsText" dxfId="231" priority="22" operator="containsText" text="dog">
      <formula>NOT(ISERROR(SEARCH("dog",V2)))</formula>
    </cfRule>
    <cfRule type="containsText" dxfId="230" priority="23" operator="containsText" text="star">
      <formula>NOT(ISERROR(SEARCH("star",V2)))</formula>
    </cfRule>
    <cfRule type="containsText" dxfId="229" priority="24" operator="containsText" text="PUZZLE">
      <formula>NOT(ISERROR(SEARCH("PUZZLE",V2)))</formula>
    </cfRule>
    <cfRule type="containsText" dxfId="228" priority="25" operator="containsText" text="HORSE">
      <formula>NOT(ISERROR(SEARCH("HORSE",V2)))</formula>
    </cfRule>
  </conditionalFormatting>
  <conditionalFormatting sqref="X15:X179">
    <cfRule type="containsText" dxfId="227" priority="15" operator="containsText" text="star">
      <formula>NOT(ISERROR(SEARCH("star",X15)))</formula>
    </cfRule>
    <cfRule type="containsText" dxfId="226" priority="16" operator="containsText" text="dog">
      <formula>NOT(ISERROR(SEARCH("dog",X15)))</formula>
    </cfRule>
    <cfRule type="containsText" dxfId="225" priority="17" operator="containsText" text="puzzle">
      <formula>NOT(ISERROR(SEARCH("puzzle",X15)))</formula>
    </cfRule>
    <cfRule type="containsText" dxfId="224" priority="18" operator="containsText" text="horse">
      <formula>NOT(ISERROR(SEARCH("horse",X15)))</formula>
    </cfRule>
  </conditionalFormatting>
  <conditionalFormatting sqref="AA7:AA8">
    <cfRule type="duplicateValues" dxfId="223" priority="20"/>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05"/>
  <sheetViews>
    <sheetView zoomScale="85" zoomScaleNormal="85" workbookViewId="0">
      <selection activeCell="L24" sqref="L24"/>
    </sheetView>
  </sheetViews>
  <sheetFormatPr defaultColWidth="12.54296875" defaultRowHeight="13" outlineLevelCol="1" x14ac:dyDescent="0.3"/>
  <cols>
    <col min="1" max="1" width="1.453125" style="84" customWidth="1"/>
    <col min="2" max="2" width="19.81640625" style="84" customWidth="1"/>
    <col min="3" max="3" width="48.1796875" style="84" customWidth="1"/>
    <col min="4" max="4" width="14.26953125" style="84" customWidth="1"/>
    <col min="5" max="5" width="7.81640625" style="84" customWidth="1"/>
    <col min="6" max="6" width="15.26953125" style="84" customWidth="1"/>
    <col min="7" max="7" width="11.81640625" style="84" customWidth="1"/>
    <col min="8" max="8" width="14" style="84" customWidth="1"/>
    <col min="9" max="9" width="13.81640625" style="84" customWidth="1"/>
    <col min="10" max="10" width="5.453125" style="84" customWidth="1"/>
    <col min="11" max="11" width="19.81640625" style="84" customWidth="1" outlineLevel="1"/>
    <col min="12" max="12" width="20" style="84" customWidth="1" outlineLevel="1"/>
    <col min="13" max="13" width="21.54296875" style="84" customWidth="1" outlineLevel="1"/>
    <col min="14" max="14" width="14" style="84" customWidth="1" outlineLevel="1"/>
    <col min="15" max="15" width="18.26953125" style="84" customWidth="1" outlineLevel="1"/>
    <col min="16" max="16" width="12" style="84" customWidth="1" outlineLevel="1"/>
    <col min="17" max="17" width="18.54296875" style="84" bestFit="1" customWidth="1" outlineLevel="1"/>
    <col min="18" max="18" width="19" style="84" customWidth="1" outlineLevel="1"/>
    <col min="19" max="19" width="1.453125" style="84" customWidth="1"/>
    <col min="20" max="20" width="13.7265625" style="84" customWidth="1"/>
    <col min="21" max="36" width="7.54296875" style="84" customWidth="1"/>
    <col min="37" max="16384" width="12.54296875" style="84"/>
  </cols>
  <sheetData>
    <row r="1" spans="1:36" ht="4.5" customHeight="1" x14ac:dyDescent="0.3">
      <c r="A1" s="76"/>
      <c r="B1" s="76"/>
      <c r="C1" s="76"/>
      <c r="D1" s="76"/>
      <c r="E1" s="77"/>
      <c r="F1" s="78"/>
      <c r="G1" s="77"/>
      <c r="H1" s="77"/>
      <c r="I1" s="79"/>
      <c r="J1" s="76"/>
      <c r="K1" s="76"/>
      <c r="L1" s="76"/>
      <c r="M1" s="76"/>
      <c r="N1" s="80"/>
      <c r="O1" s="81"/>
      <c r="P1" s="81"/>
      <c r="Q1" s="81"/>
      <c r="R1" s="82"/>
      <c r="S1" s="83"/>
      <c r="T1" s="76"/>
      <c r="U1" s="76"/>
      <c r="V1" s="76"/>
      <c r="W1" s="76"/>
      <c r="X1" s="76"/>
      <c r="Y1" s="76"/>
      <c r="Z1" s="76"/>
      <c r="AA1" s="76"/>
      <c r="AB1" s="76"/>
      <c r="AC1" s="76"/>
      <c r="AD1" s="76"/>
      <c r="AE1" s="76"/>
      <c r="AF1" s="76"/>
      <c r="AG1" s="76"/>
      <c r="AH1" s="76"/>
      <c r="AI1" s="76"/>
      <c r="AJ1" s="76"/>
    </row>
    <row r="2" spans="1:36" ht="24.75" customHeight="1" x14ac:dyDescent="0.3">
      <c r="A2" s="85"/>
      <c r="B2" s="86"/>
      <c r="C2" s="85"/>
      <c r="D2" s="85"/>
      <c r="E2" s="87"/>
      <c r="F2" s="88"/>
      <c r="G2" s="89"/>
      <c r="H2" s="89"/>
      <c r="I2" s="90"/>
      <c r="J2" s="85"/>
      <c r="K2" s="91"/>
      <c r="L2" s="91"/>
      <c r="M2" s="91"/>
      <c r="N2" s="92"/>
      <c r="O2" s="93"/>
      <c r="P2" s="93"/>
      <c r="Q2" s="81"/>
      <c r="R2" s="82"/>
      <c r="S2" s="94"/>
      <c r="T2" s="85"/>
      <c r="U2" s="85"/>
      <c r="V2" s="85"/>
      <c r="W2" s="85"/>
      <c r="X2" s="85"/>
      <c r="Y2" s="85"/>
      <c r="Z2" s="85"/>
      <c r="AA2" s="85"/>
      <c r="AB2" s="85"/>
      <c r="AC2" s="85"/>
      <c r="AD2" s="85"/>
      <c r="AE2" s="85"/>
      <c r="AF2" s="85"/>
      <c r="AG2" s="85"/>
      <c r="AH2" s="85"/>
      <c r="AI2" s="85"/>
      <c r="AJ2" s="85"/>
    </row>
    <row r="3" spans="1:36" ht="34.5" customHeight="1" x14ac:dyDescent="0.3">
      <c r="A3" s="76"/>
      <c r="B3" s="86"/>
      <c r="C3" s="76"/>
      <c r="D3" s="76"/>
      <c r="E3" s="77"/>
      <c r="F3" s="78"/>
      <c r="G3" s="77"/>
      <c r="H3" s="77"/>
      <c r="I3" s="79"/>
      <c r="J3" s="76"/>
      <c r="K3" s="95"/>
      <c r="L3" s="96"/>
      <c r="M3" s="4"/>
      <c r="N3" s="97"/>
      <c r="O3" s="98"/>
      <c r="P3" s="93"/>
      <c r="Q3" s="81"/>
      <c r="R3" s="82"/>
      <c r="S3" s="83"/>
      <c r="T3" s="76"/>
      <c r="U3" s="76"/>
      <c r="V3" s="76"/>
      <c r="W3" s="76"/>
      <c r="X3" s="76"/>
      <c r="Y3" s="76"/>
      <c r="Z3" s="76"/>
      <c r="AA3" s="76"/>
      <c r="AB3" s="76"/>
      <c r="AC3" s="76"/>
      <c r="AD3" s="76"/>
      <c r="AE3" s="76"/>
      <c r="AF3" s="76"/>
      <c r="AG3" s="76"/>
      <c r="AH3" s="76"/>
      <c r="AI3" s="76"/>
      <c r="AJ3" s="76"/>
    </row>
    <row r="4" spans="1:36" ht="30" customHeight="1" thickBot="1" x14ac:dyDescent="0.35">
      <c r="A4" s="76"/>
      <c r="B4" s="99"/>
      <c r="C4" s="701"/>
      <c r="D4" s="702"/>
      <c r="E4" s="100"/>
      <c r="F4" s="78"/>
      <c r="G4" s="77"/>
      <c r="H4" s="77"/>
      <c r="I4" s="79"/>
      <c r="J4" s="76"/>
      <c r="K4" s="101"/>
      <c r="L4" s="703"/>
      <c r="M4" s="703"/>
      <c r="N4" s="703"/>
      <c r="O4" s="703"/>
      <c r="P4" s="102"/>
      <c r="Q4" s="2"/>
      <c r="R4" s="103"/>
      <c r="S4" s="83"/>
      <c r="T4" s="76"/>
      <c r="U4" s="76"/>
      <c r="V4" s="76"/>
      <c r="W4" s="76"/>
      <c r="X4" s="76"/>
      <c r="Y4" s="76"/>
      <c r="Z4" s="76"/>
      <c r="AA4" s="76"/>
      <c r="AB4" s="76"/>
      <c r="AC4" s="76"/>
      <c r="AD4" s="76"/>
      <c r="AE4" s="76"/>
      <c r="AF4" s="76"/>
      <c r="AG4" s="76"/>
      <c r="AH4" s="76"/>
      <c r="AI4" s="76"/>
      <c r="AJ4" s="76"/>
    </row>
    <row r="5" spans="1:36" ht="30" customHeight="1" thickBot="1" x14ac:dyDescent="0.35">
      <c r="A5" s="76"/>
      <c r="B5" s="99"/>
      <c r="C5" s="701"/>
      <c r="D5" s="702"/>
      <c r="E5" s="100"/>
      <c r="F5" s="78"/>
      <c r="G5" s="77"/>
      <c r="H5" s="77"/>
      <c r="I5" s="79"/>
      <c r="J5" s="76"/>
      <c r="K5" s="104"/>
      <c r="L5" s="704"/>
      <c r="M5" s="704"/>
      <c r="N5" s="654"/>
      <c r="O5" s="654"/>
      <c r="P5" s="105"/>
      <c r="Q5" s="81"/>
      <c r="R5" s="82"/>
      <c r="S5" s="83"/>
      <c r="T5" s="76"/>
      <c r="U5" s="76"/>
      <c r="V5" s="76"/>
      <c r="W5" s="76"/>
      <c r="X5" s="76"/>
      <c r="Y5" s="76"/>
      <c r="Z5" s="76"/>
      <c r="AA5" s="76"/>
      <c r="AB5" s="76"/>
      <c r="AC5" s="76"/>
      <c r="AD5" s="76"/>
      <c r="AE5" s="76"/>
      <c r="AF5" s="76"/>
      <c r="AG5" s="76"/>
      <c r="AH5" s="76"/>
      <c r="AI5" s="76"/>
      <c r="AJ5" s="76"/>
    </row>
    <row r="6" spans="1:36" ht="4.5" customHeight="1" x14ac:dyDescent="0.3">
      <c r="A6" s="76"/>
      <c r="B6" s="76"/>
      <c r="C6" s="76"/>
      <c r="D6" s="76"/>
      <c r="E6" s="77"/>
      <c r="F6" s="78"/>
      <c r="G6" s="77"/>
      <c r="H6" s="77"/>
      <c r="I6" s="79"/>
      <c r="J6" s="100"/>
      <c r="K6" s="76"/>
      <c r="L6" s="76"/>
      <c r="M6" s="76"/>
      <c r="N6" s="80"/>
      <c r="O6" s="81"/>
      <c r="P6" s="81"/>
      <c r="Q6" s="81"/>
      <c r="R6" s="82"/>
      <c r="S6" s="83"/>
      <c r="T6" s="76"/>
      <c r="U6" s="76"/>
      <c r="V6" s="76"/>
      <c r="W6" s="76"/>
      <c r="X6" s="76"/>
      <c r="Y6" s="76"/>
      <c r="Z6" s="76"/>
      <c r="AA6" s="76"/>
      <c r="AB6" s="76"/>
      <c r="AC6" s="76"/>
      <c r="AD6" s="76"/>
      <c r="AE6" s="76"/>
      <c r="AF6" s="76"/>
      <c r="AG6" s="76"/>
      <c r="AH6" s="76"/>
      <c r="AI6" s="76"/>
      <c r="AJ6" s="76"/>
    </row>
    <row r="7" spans="1:36" ht="19.5" customHeight="1" x14ac:dyDescent="0.3">
      <c r="A7" s="100"/>
      <c r="B7" s="707"/>
      <c r="C7" s="709"/>
      <c r="D7" s="709"/>
      <c r="E7" s="711"/>
      <c r="F7" s="106"/>
      <c r="G7" s="106"/>
      <c r="H7" s="106"/>
      <c r="I7" s="108"/>
      <c r="J7" s="106"/>
      <c r="K7" s="709"/>
      <c r="L7" s="709"/>
      <c r="M7" s="709"/>
      <c r="N7" s="713"/>
      <c r="O7" s="715"/>
      <c r="P7" s="715"/>
      <c r="Q7" s="715"/>
      <c r="R7" s="705"/>
      <c r="S7" s="110"/>
      <c r="T7" s="100"/>
      <c r="U7" s="100"/>
      <c r="V7" s="100"/>
      <c r="W7" s="100"/>
      <c r="X7" s="100"/>
      <c r="Y7" s="100"/>
      <c r="Z7" s="100"/>
      <c r="AA7" s="100"/>
      <c r="AB7" s="100"/>
      <c r="AC7" s="100"/>
      <c r="AD7" s="100"/>
      <c r="AE7" s="100"/>
      <c r="AF7" s="100"/>
      <c r="AG7" s="100"/>
      <c r="AH7" s="100"/>
      <c r="AI7" s="100"/>
      <c r="AJ7" s="100"/>
    </row>
    <row r="8" spans="1:36" ht="30" customHeight="1" x14ac:dyDescent="0.3">
      <c r="A8" s="111"/>
      <c r="B8" s="708"/>
      <c r="C8" s="710"/>
      <c r="D8" s="710"/>
      <c r="E8" s="712"/>
      <c r="F8" s="107"/>
      <c r="G8" s="107"/>
      <c r="H8" s="107"/>
      <c r="I8" s="112"/>
      <c r="J8" s="113"/>
      <c r="K8" s="710"/>
      <c r="L8" s="710"/>
      <c r="M8" s="710"/>
      <c r="N8" s="714"/>
      <c r="O8" s="716"/>
      <c r="P8" s="716"/>
      <c r="Q8" s="716"/>
      <c r="R8" s="706"/>
      <c r="S8" s="114"/>
      <c r="T8" s="115"/>
      <c r="U8" s="115"/>
      <c r="V8" s="115"/>
      <c r="W8" s="115"/>
      <c r="X8" s="115"/>
      <c r="Y8" s="115"/>
      <c r="Z8" s="115"/>
      <c r="AA8" s="115"/>
      <c r="AB8" s="115"/>
      <c r="AC8" s="115"/>
      <c r="AD8" s="115"/>
      <c r="AE8" s="115"/>
      <c r="AF8" s="115"/>
      <c r="AG8" s="115"/>
      <c r="AH8" s="115"/>
      <c r="AI8" s="115"/>
      <c r="AJ8" s="115"/>
    </row>
    <row r="9" spans="1:36" ht="11.25" customHeight="1" x14ac:dyDescent="0.3">
      <c r="A9" s="100"/>
      <c r="B9" s="106"/>
      <c r="C9" s="116"/>
      <c r="D9" s="106"/>
      <c r="E9" s="106"/>
      <c r="F9" s="106"/>
      <c r="G9" s="106"/>
      <c r="H9" s="106"/>
      <c r="I9" s="117"/>
      <c r="J9" s="118"/>
      <c r="K9" s="118"/>
      <c r="L9" s="118"/>
      <c r="M9" s="118"/>
      <c r="N9" s="109"/>
      <c r="O9" s="119"/>
      <c r="P9" s="119"/>
      <c r="Q9" s="119"/>
      <c r="R9" s="120"/>
      <c r="S9" s="121"/>
      <c r="T9" s="100"/>
      <c r="U9" s="100"/>
      <c r="V9" s="100"/>
      <c r="W9" s="100"/>
      <c r="X9" s="100"/>
      <c r="Y9" s="100"/>
      <c r="Z9" s="100"/>
      <c r="AA9" s="100"/>
      <c r="AB9" s="100"/>
      <c r="AC9" s="100"/>
      <c r="AD9" s="100"/>
      <c r="AE9" s="100"/>
      <c r="AF9" s="100"/>
      <c r="AG9" s="100"/>
      <c r="AH9" s="100"/>
      <c r="AI9" s="100"/>
      <c r="AJ9" s="100"/>
    </row>
    <row r="10" spans="1:36" ht="12" customHeight="1" x14ac:dyDescent="0.3">
      <c r="A10" s="100"/>
      <c r="B10" s="122"/>
      <c r="C10" s="123"/>
      <c r="D10" s="122"/>
      <c r="E10" s="124"/>
      <c r="F10" s="123"/>
      <c r="G10" s="125"/>
      <c r="H10" s="125"/>
      <c r="I10" s="126"/>
      <c r="J10" s="118"/>
      <c r="K10" s="118"/>
      <c r="L10" s="118"/>
      <c r="M10" s="118"/>
      <c r="N10" s="109"/>
      <c r="O10" s="119"/>
      <c r="P10" s="119"/>
      <c r="Q10" s="119"/>
      <c r="R10" s="120"/>
      <c r="S10" s="121"/>
      <c r="T10" s="121"/>
      <c r="U10" s="121"/>
      <c r="V10" s="121"/>
      <c r="W10" s="121"/>
      <c r="X10" s="121"/>
      <c r="Y10" s="121"/>
      <c r="Z10" s="121"/>
      <c r="AA10" s="121"/>
      <c r="AB10" s="121"/>
      <c r="AC10" s="121"/>
      <c r="AD10" s="121"/>
      <c r="AE10" s="121"/>
      <c r="AF10" s="121"/>
      <c r="AG10" s="121"/>
      <c r="AH10" s="121"/>
      <c r="AI10" s="121"/>
      <c r="AJ10" s="121"/>
    </row>
    <row r="11" spans="1:36" ht="12" customHeight="1" x14ac:dyDescent="0.3">
      <c r="A11" s="100"/>
      <c r="B11" s="118"/>
      <c r="C11" s="127"/>
      <c r="D11" s="118"/>
      <c r="E11" s="106"/>
      <c r="F11" s="127"/>
      <c r="G11" s="128"/>
      <c r="H11" s="128"/>
      <c r="I11" s="129"/>
      <c r="J11" s="118"/>
      <c r="K11" s="118"/>
      <c r="L11" s="118"/>
      <c r="M11" s="118"/>
      <c r="N11" s="109"/>
      <c r="O11" s="119"/>
      <c r="P11" s="119"/>
      <c r="Q11" s="119"/>
      <c r="R11" s="120"/>
      <c r="S11" s="121"/>
      <c r="T11" s="121"/>
      <c r="U11" s="121"/>
      <c r="V11" s="121"/>
      <c r="W11" s="121"/>
      <c r="X11" s="121"/>
      <c r="Y11" s="121"/>
      <c r="Z11" s="121"/>
      <c r="AA11" s="121"/>
      <c r="AB11" s="121"/>
      <c r="AC11" s="121"/>
      <c r="AD11" s="121"/>
      <c r="AE11" s="121"/>
      <c r="AF11" s="121"/>
      <c r="AG11" s="121"/>
      <c r="AH11" s="121"/>
      <c r="AI11" s="121"/>
      <c r="AJ11" s="121"/>
    </row>
    <row r="12" spans="1:36" ht="16.5" customHeight="1" x14ac:dyDescent="0.3">
      <c r="A12" s="100"/>
      <c r="B12" s="130"/>
      <c r="C12" s="131"/>
      <c r="D12" s="131"/>
      <c r="E12" s="132"/>
      <c r="F12" s="132"/>
      <c r="G12" s="133"/>
      <c r="H12" s="132"/>
      <c r="I12" s="126"/>
      <c r="J12" s="134"/>
      <c r="K12" s="134"/>
      <c r="L12" s="134"/>
      <c r="M12" s="134"/>
      <c r="N12" s="135"/>
      <c r="O12" s="136"/>
      <c r="P12" s="136"/>
      <c r="Q12" s="136"/>
      <c r="R12" s="137"/>
      <c r="S12" s="121"/>
      <c r="T12" s="100"/>
      <c r="U12" s="100"/>
      <c r="V12" s="100"/>
      <c r="W12" s="100"/>
      <c r="X12" s="100"/>
      <c r="Y12" s="100"/>
      <c r="Z12" s="100"/>
      <c r="AA12" s="100"/>
      <c r="AB12" s="100"/>
      <c r="AC12" s="100"/>
      <c r="AD12" s="100"/>
      <c r="AE12" s="100"/>
      <c r="AF12" s="100"/>
      <c r="AG12" s="100"/>
      <c r="AH12" s="100"/>
      <c r="AI12" s="100"/>
      <c r="AJ12" s="100"/>
    </row>
    <row r="13" spans="1:36" ht="12" customHeight="1" x14ac:dyDescent="0.3">
      <c r="A13" s="100"/>
      <c r="B13" s="118"/>
      <c r="C13" s="127"/>
      <c r="D13" s="118"/>
      <c r="E13" s="106"/>
      <c r="F13" s="127"/>
      <c r="G13" s="128"/>
      <c r="H13" s="128"/>
      <c r="I13" s="129"/>
      <c r="J13" s="118"/>
      <c r="K13" s="118"/>
      <c r="L13" s="118"/>
      <c r="M13" s="118"/>
      <c r="N13" s="109"/>
      <c r="O13" s="119"/>
      <c r="P13" s="119"/>
      <c r="Q13" s="119"/>
      <c r="R13" s="120"/>
      <c r="S13" s="121"/>
      <c r="T13" s="121"/>
      <c r="U13" s="121"/>
      <c r="V13" s="121"/>
      <c r="W13" s="121"/>
      <c r="X13" s="121"/>
      <c r="Y13" s="121"/>
      <c r="Z13" s="121"/>
      <c r="AA13" s="121"/>
      <c r="AB13" s="121"/>
      <c r="AC13" s="121"/>
      <c r="AD13" s="121"/>
      <c r="AE13" s="121"/>
      <c r="AF13" s="121"/>
      <c r="AG13" s="121"/>
      <c r="AH13" s="121"/>
      <c r="AI13" s="121"/>
      <c r="AJ13" s="121"/>
    </row>
    <row r="14" spans="1:36" s="148" customFormat="1" ht="12" customHeight="1" x14ac:dyDescent="0.3">
      <c r="A14" s="138"/>
      <c r="B14" s="139"/>
      <c r="C14" s="140"/>
      <c r="D14" s="140"/>
      <c r="E14" s="141"/>
      <c r="F14" s="141"/>
      <c r="G14" s="141"/>
      <c r="H14" s="141"/>
      <c r="I14" s="142"/>
      <c r="J14" s="143"/>
      <c r="K14" s="140"/>
      <c r="L14" s="140"/>
      <c r="M14" s="140"/>
      <c r="N14" s="144"/>
      <c r="O14" s="145"/>
      <c r="P14" s="145"/>
      <c r="Q14" s="145"/>
      <c r="R14" s="146"/>
      <c r="S14" s="147"/>
      <c r="T14" s="138"/>
      <c r="U14" s="138"/>
      <c r="V14" s="138"/>
      <c r="W14" s="138"/>
      <c r="X14" s="138"/>
      <c r="Y14" s="138"/>
      <c r="Z14" s="138"/>
      <c r="AA14" s="138"/>
      <c r="AB14" s="138"/>
      <c r="AC14" s="138"/>
      <c r="AD14" s="138"/>
      <c r="AE14" s="138"/>
      <c r="AF14" s="138"/>
      <c r="AG14" s="138"/>
      <c r="AH14" s="138"/>
      <c r="AI14" s="138"/>
      <c r="AJ14" s="138"/>
    </row>
    <row r="15" spans="1:36" ht="19.5" customHeight="1" x14ac:dyDescent="0.3">
      <c r="A15" s="76"/>
      <c r="B15" s="149"/>
      <c r="C15" s="150"/>
      <c r="D15" s="150"/>
      <c r="E15" s="150"/>
      <c r="F15" s="116"/>
      <c r="G15" s="116"/>
      <c r="H15" s="116"/>
      <c r="I15" s="151"/>
      <c r="J15" s="127"/>
      <c r="K15" s="127"/>
      <c r="L15" s="127"/>
      <c r="M15" s="127"/>
      <c r="N15" s="152"/>
      <c r="O15" s="153"/>
      <c r="P15" s="153"/>
      <c r="Q15" s="153"/>
      <c r="R15" s="154"/>
      <c r="S15" s="83"/>
      <c r="T15" s="155"/>
      <c r="U15" s="76"/>
      <c r="V15" s="76"/>
      <c r="W15" s="76"/>
      <c r="X15" s="76"/>
      <c r="Y15" s="76"/>
      <c r="Z15" s="76"/>
      <c r="AA15" s="76"/>
      <c r="AB15" s="76"/>
      <c r="AC15" s="76"/>
      <c r="AD15" s="76"/>
      <c r="AE15" s="76"/>
      <c r="AF15" s="76"/>
      <c r="AG15" s="76"/>
      <c r="AH15" s="76"/>
      <c r="AI15" s="76"/>
      <c r="AJ15" s="76"/>
    </row>
    <row r="16" spans="1:36" ht="19.5" customHeight="1" x14ac:dyDescent="0.3">
      <c r="A16" s="76"/>
      <c r="B16" s="149"/>
      <c r="C16" s="150"/>
      <c r="D16" s="150"/>
      <c r="E16" s="150"/>
      <c r="F16" s="116"/>
      <c r="G16" s="116"/>
      <c r="H16" s="116"/>
      <c r="I16" s="151"/>
      <c r="J16" s="127"/>
      <c r="K16" s="127"/>
      <c r="L16" s="127"/>
      <c r="M16" s="127"/>
      <c r="N16" s="152"/>
      <c r="O16" s="153"/>
      <c r="P16" s="153"/>
      <c r="Q16" s="153"/>
      <c r="R16" s="154"/>
      <c r="S16" s="83"/>
      <c r="T16" s="155"/>
      <c r="U16" s="76"/>
      <c r="V16" s="76"/>
      <c r="W16" s="76"/>
      <c r="X16" s="76"/>
      <c r="Y16" s="76"/>
      <c r="Z16" s="76"/>
      <c r="AA16" s="76"/>
      <c r="AB16" s="76"/>
      <c r="AC16" s="76"/>
      <c r="AD16" s="76"/>
      <c r="AE16" s="76"/>
      <c r="AF16" s="76"/>
      <c r="AG16" s="76"/>
      <c r="AH16" s="76"/>
      <c r="AI16" s="76"/>
      <c r="AJ16" s="76"/>
    </row>
    <row r="17" spans="1:36" ht="19.5" customHeight="1" x14ac:dyDescent="0.3">
      <c r="A17" s="76"/>
      <c r="B17" s="149"/>
      <c r="C17" s="150"/>
      <c r="D17" s="150"/>
      <c r="E17" s="150"/>
      <c r="F17" s="116"/>
      <c r="G17" s="116"/>
      <c r="H17" s="116"/>
      <c r="I17" s="151"/>
      <c r="J17" s="127"/>
      <c r="K17" s="127"/>
      <c r="L17" s="127"/>
      <c r="M17" s="127"/>
      <c r="N17" s="152"/>
      <c r="O17" s="153"/>
      <c r="P17" s="153"/>
      <c r="Q17" s="153"/>
      <c r="R17" s="154"/>
      <c r="S17" s="83"/>
      <c r="T17" s="155"/>
      <c r="U17" s="76"/>
      <c r="V17" s="76"/>
      <c r="W17" s="76"/>
      <c r="X17" s="76"/>
      <c r="Y17" s="76"/>
      <c r="Z17" s="76"/>
      <c r="AA17" s="76"/>
      <c r="AB17" s="76"/>
      <c r="AC17" s="76"/>
      <c r="AD17" s="76"/>
      <c r="AE17" s="76"/>
      <c r="AF17" s="76"/>
      <c r="AG17" s="76"/>
      <c r="AH17" s="76"/>
      <c r="AI17" s="76"/>
      <c r="AJ17" s="76"/>
    </row>
    <row r="18" spans="1:36" ht="19.5" customHeight="1" x14ac:dyDescent="0.3">
      <c r="A18" s="76"/>
      <c r="B18" s="149"/>
      <c r="C18" s="150"/>
      <c r="D18" s="150"/>
      <c r="E18" s="150"/>
      <c r="F18" s="116"/>
      <c r="G18" s="116"/>
      <c r="H18" s="116"/>
      <c r="I18" s="151"/>
      <c r="J18" s="127"/>
      <c r="K18" s="127"/>
      <c r="L18" s="127"/>
      <c r="M18" s="127"/>
      <c r="N18" s="152"/>
      <c r="O18" s="153"/>
      <c r="P18" s="153"/>
      <c r="Q18" s="153"/>
      <c r="R18" s="154"/>
      <c r="S18" s="83"/>
      <c r="T18" s="155"/>
      <c r="U18" s="76"/>
      <c r="V18" s="76"/>
      <c r="W18" s="76"/>
      <c r="X18" s="76"/>
      <c r="Y18" s="76"/>
      <c r="Z18" s="76"/>
      <c r="AA18" s="76"/>
      <c r="AB18" s="76"/>
      <c r="AC18" s="76"/>
      <c r="AD18" s="76"/>
      <c r="AE18" s="76"/>
      <c r="AF18" s="76"/>
      <c r="AG18" s="76"/>
      <c r="AH18" s="76"/>
      <c r="AI18" s="76"/>
      <c r="AJ18" s="76"/>
    </row>
    <row r="19" spans="1:36" ht="19.5" customHeight="1" x14ac:dyDescent="0.3">
      <c r="A19" s="76"/>
      <c r="B19" s="156"/>
      <c r="C19" s="157"/>
      <c r="D19" s="157"/>
      <c r="E19" s="157"/>
      <c r="F19" s="116"/>
      <c r="G19" s="116"/>
      <c r="H19" s="116"/>
      <c r="I19" s="151"/>
      <c r="J19" s="127"/>
      <c r="K19" s="127"/>
      <c r="L19" s="127"/>
      <c r="M19" s="127"/>
      <c r="N19" s="152"/>
      <c r="O19" s="153"/>
      <c r="P19" s="153"/>
      <c r="Q19" s="153"/>
      <c r="R19" s="154"/>
      <c r="S19" s="83"/>
      <c r="T19" s="155"/>
      <c r="U19" s="76"/>
      <c r="V19" s="76"/>
      <c r="W19" s="76"/>
      <c r="X19" s="76"/>
      <c r="Y19" s="76"/>
      <c r="Z19" s="76"/>
      <c r="AA19" s="76"/>
      <c r="AB19" s="76"/>
      <c r="AC19" s="76"/>
      <c r="AD19" s="76"/>
      <c r="AE19" s="76"/>
      <c r="AF19" s="76"/>
      <c r="AG19" s="76"/>
      <c r="AH19" s="76"/>
      <c r="AI19" s="76"/>
      <c r="AJ19" s="76"/>
    </row>
    <row r="20" spans="1:36" ht="19.5" customHeight="1" x14ac:dyDescent="0.3">
      <c r="A20" s="76"/>
      <c r="B20" s="127"/>
      <c r="C20" s="127"/>
      <c r="D20" s="127"/>
      <c r="E20" s="116"/>
      <c r="F20" s="116"/>
      <c r="G20" s="116"/>
      <c r="H20" s="116"/>
      <c r="I20" s="151"/>
      <c r="J20" s="127"/>
      <c r="K20" s="127"/>
      <c r="L20" s="127"/>
      <c r="M20" s="127"/>
      <c r="N20" s="152"/>
      <c r="O20" s="153"/>
      <c r="P20" s="153"/>
      <c r="Q20" s="153"/>
      <c r="R20" s="154"/>
      <c r="S20" s="83"/>
      <c r="T20" s="155"/>
      <c r="U20" s="76"/>
      <c r="V20" s="76"/>
      <c r="W20" s="76"/>
      <c r="X20" s="76"/>
      <c r="Y20" s="76"/>
      <c r="Z20" s="76"/>
      <c r="AA20" s="76"/>
      <c r="AB20" s="76"/>
      <c r="AC20" s="76"/>
      <c r="AD20" s="76"/>
      <c r="AE20" s="76"/>
      <c r="AF20" s="76"/>
      <c r="AG20" s="76"/>
      <c r="AH20" s="76"/>
      <c r="AI20" s="76"/>
      <c r="AJ20" s="76"/>
    </row>
    <row r="21" spans="1:36" s="148" customFormat="1" ht="19.5" customHeight="1" x14ac:dyDescent="0.3">
      <c r="A21" s="138"/>
      <c r="B21" s="139"/>
      <c r="C21" s="143"/>
      <c r="D21" s="143"/>
      <c r="E21" s="158"/>
      <c r="F21" s="158"/>
      <c r="G21" s="158"/>
      <c r="H21" s="158"/>
      <c r="I21" s="142"/>
      <c r="J21" s="143"/>
      <c r="K21" s="140"/>
      <c r="L21" s="140"/>
      <c r="M21" s="140"/>
      <c r="N21" s="159"/>
      <c r="O21" s="160"/>
      <c r="P21" s="160"/>
      <c r="Q21" s="160"/>
      <c r="R21" s="161"/>
      <c r="S21" s="147"/>
      <c r="T21" s="155"/>
      <c r="U21" s="138"/>
      <c r="V21" s="138"/>
      <c r="W21" s="138"/>
      <c r="X21" s="138"/>
      <c r="Y21" s="138"/>
      <c r="Z21" s="138"/>
      <c r="AA21" s="138"/>
      <c r="AB21" s="138"/>
      <c r="AC21" s="138"/>
      <c r="AD21" s="138"/>
      <c r="AE21" s="138"/>
      <c r="AF21" s="138"/>
      <c r="AG21" s="138"/>
      <c r="AH21" s="138"/>
      <c r="AI21" s="138"/>
      <c r="AJ21" s="138"/>
    </row>
    <row r="22" spans="1:36" ht="19.5" customHeight="1" x14ac:dyDescent="0.3">
      <c r="A22" s="76"/>
      <c r="B22" s="149"/>
      <c r="C22" s="150"/>
      <c r="D22" s="162"/>
      <c r="E22" s="150"/>
      <c r="F22" s="116"/>
      <c r="G22" s="116"/>
      <c r="H22" s="163"/>
      <c r="I22" s="151"/>
      <c r="J22" s="127"/>
      <c r="K22" s="162"/>
      <c r="L22" s="162"/>
      <c r="M22" s="162"/>
      <c r="N22" s="164"/>
      <c r="O22" s="165"/>
      <c r="P22" s="165"/>
      <c r="Q22" s="165"/>
      <c r="R22" s="166"/>
      <c r="S22" s="83"/>
      <c r="T22" s="155"/>
      <c r="U22" s="76"/>
      <c r="V22" s="76"/>
      <c r="W22" s="76"/>
      <c r="X22" s="76"/>
      <c r="Y22" s="76"/>
      <c r="Z22" s="76"/>
      <c r="AA22" s="76"/>
      <c r="AB22" s="76"/>
      <c r="AC22" s="76"/>
      <c r="AD22" s="76"/>
      <c r="AE22" s="76"/>
      <c r="AF22" s="76"/>
      <c r="AG22" s="76"/>
      <c r="AH22" s="76"/>
      <c r="AI22" s="76"/>
      <c r="AJ22" s="76"/>
    </row>
    <row r="23" spans="1:36" ht="19.5" customHeight="1" x14ac:dyDescent="0.3">
      <c r="A23" s="76"/>
      <c r="B23" s="149"/>
      <c r="C23" s="150"/>
      <c r="D23" s="162"/>
      <c r="E23" s="150"/>
      <c r="F23" s="116"/>
      <c r="G23" s="116"/>
      <c r="H23" s="163"/>
      <c r="I23" s="151"/>
      <c r="J23" s="127"/>
      <c r="K23" s="162"/>
      <c r="L23" s="162"/>
      <c r="M23" s="162"/>
      <c r="N23" s="164"/>
      <c r="O23" s="165"/>
      <c r="P23" s="165"/>
      <c r="Q23" s="165"/>
      <c r="R23" s="166"/>
      <c r="S23" s="83"/>
      <c r="T23" s="155"/>
      <c r="U23" s="76"/>
      <c r="V23" s="76"/>
      <c r="W23" s="76"/>
      <c r="X23" s="76"/>
      <c r="Y23" s="76"/>
      <c r="Z23" s="76"/>
      <c r="AA23" s="76"/>
      <c r="AB23" s="76"/>
      <c r="AC23" s="76"/>
      <c r="AD23" s="76"/>
      <c r="AE23" s="76"/>
      <c r="AF23" s="76"/>
      <c r="AG23" s="76"/>
      <c r="AH23" s="76"/>
      <c r="AI23" s="76"/>
      <c r="AJ23" s="76"/>
    </row>
    <row r="24" spans="1:36" ht="19.5" customHeight="1" x14ac:dyDescent="0.3">
      <c r="A24" s="76"/>
      <c r="B24" s="149"/>
      <c r="C24" s="150"/>
      <c r="D24" s="162"/>
      <c r="E24" s="150"/>
      <c r="F24" s="116"/>
      <c r="G24" s="116"/>
      <c r="H24" s="163"/>
      <c r="I24" s="151"/>
      <c r="J24" s="127"/>
      <c r="K24" s="162"/>
      <c r="L24" s="162"/>
      <c r="M24" s="162"/>
      <c r="N24" s="164"/>
      <c r="O24" s="165"/>
      <c r="P24" s="165"/>
      <c r="Q24" s="165"/>
      <c r="R24" s="166"/>
      <c r="S24" s="83"/>
      <c r="T24" s="155"/>
      <c r="U24" s="76"/>
      <c r="V24" s="76"/>
      <c r="W24" s="76"/>
      <c r="X24" s="76"/>
      <c r="Y24" s="76"/>
      <c r="Z24" s="76"/>
      <c r="AA24" s="76"/>
      <c r="AB24" s="76"/>
      <c r="AC24" s="76"/>
      <c r="AD24" s="76"/>
      <c r="AE24" s="76"/>
      <c r="AF24" s="76"/>
      <c r="AG24" s="76"/>
      <c r="AH24" s="76"/>
      <c r="AI24" s="76"/>
      <c r="AJ24" s="76"/>
    </row>
    <row r="25" spans="1:36" ht="19.5" customHeight="1" x14ac:dyDescent="0.3">
      <c r="A25" s="76"/>
      <c r="B25" s="149"/>
      <c r="C25" s="150"/>
      <c r="D25" s="162"/>
      <c r="E25" s="150"/>
      <c r="F25" s="116"/>
      <c r="G25" s="116"/>
      <c r="H25" s="163"/>
      <c r="I25" s="151"/>
      <c r="J25" s="127"/>
      <c r="K25" s="162"/>
      <c r="L25" s="162"/>
      <c r="M25" s="162"/>
      <c r="N25" s="164"/>
      <c r="O25" s="165"/>
      <c r="P25" s="165"/>
      <c r="Q25" s="165"/>
      <c r="R25" s="166"/>
      <c r="S25" s="83"/>
      <c r="T25" s="155"/>
      <c r="U25" s="76"/>
      <c r="V25" s="76"/>
      <c r="W25" s="76"/>
      <c r="X25" s="76"/>
      <c r="Y25" s="76"/>
      <c r="Z25" s="76"/>
      <c r="AA25" s="76"/>
      <c r="AB25" s="76"/>
      <c r="AC25" s="76"/>
      <c r="AD25" s="76"/>
      <c r="AE25" s="76"/>
      <c r="AF25" s="76"/>
      <c r="AG25" s="76"/>
      <c r="AH25" s="76"/>
      <c r="AI25" s="76"/>
      <c r="AJ25" s="76"/>
    </row>
    <row r="26" spans="1:36" ht="19.5" customHeight="1" x14ac:dyDescent="0.3">
      <c r="A26" s="76"/>
      <c r="B26" s="149"/>
      <c r="C26" s="150"/>
      <c r="D26" s="162"/>
      <c r="E26" s="150"/>
      <c r="F26" s="116"/>
      <c r="G26" s="116"/>
      <c r="H26" s="163"/>
      <c r="I26" s="151"/>
      <c r="J26" s="127"/>
      <c r="K26" s="162"/>
      <c r="L26" s="162"/>
      <c r="M26" s="162"/>
      <c r="N26" s="164"/>
      <c r="O26" s="165"/>
      <c r="P26" s="165"/>
      <c r="Q26" s="165"/>
      <c r="R26" s="166"/>
      <c r="S26" s="83"/>
      <c r="T26" s="155"/>
      <c r="U26" s="76"/>
      <c r="V26" s="76"/>
      <c r="W26" s="76"/>
      <c r="X26" s="76"/>
      <c r="Y26" s="76"/>
      <c r="Z26" s="76"/>
      <c r="AA26" s="76"/>
      <c r="AB26" s="76"/>
      <c r="AC26" s="76"/>
      <c r="AD26" s="76"/>
      <c r="AE26" s="76"/>
      <c r="AF26" s="76"/>
      <c r="AG26" s="76"/>
      <c r="AH26" s="76"/>
      <c r="AI26" s="76"/>
      <c r="AJ26" s="76"/>
    </row>
    <row r="27" spans="1:36" ht="19.5" customHeight="1" x14ac:dyDescent="0.3">
      <c r="A27" s="76"/>
      <c r="B27" s="149"/>
      <c r="C27" s="150"/>
      <c r="D27" s="162"/>
      <c r="E27" s="150"/>
      <c r="F27" s="116"/>
      <c r="G27" s="116"/>
      <c r="H27" s="163"/>
      <c r="I27" s="151"/>
      <c r="J27" s="127"/>
      <c r="K27" s="162"/>
      <c r="L27" s="162"/>
      <c r="M27" s="162"/>
      <c r="N27" s="164"/>
      <c r="O27" s="165"/>
      <c r="P27" s="165"/>
      <c r="Q27" s="165"/>
      <c r="R27" s="166"/>
      <c r="S27" s="83"/>
      <c r="T27" s="155"/>
      <c r="U27" s="76"/>
      <c r="V27" s="76"/>
      <c r="W27" s="76"/>
      <c r="X27" s="76"/>
      <c r="Y27" s="76"/>
      <c r="Z27" s="76"/>
      <c r="AA27" s="76"/>
      <c r="AB27" s="76"/>
      <c r="AC27" s="76"/>
      <c r="AD27" s="76"/>
      <c r="AE27" s="76"/>
      <c r="AF27" s="76"/>
      <c r="AG27" s="76"/>
      <c r="AH27" s="76"/>
      <c r="AI27" s="76"/>
      <c r="AJ27" s="76"/>
    </row>
    <row r="28" spans="1:36" s="148" customFormat="1" ht="19.5" customHeight="1" x14ac:dyDescent="0.3">
      <c r="A28" s="138"/>
      <c r="B28" s="139"/>
      <c r="C28" s="140"/>
      <c r="D28" s="140"/>
      <c r="E28" s="141"/>
      <c r="F28" s="141"/>
      <c r="G28" s="141"/>
      <c r="H28" s="141"/>
      <c r="I28" s="142"/>
      <c r="J28" s="143"/>
      <c r="K28" s="140"/>
      <c r="L28" s="140"/>
      <c r="M28" s="140"/>
      <c r="N28" s="144"/>
      <c r="O28" s="145"/>
      <c r="P28" s="145"/>
      <c r="Q28" s="145"/>
      <c r="R28" s="146"/>
      <c r="S28" s="147"/>
      <c r="T28" s="155"/>
      <c r="U28" s="138"/>
      <c r="V28" s="138"/>
      <c r="W28" s="138"/>
      <c r="X28" s="138"/>
      <c r="Y28" s="138"/>
      <c r="Z28" s="138"/>
      <c r="AA28" s="138"/>
      <c r="AB28" s="138"/>
      <c r="AC28" s="138"/>
      <c r="AD28" s="138"/>
      <c r="AE28" s="138"/>
      <c r="AF28" s="138"/>
      <c r="AG28" s="138"/>
      <c r="AH28" s="138"/>
      <c r="AI28" s="138"/>
      <c r="AJ28" s="138"/>
    </row>
    <row r="29" spans="1:36" ht="19.5" customHeight="1" x14ac:dyDescent="0.3">
      <c r="A29" s="76"/>
      <c r="B29" s="149"/>
      <c r="C29" s="150"/>
      <c r="D29" s="162"/>
      <c r="E29" s="150"/>
      <c r="F29" s="116"/>
      <c r="G29" s="116"/>
      <c r="H29" s="163"/>
      <c r="I29" s="151"/>
      <c r="J29" s="127"/>
      <c r="K29" s="162"/>
      <c r="L29" s="162"/>
      <c r="M29" s="162"/>
      <c r="N29" s="164"/>
      <c r="O29" s="165"/>
      <c r="P29" s="165"/>
      <c r="Q29" s="165"/>
      <c r="R29" s="166"/>
      <c r="S29" s="83"/>
      <c r="T29" s="155"/>
      <c r="U29" s="76"/>
      <c r="V29" s="76"/>
      <c r="W29" s="76"/>
      <c r="X29" s="76"/>
      <c r="Y29" s="76"/>
      <c r="Z29" s="76"/>
      <c r="AA29" s="76"/>
      <c r="AB29" s="76"/>
      <c r="AC29" s="76"/>
      <c r="AD29" s="76"/>
      <c r="AE29" s="76"/>
      <c r="AF29" s="76"/>
      <c r="AG29" s="76"/>
      <c r="AH29" s="76"/>
      <c r="AI29" s="76"/>
      <c r="AJ29" s="76"/>
    </row>
    <row r="30" spans="1:36" ht="19.5" customHeight="1" x14ac:dyDescent="0.3">
      <c r="A30" s="76"/>
      <c r="B30" s="149"/>
      <c r="C30" s="150"/>
      <c r="D30" s="162"/>
      <c r="E30" s="150"/>
      <c r="F30" s="116"/>
      <c r="G30" s="116"/>
      <c r="H30" s="163"/>
      <c r="I30" s="151"/>
      <c r="J30" s="127"/>
      <c r="K30" s="162"/>
      <c r="L30" s="162"/>
      <c r="M30" s="162"/>
      <c r="N30" s="164"/>
      <c r="O30" s="165"/>
      <c r="P30" s="165"/>
      <c r="Q30" s="165"/>
      <c r="R30" s="166"/>
      <c r="S30" s="83"/>
      <c r="T30" s="155"/>
      <c r="U30" s="76"/>
      <c r="V30" s="76"/>
      <c r="W30" s="76"/>
      <c r="X30" s="76"/>
      <c r="Y30" s="76"/>
      <c r="Z30" s="76"/>
      <c r="AA30" s="76"/>
      <c r="AB30" s="76"/>
      <c r="AC30" s="76"/>
      <c r="AD30" s="76"/>
      <c r="AE30" s="76"/>
      <c r="AF30" s="76"/>
      <c r="AG30" s="76"/>
      <c r="AH30" s="76"/>
      <c r="AI30" s="76"/>
      <c r="AJ30" s="76"/>
    </row>
    <row r="31" spans="1:36" ht="19.5" customHeight="1" x14ac:dyDescent="0.3">
      <c r="A31" s="76"/>
      <c r="B31" s="149"/>
      <c r="C31" s="150"/>
      <c r="D31" s="162"/>
      <c r="E31" s="150"/>
      <c r="F31" s="116"/>
      <c r="G31" s="116"/>
      <c r="H31" s="163"/>
      <c r="I31" s="151"/>
      <c r="J31" s="127"/>
      <c r="K31" s="162"/>
      <c r="L31" s="162"/>
      <c r="M31" s="162"/>
      <c r="N31" s="164"/>
      <c r="O31" s="165"/>
      <c r="P31" s="165"/>
      <c r="Q31" s="165"/>
      <c r="R31" s="166"/>
      <c r="S31" s="83"/>
      <c r="T31" s="155"/>
      <c r="U31" s="76"/>
      <c r="V31" s="76"/>
      <c r="W31" s="76"/>
      <c r="X31" s="76"/>
      <c r="Y31" s="76"/>
      <c r="Z31" s="76"/>
      <c r="AA31" s="76"/>
      <c r="AB31" s="76"/>
      <c r="AC31" s="76"/>
      <c r="AD31" s="76"/>
      <c r="AE31" s="76"/>
      <c r="AF31" s="76"/>
      <c r="AG31" s="76"/>
      <c r="AH31" s="76"/>
      <c r="AI31" s="76"/>
      <c r="AJ31" s="76"/>
    </row>
    <row r="32" spans="1:36" ht="19.5" customHeight="1" x14ac:dyDescent="0.3">
      <c r="A32" s="76"/>
      <c r="B32" s="149"/>
      <c r="C32" s="150"/>
      <c r="D32" s="162"/>
      <c r="E32" s="150"/>
      <c r="F32" s="116"/>
      <c r="G32" s="116"/>
      <c r="H32" s="163"/>
      <c r="I32" s="151"/>
      <c r="J32" s="127"/>
      <c r="K32" s="162"/>
      <c r="L32" s="162"/>
      <c r="M32" s="162"/>
      <c r="N32" s="164"/>
      <c r="O32" s="165"/>
      <c r="P32" s="165"/>
      <c r="Q32" s="165"/>
      <c r="R32" s="166"/>
      <c r="S32" s="83"/>
      <c r="T32" s="155"/>
      <c r="U32" s="76"/>
      <c r="V32" s="76"/>
      <c r="W32" s="76"/>
      <c r="X32" s="76"/>
      <c r="Y32" s="76"/>
      <c r="Z32" s="76"/>
      <c r="AA32" s="76"/>
      <c r="AB32" s="76"/>
      <c r="AC32" s="76"/>
      <c r="AD32" s="76"/>
      <c r="AE32" s="76"/>
      <c r="AF32" s="76"/>
      <c r="AG32" s="76"/>
      <c r="AH32" s="76"/>
      <c r="AI32" s="76"/>
      <c r="AJ32" s="76"/>
    </row>
    <row r="33" spans="1:36" ht="19.5" customHeight="1" x14ac:dyDescent="0.3">
      <c r="A33" s="76"/>
      <c r="B33" s="149"/>
      <c r="C33" s="150"/>
      <c r="D33" s="162"/>
      <c r="E33" s="150"/>
      <c r="F33" s="116"/>
      <c r="G33" s="116"/>
      <c r="H33" s="163"/>
      <c r="I33" s="151"/>
      <c r="J33" s="127"/>
      <c r="K33" s="162"/>
      <c r="L33" s="162"/>
      <c r="M33" s="162"/>
      <c r="N33" s="164"/>
      <c r="O33" s="165"/>
      <c r="P33" s="165"/>
      <c r="Q33" s="165"/>
      <c r="R33" s="166"/>
      <c r="S33" s="83"/>
      <c r="T33" s="155"/>
      <c r="U33" s="76"/>
      <c r="V33" s="76"/>
      <c r="W33" s="76"/>
      <c r="X33" s="76"/>
      <c r="Y33" s="76"/>
      <c r="Z33" s="76"/>
      <c r="AA33" s="76"/>
      <c r="AB33" s="76"/>
      <c r="AC33" s="76"/>
      <c r="AD33" s="76"/>
      <c r="AE33" s="76"/>
      <c r="AF33" s="76"/>
      <c r="AG33" s="76"/>
      <c r="AH33" s="76"/>
      <c r="AI33" s="76"/>
      <c r="AJ33" s="76"/>
    </row>
    <row r="34" spans="1:36" ht="19.5" customHeight="1" x14ac:dyDescent="0.3">
      <c r="A34" s="76"/>
      <c r="B34" s="149"/>
      <c r="C34" s="150"/>
      <c r="D34" s="162"/>
      <c r="E34" s="150"/>
      <c r="F34" s="116"/>
      <c r="G34" s="116"/>
      <c r="H34" s="163"/>
      <c r="I34" s="151"/>
      <c r="J34" s="127"/>
      <c r="K34" s="162"/>
      <c r="L34" s="162"/>
      <c r="M34" s="162"/>
      <c r="N34" s="164"/>
      <c r="O34" s="165"/>
      <c r="P34" s="165"/>
      <c r="Q34" s="165"/>
      <c r="R34" s="166"/>
      <c r="S34" s="83"/>
      <c r="T34" s="155"/>
      <c r="U34" s="76"/>
      <c r="V34" s="76"/>
      <c r="W34" s="76"/>
      <c r="X34" s="76"/>
      <c r="Y34" s="76"/>
      <c r="Z34" s="76"/>
      <c r="AA34" s="76"/>
      <c r="AB34" s="76"/>
      <c r="AC34" s="76"/>
      <c r="AD34" s="76"/>
      <c r="AE34" s="76"/>
      <c r="AF34" s="76"/>
      <c r="AG34" s="76"/>
      <c r="AH34" s="76"/>
      <c r="AI34" s="76"/>
      <c r="AJ34" s="76"/>
    </row>
    <row r="35" spans="1:36" ht="19.5" customHeight="1" x14ac:dyDescent="0.3">
      <c r="A35" s="76"/>
      <c r="B35" s="149"/>
      <c r="C35" s="150"/>
      <c r="D35" s="162"/>
      <c r="E35" s="150"/>
      <c r="F35" s="116"/>
      <c r="G35" s="116"/>
      <c r="H35" s="163"/>
      <c r="I35" s="151"/>
      <c r="J35" s="127"/>
      <c r="K35" s="162"/>
      <c r="L35" s="162"/>
      <c r="M35" s="162"/>
      <c r="N35" s="164"/>
      <c r="O35" s="165"/>
      <c r="P35" s="165"/>
      <c r="Q35" s="165"/>
      <c r="R35" s="166"/>
      <c r="S35" s="83"/>
      <c r="T35" s="155"/>
      <c r="U35" s="76"/>
      <c r="V35" s="76"/>
      <c r="W35" s="76"/>
      <c r="X35" s="76"/>
      <c r="Y35" s="76"/>
      <c r="Z35" s="76"/>
      <c r="AA35" s="76"/>
      <c r="AB35" s="76"/>
      <c r="AC35" s="76"/>
      <c r="AD35" s="76"/>
      <c r="AE35" s="76"/>
      <c r="AF35" s="76"/>
      <c r="AG35" s="76"/>
      <c r="AH35" s="76"/>
      <c r="AI35" s="76"/>
      <c r="AJ35" s="76"/>
    </row>
    <row r="36" spans="1:36" ht="19.5" customHeight="1" x14ac:dyDescent="0.3">
      <c r="A36" s="76"/>
      <c r="B36" s="162"/>
      <c r="C36" s="162"/>
      <c r="D36" s="162"/>
      <c r="E36" s="163"/>
      <c r="F36" s="163"/>
      <c r="G36" s="163"/>
      <c r="H36" s="163"/>
      <c r="I36" s="151"/>
      <c r="J36" s="127"/>
      <c r="K36" s="162"/>
      <c r="L36" s="162"/>
      <c r="M36" s="162"/>
      <c r="N36" s="164"/>
      <c r="O36" s="165"/>
      <c r="P36" s="165"/>
      <c r="Q36" s="165"/>
      <c r="R36" s="166"/>
      <c r="S36" s="83"/>
      <c r="T36" s="155"/>
      <c r="U36" s="76"/>
      <c r="V36" s="76"/>
      <c r="W36" s="76"/>
      <c r="X36" s="76"/>
      <c r="Y36" s="76"/>
      <c r="Z36" s="76"/>
      <c r="AA36" s="76"/>
      <c r="AB36" s="76"/>
      <c r="AC36" s="76"/>
      <c r="AD36" s="76"/>
      <c r="AE36" s="76"/>
      <c r="AF36" s="76"/>
      <c r="AG36" s="76"/>
      <c r="AH36" s="76"/>
      <c r="AI36" s="76"/>
      <c r="AJ36" s="76"/>
    </row>
    <row r="37" spans="1:36" s="148" customFormat="1" ht="19.5" customHeight="1" x14ac:dyDescent="0.3">
      <c r="A37" s="138"/>
      <c r="B37" s="139"/>
      <c r="C37" s="143"/>
      <c r="D37" s="143"/>
      <c r="E37" s="158"/>
      <c r="F37" s="158"/>
      <c r="G37" s="158"/>
      <c r="H37" s="158"/>
      <c r="I37" s="142"/>
      <c r="J37" s="143"/>
      <c r="K37" s="140"/>
      <c r="L37" s="140"/>
      <c r="M37" s="140"/>
      <c r="N37" s="159"/>
      <c r="O37" s="145"/>
      <c r="P37" s="145"/>
      <c r="Q37" s="145"/>
      <c r="R37" s="146"/>
      <c r="S37" s="147"/>
      <c r="T37" s="155"/>
      <c r="U37" s="138"/>
      <c r="V37" s="138"/>
      <c r="W37" s="138"/>
      <c r="X37" s="138"/>
      <c r="Y37" s="138"/>
      <c r="Z37" s="138"/>
      <c r="AA37" s="138"/>
      <c r="AB37" s="138"/>
      <c r="AC37" s="138"/>
      <c r="AD37" s="138"/>
      <c r="AE37" s="138"/>
      <c r="AF37" s="138"/>
      <c r="AG37" s="138"/>
      <c r="AH37" s="138"/>
      <c r="AI37" s="138"/>
      <c r="AJ37" s="138"/>
    </row>
    <row r="38" spans="1:36" ht="19.5" customHeight="1" x14ac:dyDescent="0.3">
      <c r="A38" s="76"/>
      <c r="B38" s="167"/>
      <c r="C38" s="150"/>
      <c r="D38" s="168"/>
      <c r="E38" s="150"/>
      <c r="F38" s="116"/>
      <c r="G38" s="116"/>
      <c r="H38" s="163"/>
      <c r="I38" s="151"/>
      <c r="J38" s="127"/>
      <c r="K38" s="162"/>
      <c r="L38" s="162"/>
      <c r="M38" s="162"/>
      <c r="N38" s="164"/>
      <c r="O38" s="165"/>
      <c r="P38" s="165"/>
      <c r="Q38" s="165"/>
      <c r="R38" s="166"/>
      <c r="S38" s="83"/>
      <c r="T38" s="155"/>
      <c r="U38" s="76"/>
      <c r="V38" s="76"/>
      <c r="W38" s="76"/>
      <c r="X38" s="76"/>
      <c r="Y38" s="76"/>
      <c r="Z38" s="76"/>
      <c r="AA38" s="76"/>
      <c r="AB38" s="76"/>
      <c r="AC38" s="76"/>
      <c r="AD38" s="76"/>
      <c r="AE38" s="76"/>
      <c r="AF38" s="76"/>
      <c r="AG38" s="76"/>
      <c r="AH38" s="76"/>
      <c r="AI38" s="76"/>
      <c r="AJ38" s="76"/>
    </row>
    <row r="39" spans="1:36" ht="19.5" customHeight="1" x14ac:dyDescent="0.3">
      <c r="A39" s="76"/>
      <c r="B39" s="167"/>
      <c r="C39" s="150"/>
      <c r="D39" s="162"/>
      <c r="E39" s="150"/>
      <c r="F39" s="116"/>
      <c r="G39" s="116"/>
      <c r="H39" s="163"/>
      <c r="I39" s="151"/>
      <c r="J39" s="127"/>
      <c r="K39" s="162"/>
      <c r="L39" s="162"/>
      <c r="M39" s="162"/>
      <c r="N39" s="164"/>
      <c r="O39" s="165"/>
      <c r="P39" s="165"/>
      <c r="Q39" s="165"/>
      <c r="R39" s="166"/>
      <c r="S39" s="83"/>
      <c r="T39" s="155"/>
      <c r="U39" s="76"/>
      <c r="V39" s="76"/>
      <c r="W39" s="76"/>
      <c r="X39" s="76"/>
      <c r="Y39" s="76"/>
      <c r="Z39" s="76"/>
      <c r="AA39" s="76"/>
      <c r="AB39" s="76"/>
      <c r="AC39" s="76"/>
      <c r="AD39" s="76"/>
      <c r="AE39" s="76"/>
      <c r="AF39" s="76"/>
      <c r="AG39" s="76"/>
      <c r="AH39" s="76"/>
      <c r="AI39" s="76"/>
      <c r="AJ39" s="76"/>
    </row>
    <row r="40" spans="1:36" ht="19.5" customHeight="1" x14ac:dyDescent="0.3">
      <c r="A40" s="76"/>
      <c r="B40" s="167"/>
      <c r="C40" s="150"/>
      <c r="D40" s="162"/>
      <c r="E40" s="150"/>
      <c r="F40" s="116"/>
      <c r="G40" s="116"/>
      <c r="H40" s="163"/>
      <c r="I40" s="151"/>
      <c r="J40" s="127"/>
      <c r="K40" s="162"/>
      <c r="L40" s="162"/>
      <c r="M40" s="162"/>
      <c r="N40" s="164"/>
      <c r="O40" s="165"/>
      <c r="P40" s="165"/>
      <c r="Q40" s="165"/>
      <c r="R40" s="166"/>
      <c r="S40" s="83"/>
      <c r="T40" s="155"/>
      <c r="U40" s="76"/>
      <c r="V40" s="76"/>
      <c r="W40" s="76"/>
      <c r="X40" s="76"/>
      <c r="Y40" s="76"/>
      <c r="Z40" s="76"/>
      <c r="AA40" s="76"/>
      <c r="AB40" s="76"/>
      <c r="AC40" s="76"/>
      <c r="AD40" s="76"/>
      <c r="AE40" s="76"/>
      <c r="AF40" s="76"/>
      <c r="AG40" s="76"/>
      <c r="AH40" s="76"/>
      <c r="AI40" s="76"/>
      <c r="AJ40" s="76"/>
    </row>
    <row r="41" spans="1:36" ht="19.5" customHeight="1" x14ac:dyDescent="0.3">
      <c r="A41" s="76"/>
      <c r="B41" s="167"/>
      <c r="C41" s="150"/>
      <c r="D41" s="162"/>
      <c r="E41" s="150"/>
      <c r="F41" s="116"/>
      <c r="G41" s="116"/>
      <c r="H41" s="163"/>
      <c r="I41" s="151"/>
      <c r="J41" s="127"/>
      <c r="K41" s="162"/>
      <c r="L41" s="162"/>
      <c r="M41" s="162"/>
      <c r="N41" s="164"/>
      <c r="O41" s="165"/>
      <c r="P41" s="165"/>
      <c r="Q41" s="165"/>
      <c r="R41" s="166"/>
      <c r="S41" s="83"/>
      <c r="T41" s="155"/>
      <c r="U41" s="76"/>
      <c r="V41" s="76"/>
      <c r="W41" s="76"/>
      <c r="X41" s="76"/>
      <c r="Y41" s="76"/>
      <c r="Z41" s="76"/>
      <c r="AA41" s="76"/>
      <c r="AB41" s="76"/>
      <c r="AC41" s="76"/>
      <c r="AD41" s="76"/>
      <c r="AE41" s="76"/>
      <c r="AF41" s="76"/>
      <c r="AG41" s="76"/>
      <c r="AH41" s="76"/>
      <c r="AI41" s="76"/>
      <c r="AJ41" s="76"/>
    </row>
    <row r="42" spans="1:36" ht="19.5" customHeight="1" x14ac:dyDescent="0.3">
      <c r="A42" s="76"/>
      <c r="B42" s="167"/>
      <c r="C42" s="169"/>
      <c r="D42" s="162"/>
      <c r="E42" s="150"/>
      <c r="F42" s="116"/>
      <c r="G42" s="116"/>
      <c r="H42" s="163"/>
      <c r="I42" s="151"/>
      <c r="J42" s="127"/>
      <c r="K42" s="162"/>
      <c r="L42" s="162"/>
      <c r="M42" s="162"/>
      <c r="N42" s="164"/>
      <c r="O42" s="165"/>
      <c r="P42" s="165"/>
      <c r="Q42" s="165"/>
      <c r="R42" s="166"/>
      <c r="S42" s="83"/>
      <c r="T42" s="155"/>
      <c r="U42" s="76"/>
      <c r="V42" s="76"/>
      <c r="W42" s="76"/>
      <c r="X42" s="76"/>
      <c r="Y42" s="76"/>
      <c r="Z42" s="76"/>
      <c r="AA42" s="76"/>
      <c r="AB42" s="76"/>
      <c r="AC42" s="76"/>
      <c r="AD42" s="76"/>
      <c r="AE42" s="76"/>
      <c r="AF42" s="76"/>
      <c r="AG42" s="76"/>
      <c r="AH42" s="76"/>
      <c r="AI42" s="76"/>
      <c r="AJ42" s="76"/>
    </row>
    <row r="43" spans="1:36" ht="19.5" customHeight="1" x14ac:dyDescent="0.3">
      <c r="A43" s="76"/>
      <c r="B43" s="167"/>
      <c r="C43" s="150"/>
      <c r="D43" s="162"/>
      <c r="E43" s="150"/>
      <c r="F43" s="116"/>
      <c r="G43" s="116"/>
      <c r="H43" s="163"/>
      <c r="I43" s="151"/>
      <c r="J43" s="127"/>
      <c r="K43" s="162"/>
      <c r="L43" s="162"/>
      <c r="M43" s="162"/>
      <c r="N43" s="164"/>
      <c r="O43" s="165"/>
      <c r="P43" s="165"/>
      <c r="Q43" s="165"/>
      <c r="R43" s="166"/>
      <c r="S43" s="83"/>
      <c r="T43" s="155"/>
      <c r="U43" s="76"/>
      <c r="V43" s="76"/>
      <c r="W43" s="76"/>
      <c r="X43" s="76"/>
      <c r="Y43" s="76"/>
      <c r="Z43" s="76"/>
      <c r="AA43" s="76"/>
      <c r="AB43" s="76"/>
      <c r="AC43" s="76"/>
      <c r="AD43" s="76"/>
      <c r="AE43" s="76"/>
      <c r="AF43" s="76"/>
      <c r="AG43" s="76"/>
      <c r="AH43" s="76"/>
      <c r="AI43" s="76"/>
      <c r="AJ43" s="76"/>
    </row>
    <row r="44" spans="1:36" ht="19.5" customHeight="1" x14ac:dyDescent="0.3">
      <c r="A44" s="76"/>
      <c r="B44" s="167"/>
      <c r="C44" s="150"/>
      <c r="D44" s="162"/>
      <c r="E44" s="150"/>
      <c r="F44" s="116"/>
      <c r="G44" s="116"/>
      <c r="H44" s="163"/>
      <c r="I44" s="151"/>
      <c r="J44" s="127"/>
      <c r="K44" s="162"/>
      <c r="L44" s="162"/>
      <c r="M44" s="162"/>
      <c r="N44" s="164"/>
      <c r="O44" s="165"/>
      <c r="P44" s="165"/>
      <c r="Q44" s="165"/>
      <c r="R44" s="166"/>
      <c r="S44" s="83"/>
      <c r="T44" s="155"/>
      <c r="U44" s="76"/>
      <c r="V44" s="76"/>
      <c r="W44" s="76"/>
      <c r="X44" s="76"/>
      <c r="Y44" s="76"/>
      <c r="Z44" s="76"/>
      <c r="AA44" s="76"/>
      <c r="AB44" s="76"/>
      <c r="AC44" s="76"/>
      <c r="AD44" s="76"/>
      <c r="AE44" s="76"/>
      <c r="AF44" s="76"/>
      <c r="AG44" s="76"/>
      <c r="AH44" s="76"/>
      <c r="AI44" s="76"/>
      <c r="AJ44" s="76"/>
    </row>
    <row r="45" spans="1:36" ht="19.5" customHeight="1" x14ac:dyDescent="0.3">
      <c r="A45" s="76"/>
      <c r="B45" s="167"/>
      <c r="C45" s="150"/>
      <c r="D45" s="162"/>
      <c r="E45" s="150"/>
      <c r="F45" s="116"/>
      <c r="G45" s="116"/>
      <c r="H45" s="163"/>
      <c r="I45" s="151"/>
      <c r="J45" s="127"/>
      <c r="K45" s="162"/>
      <c r="L45" s="162"/>
      <c r="M45" s="162"/>
      <c r="N45" s="164"/>
      <c r="O45" s="165"/>
      <c r="P45" s="165"/>
      <c r="Q45" s="165"/>
      <c r="R45" s="166"/>
      <c r="S45" s="83"/>
      <c r="T45" s="155"/>
      <c r="U45" s="76"/>
      <c r="V45" s="76"/>
      <c r="W45" s="76"/>
      <c r="X45" s="76"/>
      <c r="Y45" s="76"/>
      <c r="Z45" s="76"/>
      <c r="AA45" s="76"/>
      <c r="AB45" s="76"/>
      <c r="AC45" s="76"/>
      <c r="AD45" s="76"/>
      <c r="AE45" s="76"/>
      <c r="AF45" s="76"/>
      <c r="AG45" s="76"/>
      <c r="AH45" s="76"/>
      <c r="AI45" s="76"/>
      <c r="AJ45" s="76"/>
    </row>
    <row r="46" spans="1:36" ht="19.5" customHeight="1" x14ac:dyDescent="0.3">
      <c r="A46" s="76"/>
      <c r="B46" s="167"/>
      <c r="C46" s="150"/>
      <c r="D46" s="162"/>
      <c r="E46" s="150"/>
      <c r="F46" s="116"/>
      <c r="G46" s="116"/>
      <c r="H46" s="163"/>
      <c r="I46" s="151"/>
      <c r="J46" s="127"/>
      <c r="K46" s="162"/>
      <c r="L46" s="162"/>
      <c r="M46" s="162"/>
      <c r="N46" s="164"/>
      <c r="O46" s="165"/>
      <c r="P46" s="165"/>
      <c r="Q46" s="165"/>
      <c r="R46" s="166"/>
      <c r="S46" s="83"/>
      <c r="T46" s="155"/>
      <c r="U46" s="76"/>
      <c r="V46" s="76"/>
      <c r="W46" s="76"/>
      <c r="X46" s="76"/>
      <c r="Y46" s="76"/>
      <c r="Z46" s="76"/>
      <c r="AA46" s="76"/>
      <c r="AB46" s="76"/>
      <c r="AC46" s="76"/>
      <c r="AD46" s="76"/>
      <c r="AE46" s="76"/>
      <c r="AF46" s="76"/>
      <c r="AG46" s="76"/>
      <c r="AH46" s="76"/>
      <c r="AI46" s="76"/>
      <c r="AJ46" s="76"/>
    </row>
    <row r="47" spans="1:36" ht="19.5" customHeight="1" x14ac:dyDescent="0.3">
      <c r="A47" s="76"/>
      <c r="B47" s="167"/>
      <c r="C47" s="150"/>
      <c r="D47" s="162"/>
      <c r="E47" s="150"/>
      <c r="F47" s="116"/>
      <c r="G47" s="116"/>
      <c r="H47" s="163"/>
      <c r="I47" s="151"/>
      <c r="J47" s="127"/>
      <c r="K47" s="162"/>
      <c r="L47" s="162"/>
      <c r="M47" s="162"/>
      <c r="N47" s="164"/>
      <c r="O47" s="165"/>
      <c r="P47" s="165"/>
      <c r="Q47" s="165"/>
      <c r="R47" s="166"/>
      <c r="S47" s="83"/>
      <c r="T47" s="155"/>
      <c r="U47" s="76"/>
      <c r="V47" s="76"/>
      <c r="W47" s="76"/>
      <c r="X47" s="76"/>
      <c r="Y47" s="76"/>
      <c r="Z47" s="76"/>
      <c r="AA47" s="76"/>
      <c r="AB47" s="76"/>
      <c r="AC47" s="76"/>
      <c r="AD47" s="76"/>
      <c r="AE47" s="76"/>
      <c r="AF47" s="76"/>
      <c r="AG47" s="76"/>
      <c r="AH47" s="76"/>
      <c r="AI47" s="76"/>
      <c r="AJ47" s="76"/>
    </row>
    <row r="48" spans="1:36" ht="19.5" customHeight="1" x14ac:dyDescent="0.3">
      <c r="A48" s="76"/>
      <c r="B48" s="167"/>
      <c r="C48" s="150"/>
      <c r="D48" s="162"/>
      <c r="E48" s="149"/>
      <c r="F48" s="116"/>
      <c r="G48" s="116"/>
      <c r="H48" s="163"/>
      <c r="I48" s="151"/>
      <c r="J48" s="127"/>
      <c r="K48" s="162"/>
      <c r="L48" s="162"/>
      <c r="M48" s="162"/>
      <c r="N48" s="164"/>
      <c r="O48" s="165"/>
      <c r="P48" s="165"/>
      <c r="Q48" s="165"/>
      <c r="R48" s="166"/>
      <c r="S48" s="83"/>
      <c r="T48" s="155"/>
      <c r="U48" s="76"/>
      <c r="V48" s="76"/>
      <c r="W48" s="76"/>
      <c r="X48" s="76"/>
      <c r="Y48" s="76"/>
      <c r="Z48" s="76"/>
      <c r="AA48" s="76"/>
      <c r="AB48" s="76"/>
      <c r="AC48" s="76"/>
      <c r="AD48" s="76"/>
      <c r="AE48" s="76"/>
      <c r="AF48" s="76"/>
      <c r="AG48" s="76"/>
      <c r="AH48" s="76"/>
      <c r="AI48" s="76"/>
      <c r="AJ48" s="76"/>
    </row>
    <row r="49" spans="1:36" ht="19.5" customHeight="1" x14ac:dyDescent="0.3">
      <c r="A49" s="76"/>
      <c r="B49" s="167"/>
      <c r="C49" s="150"/>
      <c r="D49" s="162"/>
      <c r="E49" s="149"/>
      <c r="F49" s="116"/>
      <c r="G49" s="116"/>
      <c r="H49" s="163"/>
      <c r="I49" s="151"/>
      <c r="J49" s="127"/>
      <c r="K49" s="162"/>
      <c r="L49" s="162"/>
      <c r="M49" s="162"/>
      <c r="N49" s="164"/>
      <c r="O49" s="165"/>
      <c r="P49" s="165"/>
      <c r="Q49" s="165"/>
      <c r="R49" s="166"/>
      <c r="S49" s="83"/>
      <c r="T49" s="155"/>
      <c r="U49" s="76"/>
      <c r="V49" s="76"/>
      <c r="W49" s="76"/>
      <c r="X49" s="76"/>
      <c r="Y49" s="76"/>
      <c r="Z49" s="76"/>
      <c r="AA49" s="76"/>
      <c r="AB49" s="76"/>
      <c r="AC49" s="76"/>
      <c r="AD49" s="76"/>
      <c r="AE49" s="76"/>
      <c r="AF49" s="76"/>
      <c r="AG49" s="76"/>
      <c r="AH49" s="76"/>
      <c r="AI49" s="76"/>
      <c r="AJ49" s="76"/>
    </row>
    <row r="50" spans="1:36" ht="19.5" customHeight="1" x14ac:dyDescent="0.3">
      <c r="A50" s="76"/>
      <c r="B50" s="162"/>
      <c r="C50" s="162"/>
      <c r="D50" s="162"/>
      <c r="E50" s="163"/>
      <c r="F50" s="163"/>
      <c r="G50" s="163"/>
      <c r="H50" s="163"/>
      <c r="I50" s="151"/>
      <c r="J50" s="127"/>
      <c r="K50" s="162"/>
      <c r="L50" s="162"/>
      <c r="M50" s="162"/>
      <c r="N50" s="164"/>
      <c r="O50" s="165"/>
      <c r="P50" s="165"/>
      <c r="Q50" s="165"/>
      <c r="R50" s="166"/>
      <c r="S50" s="83"/>
      <c r="T50" s="155"/>
      <c r="U50" s="76"/>
      <c r="V50" s="76"/>
      <c r="W50" s="76"/>
      <c r="X50" s="76"/>
      <c r="Y50" s="76"/>
      <c r="Z50" s="76"/>
      <c r="AA50" s="76"/>
      <c r="AB50" s="76"/>
      <c r="AC50" s="76"/>
      <c r="AD50" s="76"/>
      <c r="AE50" s="76"/>
      <c r="AF50" s="76"/>
      <c r="AG50" s="76"/>
      <c r="AH50" s="76"/>
      <c r="AI50" s="76"/>
      <c r="AJ50" s="76"/>
    </row>
    <row r="51" spans="1:36" s="148" customFormat="1" ht="19.5" customHeight="1" x14ac:dyDescent="0.3">
      <c r="A51" s="138"/>
      <c r="B51" s="139"/>
      <c r="C51" s="139"/>
      <c r="D51" s="143"/>
      <c r="E51" s="158"/>
      <c r="F51" s="158"/>
      <c r="G51" s="158"/>
      <c r="H51" s="158"/>
      <c r="I51" s="142"/>
      <c r="J51" s="143"/>
      <c r="K51" s="140"/>
      <c r="L51" s="140"/>
      <c r="M51" s="140"/>
      <c r="N51" s="159"/>
      <c r="O51" s="145"/>
      <c r="P51" s="145"/>
      <c r="Q51" s="145"/>
      <c r="R51" s="146"/>
      <c r="S51" s="147"/>
      <c r="T51" s="155"/>
      <c r="U51" s="138"/>
      <c r="V51" s="138"/>
      <c r="W51" s="138"/>
      <c r="X51" s="138"/>
      <c r="Y51" s="138"/>
      <c r="Z51" s="138"/>
      <c r="AA51" s="138"/>
      <c r="AB51" s="138"/>
      <c r="AC51" s="138"/>
      <c r="AD51" s="138"/>
      <c r="AE51" s="138"/>
      <c r="AF51" s="138"/>
      <c r="AG51" s="138"/>
      <c r="AH51" s="138"/>
      <c r="AI51" s="138"/>
      <c r="AJ51" s="138"/>
    </row>
    <row r="52" spans="1:36" ht="19.5" customHeight="1" x14ac:dyDescent="0.3">
      <c r="A52" s="76"/>
      <c r="B52" s="149"/>
      <c r="C52" s="150"/>
      <c r="D52" s="162"/>
      <c r="E52" s="150"/>
      <c r="F52" s="116"/>
      <c r="G52" s="116"/>
      <c r="H52" s="163"/>
      <c r="I52" s="151"/>
      <c r="J52" s="127"/>
      <c r="K52" s="162"/>
      <c r="L52" s="162"/>
      <c r="M52" s="162"/>
      <c r="N52" s="164"/>
      <c r="O52" s="165"/>
      <c r="P52" s="165"/>
      <c r="Q52" s="165"/>
      <c r="R52" s="166"/>
      <c r="S52" s="83"/>
      <c r="T52" s="155"/>
      <c r="U52" s="76"/>
      <c r="V52" s="76"/>
      <c r="W52" s="76"/>
      <c r="X52" s="76"/>
      <c r="Y52" s="76"/>
      <c r="Z52" s="76"/>
      <c r="AA52" s="76"/>
      <c r="AB52" s="76"/>
      <c r="AC52" s="76"/>
      <c r="AD52" s="76"/>
      <c r="AE52" s="76"/>
      <c r="AF52" s="76"/>
      <c r="AG52" s="76"/>
      <c r="AH52" s="76"/>
      <c r="AI52" s="76"/>
      <c r="AJ52" s="76"/>
    </row>
    <row r="53" spans="1:36" ht="19.5" customHeight="1" x14ac:dyDescent="0.3">
      <c r="A53" s="76"/>
      <c r="B53" s="149"/>
      <c r="C53" s="150"/>
      <c r="D53" s="162"/>
      <c r="E53" s="150"/>
      <c r="F53" s="116"/>
      <c r="G53" s="116"/>
      <c r="H53" s="163"/>
      <c r="I53" s="151"/>
      <c r="J53" s="127"/>
      <c r="K53" s="162"/>
      <c r="L53" s="162"/>
      <c r="M53" s="162"/>
      <c r="N53" s="164"/>
      <c r="O53" s="165"/>
      <c r="P53" s="165"/>
      <c r="Q53" s="165"/>
      <c r="R53" s="166"/>
      <c r="S53" s="83"/>
      <c r="T53" s="155"/>
      <c r="U53" s="76"/>
      <c r="V53" s="76"/>
      <c r="W53" s="76"/>
      <c r="X53" s="76"/>
      <c r="Y53" s="76"/>
      <c r="Z53" s="76"/>
      <c r="AA53" s="76"/>
      <c r="AB53" s="76"/>
      <c r="AC53" s="76"/>
      <c r="AD53" s="76"/>
      <c r="AE53" s="76"/>
      <c r="AF53" s="76"/>
      <c r="AG53" s="76"/>
      <c r="AH53" s="76"/>
      <c r="AI53" s="76"/>
      <c r="AJ53" s="76"/>
    </row>
    <row r="54" spans="1:36" ht="19.5" customHeight="1" x14ac:dyDescent="0.3">
      <c r="A54" s="76"/>
      <c r="B54" s="149"/>
      <c r="C54" s="150"/>
      <c r="D54" s="162"/>
      <c r="E54" s="150"/>
      <c r="F54" s="116"/>
      <c r="G54" s="116"/>
      <c r="H54" s="163"/>
      <c r="I54" s="151"/>
      <c r="J54" s="127"/>
      <c r="K54" s="162"/>
      <c r="L54" s="162"/>
      <c r="M54" s="162"/>
      <c r="N54" s="164"/>
      <c r="O54" s="165"/>
      <c r="P54" s="165"/>
      <c r="Q54" s="165"/>
      <c r="R54" s="166"/>
      <c r="S54" s="83"/>
      <c r="T54" s="155"/>
      <c r="U54" s="76"/>
      <c r="V54" s="76"/>
      <c r="W54" s="76"/>
      <c r="X54" s="76"/>
      <c r="Y54" s="76"/>
      <c r="Z54" s="76"/>
      <c r="AA54" s="76"/>
      <c r="AB54" s="76"/>
      <c r="AC54" s="76"/>
      <c r="AD54" s="76"/>
      <c r="AE54" s="76"/>
      <c r="AF54" s="76"/>
      <c r="AG54" s="76"/>
      <c r="AH54" s="76"/>
      <c r="AI54" s="76"/>
      <c r="AJ54" s="76"/>
    </row>
    <row r="55" spans="1:36" ht="19.5" customHeight="1" x14ac:dyDescent="0.3">
      <c r="A55" s="76"/>
      <c r="B55" s="149"/>
      <c r="C55" s="150"/>
      <c r="D55" s="162"/>
      <c r="E55" s="150"/>
      <c r="F55" s="116"/>
      <c r="G55" s="116"/>
      <c r="H55" s="163"/>
      <c r="I55" s="151"/>
      <c r="J55" s="127"/>
      <c r="K55" s="162"/>
      <c r="L55" s="162"/>
      <c r="M55" s="162"/>
      <c r="N55" s="164"/>
      <c r="O55" s="165"/>
      <c r="P55" s="165"/>
      <c r="Q55" s="165"/>
      <c r="R55" s="166"/>
      <c r="S55" s="83"/>
      <c r="T55" s="155"/>
      <c r="U55" s="76"/>
      <c r="V55" s="76"/>
      <c r="W55" s="76"/>
      <c r="X55" s="76"/>
      <c r="Y55" s="76"/>
      <c r="Z55" s="76"/>
      <c r="AA55" s="76"/>
      <c r="AB55" s="76"/>
      <c r="AC55" s="76"/>
      <c r="AD55" s="76"/>
      <c r="AE55" s="76"/>
      <c r="AF55" s="76"/>
      <c r="AG55" s="76"/>
      <c r="AH55" s="76"/>
      <c r="AI55" s="76"/>
      <c r="AJ55" s="76"/>
    </row>
    <row r="56" spans="1:36" ht="19.5" customHeight="1" x14ac:dyDescent="0.3">
      <c r="A56" s="76"/>
      <c r="B56" s="149"/>
      <c r="C56" s="150"/>
      <c r="D56" s="168"/>
      <c r="E56" s="150"/>
      <c r="F56" s="116"/>
      <c r="G56" s="116"/>
      <c r="H56" s="163"/>
      <c r="I56" s="151"/>
      <c r="J56" s="127"/>
      <c r="K56" s="162"/>
      <c r="L56" s="162"/>
      <c r="M56" s="162"/>
      <c r="N56" s="164"/>
      <c r="O56" s="165"/>
      <c r="P56" s="165"/>
      <c r="Q56" s="165"/>
      <c r="R56" s="166"/>
      <c r="S56" s="83"/>
      <c r="T56" s="155"/>
      <c r="U56" s="76"/>
      <c r="V56" s="76"/>
      <c r="W56" s="76"/>
      <c r="X56" s="76"/>
      <c r="Y56" s="76"/>
      <c r="Z56" s="76"/>
      <c r="AA56" s="76"/>
      <c r="AB56" s="76"/>
      <c r="AC56" s="76"/>
      <c r="AD56" s="76"/>
      <c r="AE56" s="76"/>
      <c r="AF56" s="76"/>
      <c r="AG56" s="76"/>
      <c r="AH56" s="76"/>
      <c r="AI56" s="76"/>
      <c r="AJ56" s="76"/>
    </row>
    <row r="57" spans="1:36" ht="19.5" customHeight="1" x14ac:dyDescent="0.3">
      <c r="A57" s="76"/>
      <c r="B57" s="149"/>
      <c r="C57" s="150"/>
      <c r="D57" s="162"/>
      <c r="E57" s="150"/>
      <c r="F57" s="116"/>
      <c r="G57" s="116"/>
      <c r="H57" s="163"/>
      <c r="I57" s="151"/>
      <c r="J57" s="127"/>
      <c r="K57" s="162"/>
      <c r="L57" s="162"/>
      <c r="M57" s="162"/>
      <c r="N57" s="164"/>
      <c r="O57" s="165"/>
      <c r="P57" s="165"/>
      <c r="Q57" s="165"/>
      <c r="R57" s="166"/>
      <c r="S57" s="83"/>
      <c r="T57" s="155"/>
      <c r="U57" s="76"/>
      <c r="V57" s="76"/>
      <c r="W57" s="76"/>
      <c r="X57" s="76"/>
      <c r="Y57" s="76"/>
      <c r="Z57" s="76"/>
      <c r="AA57" s="76"/>
      <c r="AB57" s="76"/>
      <c r="AC57" s="76"/>
      <c r="AD57" s="76"/>
      <c r="AE57" s="76"/>
      <c r="AF57" s="76"/>
      <c r="AG57" s="76"/>
      <c r="AH57" s="76"/>
      <c r="AI57" s="76"/>
      <c r="AJ57" s="76"/>
    </row>
    <row r="58" spans="1:36" ht="19.5" customHeight="1" x14ac:dyDescent="0.3">
      <c r="A58" s="76"/>
      <c r="B58" s="156"/>
      <c r="C58" s="157"/>
      <c r="D58" s="162"/>
      <c r="E58" s="150"/>
      <c r="F58" s="116"/>
      <c r="G58" s="116"/>
      <c r="H58" s="163"/>
      <c r="I58" s="151"/>
      <c r="J58" s="127"/>
      <c r="K58" s="162"/>
      <c r="L58" s="162"/>
      <c r="M58" s="162"/>
      <c r="N58" s="164"/>
      <c r="O58" s="165"/>
      <c r="P58" s="165"/>
      <c r="Q58" s="165"/>
      <c r="R58" s="166"/>
      <c r="S58" s="83"/>
      <c r="T58" s="155"/>
      <c r="U58" s="76"/>
      <c r="V58" s="76"/>
      <c r="W58" s="76"/>
      <c r="X58" s="76"/>
      <c r="Y58" s="76"/>
      <c r="Z58" s="76"/>
      <c r="AA58" s="76"/>
      <c r="AB58" s="76"/>
      <c r="AC58" s="76"/>
      <c r="AD58" s="76"/>
      <c r="AE58" s="76"/>
      <c r="AF58" s="76"/>
      <c r="AG58" s="76"/>
      <c r="AH58" s="76"/>
      <c r="AI58" s="76"/>
      <c r="AJ58" s="76"/>
    </row>
    <row r="59" spans="1:36" ht="19.5" customHeight="1" x14ac:dyDescent="0.3">
      <c r="A59" s="76"/>
      <c r="B59" s="156"/>
      <c r="C59" s="157"/>
      <c r="D59" s="162"/>
      <c r="E59" s="157"/>
      <c r="F59" s="116"/>
      <c r="G59" s="116"/>
      <c r="H59" s="163"/>
      <c r="I59" s="151"/>
      <c r="J59" s="127"/>
      <c r="K59" s="162"/>
      <c r="L59" s="162"/>
      <c r="M59" s="162"/>
      <c r="N59" s="164"/>
      <c r="O59" s="165"/>
      <c r="P59" s="165"/>
      <c r="Q59" s="165"/>
      <c r="R59" s="166"/>
      <c r="S59" s="83"/>
      <c r="T59" s="155"/>
      <c r="U59" s="76"/>
      <c r="V59" s="76"/>
      <c r="W59" s="76"/>
      <c r="X59" s="76"/>
      <c r="Y59" s="76"/>
      <c r="Z59" s="76"/>
      <c r="AA59" s="76"/>
      <c r="AB59" s="76"/>
      <c r="AC59" s="76"/>
      <c r="AD59" s="76"/>
      <c r="AE59" s="76"/>
      <c r="AF59" s="76"/>
      <c r="AG59" s="76"/>
      <c r="AH59" s="76"/>
      <c r="AI59" s="76"/>
      <c r="AJ59" s="76"/>
    </row>
    <row r="60" spans="1:36" ht="19.5" customHeight="1" x14ac:dyDescent="0.3">
      <c r="A60" s="76"/>
      <c r="B60" s="162"/>
      <c r="C60" s="162"/>
      <c r="D60" s="162"/>
      <c r="E60" s="163"/>
      <c r="F60" s="163"/>
      <c r="G60" s="163"/>
      <c r="H60" s="163"/>
      <c r="I60" s="151"/>
      <c r="J60" s="127"/>
      <c r="K60" s="162"/>
      <c r="L60" s="162"/>
      <c r="M60" s="162"/>
      <c r="N60" s="164"/>
      <c r="O60" s="165"/>
      <c r="P60" s="165"/>
      <c r="Q60" s="165"/>
      <c r="R60" s="166"/>
      <c r="S60" s="83"/>
      <c r="T60" s="155"/>
      <c r="U60" s="76"/>
      <c r="V60" s="76"/>
      <c r="W60" s="76"/>
      <c r="X60" s="76"/>
      <c r="Y60" s="76"/>
      <c r="Z60" s="76"/>
      <c r="AA60" s="76"/>
      <c r="AB60" s="76"/>
      <c r="AC60" s="76"/>
      <c r="AD60" s="76"/>
      <c r="AE60" s="76"/>
      <c r="AF60" s="76"/>
      <c r="AG60" s="76"/>
      <c r="AH60" s="76"/>
      <c r="AI60" s="76"/>
      <c r="AJ60" s="76"/>
    </row>
    <row r="61" spans="1:36" s="148" customFormat="1" ht="19.5" customHeight="1" x14ac:dyDescent="0.3">
      <c r="A61" s="138"/>
      <c r="B61" s="139"/>
      <c r="C61" s="139"/>
      <c r="D61" s="143"/>
      <c r="E61" s="158"/>
      <c r="F61" s="158"/>
      <c r="G61" s="158"/>
      <c r="H61" s="158"/>
      <c r="I61" s="142"/>
      <c r="J61" s="143"/>
      <c r="K61" s="140"/>
      <c r="L61" s="140"/>
      <c r="M61" s="140"/>
      <c r="N61" s="159"/>
      <c r="O61" s="145"/>
      <c r="P61" s="145"/>
      <c r="Q61" s="145"/>
      <c r="R61" s="146"/>
      <c r="S61" s="147"/>
      <c r="T61" s="155"/>
      <c r="U61" s="138"/>
      <c r="V61" s="138"/>
      <c r="W61" s="138"/>
      <c r="X61" s="138"/>
      <c r="Y61" s="138"/>
      <c r="Z61" s="138"/>
      <c r="AA61" s="138"/>
      <c r="AB61" s="138"/>
      <c r="AC61" s="138"/>
      <c r="AD61" s="138"/>
      <c r="AE61" s="138"/>
      <c r="AF61" s="138"/>
      <c r="AG61" s="138"/>
      <c r="AH61" s="138"/>
      <c r="AI61" s="138"/>
      <c r="AJ61" s="138"/>
    </row>
    <row r="62" spans="1:36" ht="19.5" customHeight="1" x14ac:dyDescent="0.3">
      <c r="A62" s="76"/>
      <c r="B62" s="149"/>
      <c r="C62" s="150"/>
      <c r="D62" s="162"/>
      <c r="E62" s="150"/>
      <c r="F62" s="116"/>
      <c r="G62" s="116"/>
      <c r="H62" s="163"/>
      <c r="I62" s="151"/>
      <c r="J62" s="127"/>
      <c r="K62" s="162"/>
      <c r="L62" s="162"/>
      <c r="M62" s="162"/>
      <c r="N62" s="164"/>
      <c r="O62" s="165"/>
      <c r="P62" s="165"/>
      <c r="Q62" s="165"/>
      <c r="R62" s="166"/>
      <c r="S62" s="83"/>
      <c r="T62" s="155"/>
      <c r="U62" s="76"/>
      <c r="V62" s="76"/>
      <c r="W62" s="76"/>
      <c r="X62" s="76"/>
      <c r="Y62" s="76"/>
      <c r="Z62" s="76"/>
      <c r="AA62" s="76"/>
      <c r="AB62" s="76"/>
      <c r="AC62" s="76"/>
      <c r="AD62" s="76"/>
      <c r="AE62" s="76"/>
      <c r="AF62" s="76"/>
      <c r="AG62" s="76"/>
      <c r="AH62" s="76"/>
      <c r="AI62" s="76"/>
      <c r="AJ62" s="76"/>
    </row>
    <row r="63" spans="1:36" ht="19.5" customHeight="1" x14ac:dyDescent="0.3">
      <c r="A63" s="76"/>
      <c r="B63" s="149"/>
      <c r="C63" s="150"/>
      <c r="D63" s="162"/>
      <c r="E63" s="150"/>
      <c r="F63" s="116"/>
      <c r="G63" s="116"/>
      <c r="H63" s="163"/>
      <c r="I63" s="151"/>
      <c r="J63" s="127"/>
      <c r="K63" s="162"/>
      <c r="L63" s="162"/>
      <c r="M63" s="162"/>
      <c r="N63" s="164"/>
      <c r="O63" s="165"/>
      <c r="P63" s="165"/>
      <c r="Q63" s="165"/>
      <c r="R63" s="166"/>
      <c r="S63" s="83"/>
      <c r="T63" s="155"/>
      <c r="U63" s="76"/>
      <c r="V63" s="76"/>
      <c r="W63" s="76"/>
      <c r="X63" s="76"/>
      <c r="Y63" s="76"/>
      <c r="Z63" s="76"/>
      <c r="AA63" s="76"/>
      <c r="AB63" s="76"/>
      <c r="AC63" s="76"/>
      <c r="AD63" s="76"/>
      <c r="AE63" s="76"/>
      <c r="AF63" s="76"/>
      <c r="AG63" s="76"/>
      <c r="AH63" s="76"/>
      <c r="AI63" s="76"/>
      <c r="AJ63" s="76"/>
    </row>
    <row r="64" spans="1:36" ht="19.5" customHeight="1" x14ac:dyDescent="0.3">
      <c r="A64" s="76"/>
      <c r="B64" s="149"/>
      <c r="C64" s="150"/>
      <c r="D64" s="162"/>
      <c r="E64" s="150"/>
      <c r="F64" s="116"/>
      <c r="G64" s="116"/>
      <c r="H64" s="163"/>
      <c r="I64" s="151"/>
      <c r="J64" s="127"/>
      <c r="K64" s="162"/>
      <c r="L64" s="162"/>
      <c r="M64" s="162"/>
      <c r="N64" s="164"/>
      <c r="O64" s="165"/>
      <c r="P64" s="165"/>
      <c r="Q64" s="165"/>
      <c r="R64" s="166"/>
      <c r="S64" s="83"/>
      <c r="T64" s="155"/>
      <c r="U64" s="76"/>
      <c r="V64" s="76"/>
      <c r="W64" s="76"/>
      <c r="X64" s="76"/>
      <c r="Y64" s="76"/>
      <c r="Z64" s="76"/>
      <c r="AA64" s="76"/>
      <c r="AB64" s="76"/>
      <c r="AC64" s="76"/>
      <c r="AD64" s="76"/>
      <c r="AE64" s="76"/>
      <c r="AF64" s="76"/>
      <c r="AG64" s="76"/>
      <c r="AH64" s="76"/>
      <c r="AI64" s="76"/>
      <c r="AJ64" s="76"/>
    </row>
    <row r="65" spans="1:36" ht="19.5" customHeight="1" x14ac:dyDescent="0.3">
      <c r="A65" s="76"/>
      <c r="B65" s="156"/>
      <c r="C65" s="157"/>
      <c r="D65" s="162"/>
      <c r="E65" s="157"/>
      <c r="F65" s="116"/>
      <c r="G65" s="116"/>
      <c r="H65" s="163"/>
      <c r="I65" s="151"/>
      <c r="J65" s="127"/>
      <c r="K65" s="162"/>
      <c r="L65" s="162"/>
      <c r="M65" s="162"/>
      <c r="N65" s="164"/>
      <c r="O65" s="165"/>
      <c r="P65" s="165"/>
      <c r="Q65" s="165"/>
      <c r="R65" s="166"/>
      <c r="S65" s="83"/>
      <c r="T65" s="155"/>
      <c r="U65" s="76"/>
      <c r="V65" s="76"/>
      <c r="W65" s="76"/>
      <c r="X65" s="76"/>
      <c r="Y65" s="76"/>
      <c r="Z65" s="76"/>
      <c r="AA65" s="76"/>
      <c r="AB65" s="76"/>
      <c r="AC65" s="76"/>
      <c r="AD65" s="76"/>
      <c r="AE65" s="76"/>
      <c r="AF65" s="76"/>
      <c r="AG65" s="76"/>
      <c r="AH65" s="76"/>
      <c r="AI65" s="76"/>
      <c r="AJ65" s="76"/>
    </row>
    <row r="66" spans="1:36" ht="19.5" customHeight="1" x14ac:dyDescent="0.3">
      <c r="A66" s="76"/>
      <c r="B66" s="162"/>
      <c r="C66" s="162"/>
      <c r="D66" s="162"/>
      <c r="E66" s="163"/>
      <c r="F66" s="163"/>
      <c r="G66" s="163"/>
      <c r="H66" s="163"/>
      <c r="I66" s="151"/>
      <c r="J66" s="127"/>
      <c r="K66" s="162"/>
      <c r="L66" s="162"/>
      <c r="M66" s="162"/>
      <c r="N66" s="164"/>
      <c r="O66" s="165"/>
      <c r="P66" s="165"/>
      <c r="Q66" s="165"/>
      <c r="R66" s="166"/>
      <c r="S66" s="83"/>
      <c r="T66" s="155"/>
      <c r="U66" s="76"/>
      <c r="V66" s="76"/>
      <c r="W66" s="76"/>
      <c r="X66" s="76"/>
      <c r="Y66" s="76"/>
      <c r="Z66" s="76"/>
      <c r="AA66" s="76"/>
      <c r="AB66" s="76"/>
      <c r="AC66" s="76"/>
      <c r="AD66" s="76"/>
      <c r="AE66" s="76"/>
      <c r="AF66" s="76"/>
      <c r="AG66" s="76"/>
      <c r="AH66" s="76"/>
      <c r="AI66" s="76"/>
      <c r="AJ66" s="76"/>
    </row>
    <row r="67" spans="1:36" s="148" customFormat="1" ht="19.5" customHeight="1" x14ac:dyDescent="0.3">
      <c r="A67" s="138"/>
      <c r="B67" s="139"/>
      <c r="C67" s="139"/>
      <c r="D67" s="143"/>
      <c r="E67" s="158"/>
      <c r="F67" s="158"/>
      <c r="G67" s="158"/>
      <c r="H67" s="158"/>
      <c r="I67" s="142"/>
      <c r="J67" s="143"/>
      <c r="K67" s="140"/>
      <c r="L67" s="140"/>
      <c r="M67" s="140"/>
      <c r="N67" s="159"/>
      <c r="O67" s="145"/>
      <c r="P67" s="145"/>
      <c r="Q67" s="145"/>
      <c r="R67" s="146"/>
      <c r="S67" s="147"/>
      <c r="T67" s="155"/>
      <c r="U67" s="138"/>
      <c r="V67" s="138"/>
      <c r="W67" s="138"/>
      <c r="X67" s="138"/>
      <c r="Y67" s="138"/>
      <c r="Z67" s="138"/>
      <c r="AA67" s="138"/>
      <c r="AB67" s="138"/>
      <c r="AC67" s="138"/>
      <c r="AD67" s="138"/>
      <c r="AE67" s="138"/>
      <c r="AF67" s="138"/>
      <c r="AG67" s="138"/>
      <c r="AH67" s="138"/>
      <c r="AI67" s="138"/>
      <c r="AJ67" s="138"/>
    </row>
    <row r="68" spans="1:36" ht="19.5" customHeight="1" x14ac:dyDescent="0.3">
      <c r="A68" s="76"/>
      <c r="B68" s="149"/>
      <c r="C68" s="150"/>
      <c r="D68" s="162"/>
      <c r="E68" s="150"/>
      <c r="F68" s="116"/>
      <c r="G68" s="116"/>
      <c r="H68" s="163"/>
      <c r="I68" s="151"/>
      <c r="J68" s="127"/>
      <c r="K68" s="162"/>
      <c r="L68" s="162"/>
      <c r="M68" s="162"/>
      <c r="N68" s="164"/>
      <c r="O68" s="165"/>
      <c r="P68" s="165"/>
      <c r="Q68" s="165"/>
      <c r="R68" s="166"/>
      <c r="S68" s="83"/>
      <c r="T68" s="155"/>
      <c r="U68" s="76"/>
      <c r="V68" s="76"/>
      <c r="W68" s="76"/>
      <c r="X68" s="76"/>
      <c r="Y68" s="76"/>
      <c r="Z68" s="76"/>
      <c r="AA68" s="76"/>
      <c r="AB68" s="76"/>
      <c r="AC68" s="76"/>
      <c r="AD68" s="76"/>
      <c r="AE68" s="76"/>
      <c r="AF68" s="76"/>
      <c r="AG68" s="76"/>
      <c r="AH68" s="76"/>
      <c r="AI68" s="76"/>
      <c r="AJ68" s="76"/>
    </row>
    <row r="69" spans="1:36" ht="19.5" customHeight="1" x14ac:dyDescent="0.3">
      <c r="A69" s="76"/>
      <c r="B69" s="149"/>
      <c r="C69" s="150"/>
      <c r="D69" s="162"/>
      <c r="E69" s="150"/>
      <c r="F69" s="116"/>
      <c r="G69" s="116"/>
      <c r="H69" s="163"/>
      <c r="I69" s="151"/>
      <c r="J69" s="127"/>
      <c r="K69" s="162"/>
      <c r="L69" s="162"/>
      <c r="M69" s="162"/>
      <c r="N69" s="164"/>
      <c r="O69" s="165"/>
      <c r="P69" s="165"/>
      <c r="Q69" s="165"/>
      <c r="R69" s="166"/>
      <c r="S69" s="83"/>
      <c r="T69" s="155"/>
      <c r="U69" s="76"/>
      <c r="V69" s="76"/>
      <c r="W69" s="76"/>
      <c r="X69" s="76"/>
      <c r="Y69" s="76"/>
      <c r="Z69" s="76"/>
      <c r="AA69" s="76"/>
      <c r="AB69" s="76"/>
      <c r="AC69" s="76"/>
      <c r="AD69" s="76"/>
      <c r="AE69" s="76"/>
      <c r="AF69" s="76"/>
      <c r="AG69" s="76"/>
      <c r="AH69" s="76"/>
      <c r="AI69" s="76"/>
      <c r="AJ69" s="76"/>
    </row>
    <row r="70" spans="1:36" ht="19.5" customHeight="1" x14ac:dyDescent="0.3">
      <c r="A70" s="76"/>
      <c r="B70" s="162"/>
      <c r="C70" s="162"/>
      <c r="D70" s="162"/>
      <c r="E70" s="163"/>
      <c r="F70" s="163"/>
      <c r="G70" s="163"/>
      <c r="H70" s="163"/>
      <c r="I70" s="151"/>
      <c r="J70" s="127"/>
      <c r="K70" s="162"/>
      <c r="L70" s="162"/>
      <c r="M70" s="162"/>
      <c r="N70" s="164"/>
      <c r="O70" s="165"/>
      <c r="P70" s="165"/>
      <c r="Q70" s="165"/>
      <c r="R70" s="166"/>
      <c r="S70" s="83"/>
      <c r="T70" s="155"/>
      <c r="U70" s="76"/>
      <c r="V70" s="76"/>
      <c r="W70" s="76"/>
      <c r="X70" s="76"/>
      <c r="Y70" s="76"/>
      <c r="Z70" s="76"/>
      <c r="AA70" s="76"/>
      <c r="AB70" s="76"/>
      <c r="AC70" s="76"/>
      <c r="AD70" s="76"/>
      <c r="AE70" s="76"/>
      <c r="AF70" s="76"/>
      <c r="AG70" s="76"/>
      <c r="AH70" s="76"/>
      <c r="AI70" s="76"/>
      <c r="AJ70" s="76"/>
    </row>
    <row r="71" spans="1:36" s="148" customFormat="1" ht="19.5" customHeight="1" x14ac:dyDescent="0.3">
      <c r="A71" s="138"/>
      <c r="B71" s="139"/>
      <c r="C71" s="139"/>
      <c r="D71" s="143"/>
      <c r="E71" s="158"/>
      <c r="F71" s="158"/>
      <c r="G71" s="158"/>
      <c r="H71" s="158"/>
      <c r="I71" s="142"/>
      <c r="J71" s="143"/>
      <c r="K71" s="140"/>
      <c r="L71" s="140"/>
      <c r="M71" s="140"/>
      <c r="N71" s="159"/>
      <c r="O71" s="145"/>
      <c r="P71" s="145"/>
      <c r="Q71" s="145"/>
      <c r="R71" s="146"/>
      <c r="S71" s="147"/>
      <c r="T71" s="155"/>
      <c r="U71" s="138"/>
      <c r="V71" s="138"/>
      <c r="W71" s="138"/>
      <c r="X71" s="138"/>
      <c r="Y71" s="138"/>
      <c r="Z71" s="138"/>
      <c r="AA71" s="138"/>
      <c r="AB71" s="138"/>
      <c r="AC71" s="138"/>
      <c r="AD71" s="138"/>
      <c r="AE71" s="138"/>
      <c r="AF71" s="138"/>
      <c r="AG71" s="138"/>
      <c r="AH71" s="138"/>
      <c r="AI71" s="138"/>
      <c r="AJ71" s="138"/>
    </row>
    <row r="72" spans="1:36" ht="19.5" customHeight="1" x14ac:dyDescent="0.3">
      <c r="A72" s="76"/>
      <c r="B72" s="149"/>
      <c r="C72" s="150"/>
      <c r="D72" s="150"/>
      <c r="E72" s="150"/>
      <c r="F72" s="116"/>
      <c r="G72" s="116"/>
      <c r="H72" s="163"/>
      <c r="I72" s="151"/>
      <c r="J72" s="127"/>
      <c r="K72" s="162"/>
      <c r="L72" s="162"/>
      <c r="M72" s="162"/>
      <c r="N72" s="164"/>
      <c r="O72" s="165"/>
      <c r="P72" s="165"/>
      <c r="Q72" s="165"/>
      <c r="R72" s="166"/>
      <c r="S72" s="83"/>
      <c r="T72" s="155"/>
      <c r="U72" s="76"/>
      <c r="V72" s="76"/>
      <c r="W72" s="76"/>
      <c r="X72" s="76"/>
      <c r="Y72" s="76"/>
      <c r="Z72" s="76"/>
      <c r="AA72" s="76"/>
      <c r="AB72" s="76"/>
      <c r="AC72" s="76"/>
      <c r="AD72" s="76"/>
      <c r="AE72" s="76"/>
      <c r="AF72" s="76"/>
      <c r="AG72" s="76"/>
      <c r="AH72" s="76"/>
      <c r="AI72" s="76"/>
      <c r="AJ72" s="76"/>
    </row>
    <row r="73" spans="1:36" ht="19.5" customHeight="1" x14ac:dyDescent="0.3">
      <c r="A73" s="76"/>
      <c r="B73" s="149"/>
      <c r="C73" s="150"/>
      <c r="D73" s="150"/>
      <c r="E73" s="150"/>
      <c r="F73" s="116"/>
      <c r="G73" s="116"/>
      <c r="H73" s="163"/>
      <c r="I73" s="151"/>
      <c r="J73" s="127"/>
      <c r="K73" s="162"/>
      <c r="L73" s="162"/>
      <c r="M73" s="162"/>
      <c r="N73" s="164"/>
      <c r="O73" s="165"/>
      <c r="P73" s="165"/>
      <c r="Q73" s="165"/>
      <c r="R73" s="166"/>
      <c r="S73" s="83"/>
      <c r="T73" s="155"/>
      <c r="U73" s="76"/>
      <c r="V73" s="76"/>
      <c r="W73" s="76"/>
      <c r="X73" s="76"/>
      <c r="Y73" s="76"/>
      <c r="Z73" s="76"/>
      <c r="AA73" s="76"/>
      <c r="AB73" s="76"/>
      <c r="AC73" s="76"/>
      <c r="AD73" s="76"/>
      <c r="AE73" s="76"/>
      <c r="AF73" s="76"/>
      <c r="AG73" s="76"/>
      <c r="AH73" s="76"/>
      <c r="AI73" s="76"/>
      <c r="AJ73" s="76"/>
    </row>
    <row r="74" spans="1:36" ht="19.5" customHeight="1" x14ac:dyDescent="0.3">
      <c r="A74" s="76"/>
      <c r="B74" s="149"/>
      <c r="C74" s="150"/>
      <c r="D74" s="150"/>
      <c r="E74" s="150"/>
      <c r="F74" s="116"/>
      <c r="G74" s="116"/>
      <c r="H74" s="163"/>
      <c r="I74" s="151"/>
      <c r="J74" s="127"/>
      <c r="K74" s="162"/>
      <c r="L74" s="162"/>
      <c r="M74" s="162"/>
      <c r="N74" s="164"/>
      <c r="O74" s="165"/>
      <c r="P74" s="165"/>
      <c r="Q74" s="165"/>
      <c r="R74" s="166"/>
      <c r="S74" s="83"/>
      <c r="T74" s="155"/>
      <c r="U74" s="76"/>
      <c r="V74" s="76"/>
      <c r="W74" s="76"/>
      <c r="X74" s="76"/>
      <c r="Y74" s="76"/>
      <c r="Z74" s="76"/>
      <c r="AA74" s="76"/>
      <c r="AB74" s="76"/>
      <c r="AC74" s="76"/>
      <c r="AD74" s="76"/>
      <c r="AE74" s="76"/>
      <c r="AF74" s="76"/>
      <c r="AG74" s="76"/>
      <c r="AH74" s="76"/>
      <c r="AI74" s="76"/>
      <c r="AJ74" s="76"/>
    </row>
    <row r="75" spans="1:36" ht="19.5" customHeight="1" x14ac:dyDescent="0.3">
      <c r="A75" s="76"/>
      <c r="B75" s="162"/>
      <c r="C75" s="162"/>
      <c r="D75" s="162"/>
      <c r="E75" s="163"/>
      <c r="F75" s="163"/>
      <c r="G75" s="163"/>
      <c r="H75" s="163"/>
      <c r="I75" s="151"/>
      <c r="J75" s="127"/>
      <c r="K75" s="162"/>
      <c r="L75" s="162"/>
      <c r="M75" s="162"/>
      <c r="N75" s="164"/>
      <c r="O75" s="165"/>
      <c r="P75" s="165"/>
      <c r="Q75" s="165"/>
      <c r="R75" s="166"/>
      <c r="S75" s="83"/>
      <c r="T75" s="155"/>
      <c r="U75" s="76"/>
      <c r="V75" s="76"/>
      <c r="W75" s="76"/>
      <c r="X75" s="76"/>
      <c r="Y75" s="76"/>
      <c r="Z75" s="76"/>
      <c r="AA75" s="76"/>
      <c r="AB75" s="76"/>
      <c r="AC75" s="76"/>
      <c r="AD75" s="76"/>
      <c r="AE75" s="76"/>
      <c r="AF75" s="76"/>
      <c r="AG75" s="76"/>
      <c r="AH75" s="76"/>
      <c r="AI75" s="76"/>
      <c r="AJ75" s="76"/>
    </row>
    <row r="76" spans="1:36" s="148" customFormat="1" ht="19.5" customHeight="1" x14ac:dyDescent="0.3">
      <c r="A76" s="138"/>
      <c r="B76" s="139"/>
      <c r="C76" s="139"/>
      <c r="D76" s="143"/>
      <c r="E76" s="158"/>
      <c r="F76" s="158"/>
      <c r="G76" s="158"/>
      <c r="H76" s="158"/>
      <c r="I76" s="142"/>
      <c r="J76" s="143"/>
      <c r="K76" s="140"/>
      <c r="L76" s="140"/>
      <c r="M76" s="140"/>
      <c r="N76" s="159"/>
      <c r="O76" s="145"/>
      <c r="P76" s="145"/>
      <c r="Q76" s="145"/>
      <c r="R76" s="146"/>
      <c r="S76" s="147"/>
      <c r="T76" s="155"/>
      <c r="U76" s="138"/>
      <c r="V76" s="138"/>
      <c r="W76" s="138"/>
      <c r="X76" s="138"/>
      <c r="Y76" s="138"/>
      <c r="Z76" s="138"/>
      <c r="AA76" s="138"/>
      <c r="AB76" s="138"/>
      <c r="AC76" s="138"/>
      <c r="AD76" s="138"/>
      <c r="AE76" s="138"/>
      <c r="AF76" s="138"/>
      <c r="AG76" s="138"/>
      <c r="AH76" s="138"/>
      <c r="AI76" s="138"/>
      <c r="AJ76" s="138"/>
    </row>
    <row r="77" spans="1:36" ht="19.5" customHeight="1" x14ac:dyDescent="0.3">
      <c r="A77" s="76"/>
      <c r="B77" s="149"/>
      <c r="C77" s="150"/>
      <c r="D77" s="150"/>
      <c r="E77" s="150"/>
      <c r="F77" s="116"/>
      <c r="G77" s="116"/>
      <c r="H77" s="163"/>
      <c r="I77" s="151"/>
      <c r="J77" s="127"/>
      <c r="K77" s="162"/>
      <c r="L77" s="162"/>
      <c r="M77" s="162"/>
      <c r="N77" s="164"/>
      <c r="O77" s="165"/>
      <c r="P77" s="165"/>
      <c r="Q77" s="165"/>
      <c r="R77" s="166"/>
      <c r="S77" s="83"/>
      <c r="T77" s="155"/>
      <c r="U77" s="76"/>
      <c r="V77" s="76"/>
      <c r="W77" s="76"/>
      <c r="X77" s="76"/>
      <c r="Y77" s="76"/>
      <c r="Z77" s="76"/>
      <c r="AA77" s="76"/>
      <c r="AB77" s="76"/>
      <c r="AC77" s="76"/>
      <c r="AD77" s="76"/>
      <c r="AE77" s="76"/>
      <c r="AF77" s="76"/>
      <c r="AG77" s="76"/>
      <c r="AH77" s="76"/>
      <c r="AI77" s="76"/>
      <c r="AJ77" s="76"/>
    </row>
    <row r="78" spans="1:36" ht="19.5" customHeight="1" x14ac:dyDescent="0.3">
      <c r="A78" s="76"/>
      <c r="B78" s="149"/>
      <c r="C78" s="150"/>
      <c r="D78" s="150"/>
      <c r="E78" s="150"/>
      <c r="F78" s="116"/>
      <c r="G78" s="116"/>
      <c r="H78" s="163"/>
      <c r="I78" s="151"/>
      <c r="J78" s="127"/>
      <c r="K78" s="162"/>
      <c r="L78" s="162"/>
      <c r="M78" s="162"/>
      <c r="N78" s="164"/>
      <c r="O78" s="165"/>
      <c r="P78" s="165"/>
      <c r="Q78" s="165"/>
      <c r="R78" s="166"/>
      <c r="S78" s="83"/>
      <c r="T78" s="155"/>
      <c r="U78" s="76"/>
      <c r="V78" s="76"/>
      <c r="W78" s="76"/>
      <c r="X78" s="76"/>
      <c r="Y78" s="76"/>
      <c r="Z78" s="76"/>
      <c r="AA78" s="76"/>
      <c r="AB78" s="76"/>
      <c r="AC78" s="76"/>
      <c r="AD78" s="76"/>
      <c r="AE78" s="76"/>
      <c r="AF78" s="76"/>
      <c r="AG78" s="76"/>
      <c r="AH78" s="76"/>
      <c r="AI78" s="76"/>
      <c r="AJ78" s="76"/>
    </row>
    <row r="79" spans="1:36" ht="19.5" customHeight="1" x14ac:dyDescent="0.3">
      <c r="A79" s="76"/>
      <c r="B79" s="149"/>
      <c r="C79" s="150"/>
      <c r="D79" s="150"/>
      <c r="E79" s="150"/>
      <c r="F79" s="116"/>
      <c r="G79" s="116"/>
      <c r="H79" s="163"/>
      <c r="I79" s="151"/>
      <c r="J79" s="127"/>
      <c r="K79" s="162"/>
      <c r="L79" s="162"/>
      <c r="M79" s="162"/>
      <c r="N79" s="164"/>
      <c r="O79" s="165"/>
      <c r="P79" s="165"/>
      <c r="Q79" s="165"/>
      <c r="R79" s="166"/>
      <c r="S79" s="83"/>
      <c r="T79" s="155"/>
      <c r="U79" s="76"/>
      <c r="V79" s="76"/>
      <c r="W79" s="76"/>
      <c r="X79" s="76"/>
      <c r="Y79" s="76"/>
      <c r="Z79" s="76"/>
      <c r="AA79" s="76"/>
      <c r="AB79" s="76"/>
      <c r="AC79" s="76"/>
      <c r="AD79" s="76"/>
      <c r="AE79" s="76"/>
      <c r="AF79" s="76"/>
      <c r="AG79" s="76"/>
      <c r="AH79" s="76"/>
      <c r="AI79" s="76"/>
      <c r="AJ79" s="76"/>
    </row>
    <row r="80" spans="1:36" ht="19.5" customHeight="1" x14ac:dyDescent="0.3">
      <c r="A80" s="76"/>
      <c r="B80" s="162"/>
      <c r="C80" s="162"/>
      <c r="D80" s="162"/>
      <c r="E80" s="163"/>
      <c r="F80" s="163"/>
      <c r="G80" s="163"/>
      <c r="H80" s="163"/>
      <c r="I80" s="151"/>
      <c r="J80" s="127"/>
      <c r="K80" s="162"/>
      <c r="L80" s="162"/>
      <c r="M80" s="162"/>
      <c r="N80" s="164"/>
      <c r="O80" s="165"/>
      <c r="P80" s="165"/>
      <c r="Q80" s="165"/>
      <c r="R80" s="166"/>
      <c r="S80" s="83"/>
      <c r="T80" s="155"/>
      <c r="U80" s="76"/>
      <c r="V80" s="76"/>
      <c r="W80" s="76"/>
      <c r="X80" s="76"/>
      <c r="Y80" s="76"/>
      <c r="Z80" s="76"/>
      <c r="AA80" s="76"/>
      <c r="AB80" s="76"/>
      <c r="AC80" s="76"/>
      <c r="AD80" s="76"/>
      <c r="AE80" s="76"/>
      <c r="AF80" s="76"/>
      <c r="AG80" s="76"/>
      <c r="AH80" s="76"/>
      <c r="AI80" s="76"/>
      <c r="AJ80" s="76"/>
    </row>
    <row r="81" spans="1:36" ht="19.5" customHeight="1" x14ac:dyDescent="0.3">
      <c r="A81" s="76"/>
      <c r="B81" s="162"/>
      <c r="C81" s="162"/>
      <c r="D81" s="162"/>
      <c r="E81" s="163"/>
      <c r="F81" s="163"/>
      <c r="G81" s="163"/>
      <c r="H81" s="163"/>
      <c r="I81" s="151"/>
      <c r="J81" s="127"/>
      <c r="K81" s="162"/>
      <c r="L81" s="162"/>
      <c r="M81" s="162"/>
      <c r="N81" s="164"/>
      <c r="O81" s="165"/>
      <c r="P81" s="165"/>
      <c r="Q81" s="165"/>
      <c r="R81" s="166"/>
      <c r="S81" s="83"/>
      <c r="T81" s="155"/>
      <c r="U81" s="76"/>
      <c r="V81" s="76"/>
      <c r="W81" s="76"/>
      <c r="X81" s="76"/>
      <c r="Y81" s="76"/>
      <c r="Z81" s="76"/>
      <c r="AA81" s="76"/>
      <c r="AB81" s="76"/>
      <c r="AC81" s="76"/>
      <c r="AD81" s="76"/>
      <c r="AE81" s="76"/>
      <c r="AF81" s="76"/>
      <c r="AG81" s="76"/>
      <c r="AH81" s="76"/>
      <c r="AI81" s="76"/>
      <c r="AJ81" s="76"/>
    </row>
    <row r="82" spans="1:36" s="148" customFormat="1" ht="19.5" customHeight="1" x14ac:dyDescent="0.3">
      <c r="A82" s="138"/>
      <c r="B82" s="139"/>
      <c r="C82" s="139"/>
      <c r="D82" s="143"/>
      <c r="E82" s="158"/>
      <c r="F82" s="158"/>
      <c r="G82" s="158"/>
      <c r="H82" s="158"/>
      <c r="I82" s="142"/>
      <c r="J82" s="143"/>
      <c r="K82" s="140"/>
      <c r="L82" s="140"/>
      <c r="M82" s="140"/>
      <c r="N82" s="159"/>
      <c r="O82" s="145"/>
      <c r="P82" s="145"/>
      <c r="Q82" s="145"/>
      <c r="R82" s="146"/>
      <c r="S82" s="147"/>
      <c r="T82" s="155"/>
      <c r="U82" s="138"/>
      <c r="V82" s="138"/>
      <c r="W82" s="138"/>
      <c r="X82" s="138"/>
      <c r="Y82" s="138"/>
      <c r="Z82" s="138"/>
      <c r="AA82" s="138"/>
      <c r="AB82" s="138"/>
      <c r="AC82" s="138"/>
      <c r="AD82" s="138"/>
      <c r="AE82" s="138"/>
      <c r="AF82" s="138"/>
      <c r="AG82" s="138"/>
      <c r="AH82" s="138"/>
      <c r="AI82" s="138"/>
      <c r="AJ82" s="138"/>
    </row>
    <row r="83" spans="1:36" ht="19.5" customHeight="1" x14ac:dyDescent="0.3">
      <c r="A83" s="76"/>
      <c r="B83" s="149"/>
      <c r="C83" s="150"/>
      <c r="D83" s="162"/>
      <c r="E83" s="150"/>
      <c r="F83" s="116"/>
      <c r="G83" s="116"/>
      <c r="H83" s="163"/>
      <c r="I83" s="151"/>
      <c r="J83" s="127"/>
      <c r="K83" s="162"/>
      <c r="L83" s="162"/>
      <c r="M83" s="162"/>
      <c r="N83" s="164"/>
      <c r="O83" s="165"/>
      <c r="P83" s="165"/>
      <c r="Q83" s="165"/>
      <c r="R83" s="166"/>
      <c r="S83" s="83"/>
      <c r="T83" s="155"/>
      <c r="U83" s="76"/>
      <c r="V83" s="76"/>
      <c r="W83" s="76"/>
      <c r="X83" s="76"/>
      <c r="Y83" s="76"/>
      <c r="Z83" s="76"/>
      <c r="AA83" s="76"/>
      <c r="AB83" s="76"/>
      <c r="AC83" s="76"/>
      <c r="AD83" s="76"/>
      <c r="AE83" s="76"/>
      <c r="AF83" s="76"/>
      <c r="AG83" s="76"/>
      <c r="AH83" s="76"/>
      <c r="AI83" s="76"/>
      <c r="AJ83" s="76"/>
    </row>
    <row r="84" spans="1:36" ht="19.5" customHeight="1" x14ac:dyDescent="0.3">
      <c r="A84" s="76"/>
      <c r="B84" s="149"/>
      <c r="C84" s="150"/>
      <c r="D84" s="162"/>
      <c r="E84" s="150"/>
      <c r="F84" s="116"/>
      <c r="G84" s="116"/>
      <c r="H84" s="163"/>
      <c r="I84" s="151"/>
      <c r="J84" s="127"/>
      <c r="K84" s="162"/>
      <c r="L84" s="162"/>
      <c r="M84" s="162"/>
      <c r="N84" s="164"/>
      <c r="O84" s="165"/>
      <c r="P84" s="165"/>
      <c r="Q84" s="165"/>
      <c r="R84" s="166"/>
      <c r="S84" s="83"/>
      <c r="T84" s="155"/>
      <c r="U84" s="76"/>
      <c r="V84" s="76"/>
      <c r="W84" s="76"/>
      <c r="X84" s="76"/>
      <c r="Y84" s="76"/>
      <c r="Z84" s="76"/>
      <c r="AA84" s="76"/>
      <c r="AB84" s="76"/>
      <c r="AC84" s="76"/>
      <c r="AD84" s="76"/>
      <c r="AE84" s="76"/>
      <c r="AF84" s="76"/>
      <c r="AG84" s="76"/>
      <c r="AH84" s="76"/>
      <c r="AI84" s="76"/>
      <c r="AJ84" s="76"/>
    </row>
    <row r="85" spans="1:36" ht="19.5" customHeight="1" x14ac:dyDescent="0.3">
      <c r="A85" s="76"/>
      <c r="B85" s="149"/>
      <c r="C85" s="150"/>
      <c r="D85" s="162"/>
      <c r="E85" s="150"/>
      <c r="F85" s="116"/>
      <c r="G85" s="116"/>
      <c r="H85" s="163"/>
      <c r="I85" s="151"/>
      <c r="J85" s="127"/>
      <c r="K85" s="162"/>
      <c r="L85" s="162"/>
      <c r="M85" s="162"/>
      <c r="N85" s="164"/>
      <c r="O85" s="165"/>
      <c r="P85" s="165"/>
      <c r="Q85" s="165"/>
      <c r="R85" s="166"/>
      <c r="S85" s="83"/>
      <c r="T85" s="155"/>
      <c r="U85" s="76"/>
      <c r="V85" s="76"/>
      <c r="W85" s="76"/>
      <c r="X85" s="76"/>
      <c r="Y85" s="76"/>
      <c r="Z85" s="76"/>
      <c r="AA85" s="76"/>
      <c r="AB85" s="76"/>
      <c r="AC85" s="76"/>
      <c r="AD85" s="76"/>
      <c r="AE85" s="76"/>
      <c r="AF85" s="76"/>
      <c r="AG85" s="76"/>
      <c r="AH85" s="76"/>
      <c r="AI85" s="76"/>
      <c r="AJ85" s="76"/>
    </row>
    <row r="86" spans="1:36" ht="19.5" customHeight="1" x14ac:dyDescent="0.3">
      <c r="A86" s="76"/>
      <c r="B86" s="149"/>
      <c r="C86" s="150"/>
      <c r="D86" s="162"/>
      <c r="E86" s="150"/>
      <c r="F86" s="116"/>
      <c r="G86" s="116"/>
      <c r="H86" s="163"/>
      <c r="I86" s="151"/>
      <c r="J86" s="127"/>
      <c r="K86" s="162"/>
      <c r="L86" s="162"/>
      <c r="M86" s="162"/>
      <c r="N86" s="164"/>
      <c r="O86" s="165"/>
      <c r="P86" s="165"/>
      <c r="Q86" s="165"/>
      <c r="R86" s="166"/>
      <c r="S86" s="83"/>
      <c r="T86" s="155"/>
      <c r="U86" s="76"/>
      <c r="V86" s="76"/>
      <c r="W86" s="76"/>
      <c r="X86" s="76"/>
      <c r="Y86" s="76"/>
      <c r="Z86" s="76"/>
      <c r="AA86" s="76"/>
      <c r="AB86" s="76"/>
      <c r="AC86" s="76"/>
      <c r="AD86" s="76"/>
      <c r="AE86" s="76"/>
      <c r="AF86" s="76"/>
      <c r="AG86" s="76"/>
      <c r="AH86" s="76"/>
      <c r="AI86" s="76"/>
      <c r="AJ86" s="76"/>
    </row>
    <row r="87" spans="1:36" ht="19.5" customHeight="1" x14ac:dyDescent="0.3">
      <c r="A87" s="76"/>
      <c r="B87" s="162"/>
      <c r="C87" s="162"/>
      <c r="D87" s="162"/>
      <c r="E87" s="163"/>
      <c r="F87" s="163"/>
      <c r="G87" s="163"/>
      <c r="H87" s="163"/>
      <c r="I87" s="151"/>
      <c r="J87" s="127"/>
      <c r="K87" s="162"/>
      <c r="L87" s="162"/>
      <c r="M87" s="162"/>
      <c r="N87" s="164"/>
      <c r="O87" s="165"/>
      <c r="P87" s="165"/>
      <c r="Q87" s="165"/>
      <c r="R87" s="166"/>
      <c r="S87" s="83"/>
      <c r="T87" s="155"/>
      <c r="U87" s="76"/>
      <c r="V87" s="76"/>
      <c r="W87" s="76"/>
      <c r="X87" s="76"/>
      <c r="Y87" s="76"/>
      <c r="Z87" s="76"/>
      <c r="AA87" s="76"/>
      <c r="AB87" s="76"/>
      <c r="AC87" s="76"/>
      <c r="AD87" s="76"/>
      <c r="AE87" s="76"/>
      <c r="AF87" s="76"/>
      <c r="AG87" s="76"/>
      <c r="AH87" s="76"/>
      <c r="AI87" s="76"/>
      <c r="AJ87" s="76"/>
    </row>
    <row r="88" spans="1:36" s="148" customFormat="1" ht="19.5" customHeight="1" x14ac:dyDescent="0.3">
      <c r="A88" s="138"/>
      <c r="B88" s="139"/>
      <c r="C88" s="139"/>
      <c r="D88" s="143"/>
      <c r="E88" s="158"/>
      <c r="F88" s="158"/>
      <c r="G88" s="158"/>
      <c r="H88" s="158"/>
      <c r="I88" s="142"/>
      <c r="J88" s="143"/>
      <c r="K88" s="140"/>
      <c r="L88" s="140"/>
      <c r="M88" s="140"/>
      <c r="N88" s="159"/>
      <c r="O88" s="145"/>
      <c r="P88" s="145"/>
      <c r="Q88" s="145"/>
      <c r="R88" s="146"/>
      <c r="S88" s="147"/>
      <c r="T88" s="155"/>
      <c r="U88" s="138"/>
      <c r="V88" s="138"/>
      <c r="W88" s="138"/>
      <c r="X88" s="138"/>
      <c r="Y88" s="138"/>
      <c r="Z88" s="138"/>
      <c r="AA88" s="138"/>
      <c r="AB88" s="138"/>
      <c r="AC88" s="138"/>
      <c r="AD88" s="138"/>
      <c r="AE88" s="138"/>
      <c r="AF88" s="138"/>
      <c r="AG88" s="138"/>
      <c r="AH88" s="138"/>
      <c r="AI88" s="138"/>
      <c r="AJ88" s="138"/>
    </row>
    <row r="89" spans="1:36" ht="19.5" customHeight="1" x14ac:dyDescent="0.3">
      <c r="A89" s="76"/>
      <c r="B89" s="170"/>
      <c r="C89" s="170"/>
      <c r="D89" s="168"/>
      <c r="E89" s="171"/>
      <c r="F89" s="116"/>
      <c r="G89" s="116"/>
      <c r="H89" s="163"/>
      <c r="I89" s="151"/>
      <c r="J89" s="127"/>
      <c r="K89" s="162"/>
      <c r="L89" s="162"/>
      <c r="M89" s="162"/>
      <c r="N89" s="164"/>
      <c r="O89" s="165"/>
      <c r="P89" s="165"/>
      <c r="Q89" s="165"/>
      <c r="R89" s="166"/>
      <c r="S89" s="83"/>
      <c r="T89" s="155"/>
      <c r="U89" s="76"/>
      <c r="V89" s="76"/>
      <c r="W89" s="76"/>
      <c r="X89" s="76"/>
      <c r="Y89" s="76"/>
      <c r="Z89" s="76"/>
      <c r="AA89" s="76"/>
      <c r="AB89" s="76"/>
      <c r="AC89" s="76"/>
      <c r="AD89" s="76"/>
      <c r="AE89" s="76"/>
      <c r="AF89" s="76"/>
      <c r="AG89" s="76"/>
      <c r="AH89" s="76"/>
      <c r="AI89" s="76"/>
      <c r="AJ89" s="76"/>
    </row>
    <row r="90" spans="1:36" ht="19.5" customHeight="1" x14ac:dyDescent="0.3">
      <c r="A90" s="76"/>
      <c r="B90" s="170"/>
      <c r="C90" s="170"/>
      <c r="D90" s="162"/>
      <c r="E90" s="171"/>
      <c r="F90" s="116"/>
      <c r="G90" s="116"/>
      <c r="H90" s="163"/>
      <c r="I90" s="151"/>
      <c r="J90" s="127"/>
      <c r="K90" s="162"/>
      <c r="L90" s="162"/>
      <c r="M90" s="162"/>
      <c r="N90" s="164"/>
      <c r="O90" s="165"/>
      <c r="P90" s="165"/>
      <c r="Q90" s="165"/>
      <c r="R90" s="166"/>
      <c r="S90" s="83"/>
      <c r="T90" s="155"/>
      <c r="U90" s="76"/>
      <c r="V90" s="76"/>
      <c r="W90" s="76"/>
      <c r="X90" s="76"/>
      <c r="Y90" s="76"/>
      <c r="Z90" s="76"/>
      <c r="AA90" s="76"/>
      <c r="AB90" s="76"/>
      <c r="AC90" s="76"/>
      <c r="AD90" s="76"/>
      <c r="AE90" s="76"/>
      <c r="AF90" s="76"/>
      <c r="AG90" s="76"/>
      <c r="AH90" s="76"/>
      <c r="AI90" s="76"/>
      <c r="AJ90" s="76"/>
    </row>
    <row r="91" spans="1:36" ht="19.5" customHeight="1" x14ac:dyDescent="0.3">
      <c r="A91" s="76"/>
      <c r="B91" s="170"/>
      <c r="C91" s="170"/>
      <c r="D91" s="162"/>
      <c r="E91" s="171"/>
      <c r="F91" s="116"/>
      <c r="G91" s="116"/>
      <c r="H91" s="163"/>
      <c r="I91" s="151"/>
      <c r="J91" s="127"/>
      <c r="K91" s="162"/>
      <c r="L91" s="162"/>
      <c r="M91" s="162"/>
      <c r="N91" s="164"/>
      <c r="O91" s="165"/>
      <c r="P91" s="165"/>
      <c r="Q91" s="165"/>
      <c r="R91" s="166"/>
      <c r="S91" s="83"/>
      <c r="T91" s="155"/>
      <c r="U91" s="76"/>
      <c r="V91" s="76"/>
      <c r="W91" s="76"/>
      <c r="X91" s="76"/>
      <c r="Y91" s="76"/>
      <c r="Z91" s="76"/>
      <c r="AA91" s="76"/>
      <c r="AB91" s="76"/>
      <c r="AC91" s="76"/>
      <c r="AD91" s="76"/>
      <c r="AE91" s="76"/>
      <c r="AF91" s="76"/>
      <c r="AG91" s="76"/>
      <c r="AH91" s="76"/>
      <c r="AI91" s="76"/>
      <c r="AJ91" s="76"/>
    </row>
    <row r="92" spans="1:36" ht="19.5" customHeight="1" x14ac:dyDescent="0.3">
      <c r="A92" s="76"/>
      <c r="B92" s="170"/>
      <c r="C92" s="170"/>
      <c r="D92" s="162"/>
      <c r="E92" s="171"/>
      <c r="F92" s="116"/>
      <c r="G92" s="116"/>
      <c r="H92" s="163"/>
      <c r="I92" s="151"/>
      <c r="J92" s="127"/>
      <c r="K92" s="162"/>
      <c r="L92" s="162"/>
      <c r="M92" s="162"/>
      <c r="N92" s="164"/>
      <c r="O92" s="165"/>
      <c r="P92" s="165"/>
      <c r="Q92" s="165"/>
      <c r="R92" s="166"/>
      <c r="S92" s="83"/>
      <c r="T92" s="155"/>
      <c r="U92" s="76"/>
      <c r="V92" s="76"/>
      <c r="W92" s="76"/>
      <c r="X92" s="76"/>
      <c r="Y92" s="76"/>
      <c r="Z92" s="76"/>
      <c r="AA92" s="76"/>
      <c r="AB92" s="76"/>
      <c r="AC92" s="76"/>
      <c r="AD92" s="76"/>
      <c r="AE92" s="76"/>
      <c r="AF92" s="76"/>
      <c r="AG92" s="76"/>
      <c r="AH92" s="76"/>
      <c r="AI92" s="76"/>
      <c r="AJ92" s="76"/>
    </row>
    <row r="93" spans="1:36" ht="19.5" customHeight="1" x14ac:dyDescent="0.3">
      <c r="A93" s="76"/>
      <c r="B93" s="170"/>
      <c r="C93" s="172"/>
      <c r="D93" s="162"/>
      <c r="E93" s="171"/>
      <c r="F93" s="116"/>
      <c r="G93" s="116"/>
      <c r="H93" s="163"/>
      <c r="I93" s="151"/>
      <c r="J93" s="127"/>
      <c r="K93" s="162"/>
      <c r="L93" s="162"/>
      <c r="M93" s="162"/>
      <c r="N93" s="164"/>
      <c r="O93" s="165"/>
      <c r="P93" s="165"/>
      <c r="Q93" s="165"/>
      <c r="R93" s="166"/>
      <c r="S93" s="83"/>
      <c r="T93" s="155"/>
      <c r="U93" s="76"/>
      <c r="V93" s="76"/>
      <c r="W93" s="76"/>
      <c r="X93" s="76"/>
      <c r="Y93" s="76"/>
      <c r="Z93" s="76"/>
      <c r="AA93" s="76"/>
      <c r="AB93" s="76"/>
      <c r="AC93" s="76"/>
      <c r="AD93" s="76"/>
      <c r="AE93" s="76"/>
      <c r="AF93" s="76"/>
      <c r="AG93" s="76"/>
      <c r="AH93" s="76"/>
      <c r="AI93" s="76"/>
      <c r="AJ93" s="76"/>
    </row>
    <row r="94" spans="1:36" ht="19.5" customHeight="1" x14ac:dyDescent="0.3">
      <c r="A94" s="76"/>
      <c r="B94" s="162"/>
      <c r="C94" s="162"/>
      <c r="D94" s="162"/>
      <c r="E94" s="163"/>
      <c r="F94" s="116"/>
      <c r="G94" s="163"/>
      <c r="H94" s="163"/>
      <c r="I94" s="151"/>
      <c r="J94" s="127"/>
      <c r="K94" s="162"/>
      <c r="L94" s="162"/>
      <c r="M94" s="162"/>
      <c r="N94" s="164"/>
      <c r="O94" s="165"/>
      <c r="P94" s="165"/>
      <c r="Q94" s="165"/>
      <c r="R94" s="166"/>
      <c r="S94" s="83"/>
      <c r="T94" s="155"/>
      <c r="U94" s="76"/>
      <c r="V94" s="76"/>
      <c r="W94" s="76"/>
      <c r="X94" s="76"/>
      <c r="Y94" s="76"/>
      <c r="Z94" s="76"/>
      <c r="AA94" s="76"/>
      <c r="AB94" s="76"/>
      <c r="AC94" s="76"/>
      <c r="AD94" s="76"/>
      <c r="AE94" s="76"/>
      <c r="AF94" s="76"/>
      <c r="AG94" s="76"/>
      <c r="AH94" s="76"/>
      <c r="AI94" s="76"/>
      <c r="AJ94" s="76"/>
    </row>
    <row r="95" spans="1:36" s="148" customFormat="1" ht="19.5" customHeight="1" x14ac:dyDescent="0.3">
      <c r="A95" s="138"/>
      <c r="B95" s="139"/>
      <c r="C95" s="139"/>
      <c r="D95" s="143"/>
      <c r="E95" s="158"/>
      <c r="F95" s="158"/>
      <c r="G95" s="158"/>
      <c r="H95" s="158"/>
      <c r="I95" s="142"/>
      <c r="J95" s="143"/>
      <c r="K95" s="140"/>
      <c r="L95" s="140"/>
      <c r="M95" s="140"/>
      <c r="N95" s="159"/>
      <c r="O95" s="145"/>
      <c r="P95" s="145"/>
      <c r="Q95" s="145"/>
      <c r="R95" s="146"/>
      <c r="S95" s="147"/>
      <c r="T95" s="155"/>
      <c r="U95" s="138"/>
      <c r="V95" s="138"/>
      <c r="W95" s="138"/>
      <c r="X95" s="138"/>
      <c r="Y95" s="138"/>
      <c r="Z95" s="138"/>
      <c r="AA95" s="138"/>
      <c r="AB95" s="138"/>
      <c r="AC95" s="138"/>
      <c r="AD95" s="138"/>
      <c r="AE95" s="138"/>
      <c r="AF95" s="138"/>
      <c r="AG95" s="138"/>
      <c r="AH95" s="138"/>
      <c r="AI95" s="138"/>
      <c r="AJ95" s="138"/>
    </row>
    <row r="96" spans="1:36" ht="19.5" customHeight="1" x14ac:dyDescent="0.3">
      <c r="A96" s="76"/>
      <c r="B96" s="149"/>
      <c r="C96" s="150"/>
      <c r="D96" s="162"/>
      <c r="E96" s="150"/>
      <c r="F96" s="116"/>
      <c r="G96" s="116"/>
      <c r="H96" s="163"/>
      <c r="I96" s="151"/>
      <c r="J96" s="127"/>
      <c r="K96" s="162"/>
      <c r="L96" s="162"/>
      <c r="M96" s="162"/>
      <c r="N96" s="164"/>
      <c r="O96" s="165"/>
      <c r="P96" s="165"/>
      <c r="Q96" s="165"/>
      <c r="R96" s="166"/>
      <c r="S96" s="83"/>
      <c r="T96" s="155"/>
      <c r="U96" s="76"/>
      <c r="V96" s="76"/>
      <c r="W96" s="76"/>
      <c r="X96" s="76"/>
      <c r="Y96" s="76"/>
      <c r="Z96" s="76"/>
      <c r="AA96" s="76"/>
      <c r="AB96" s="76"/>
      <c r="AC96" s="76"/>
      <c r="AD96" s="76"/>
      <c r="AE96" s="76"/>
      <c r="AF96" s="76"/>
      <c r="AG96" s="76"/>
      <c r="AH96" s="76"/>
      <c r="AI96" s="76"/>
      <c r="AJ96" s="76"/>
    </row>
    <row r="97" spans="1:36" ht="19.5" customHeight="1" x14ac:dyDescent="0.3">
      <c r="A97" s="76"/>
      <c r="B97" s="149"/>
      <c r="C97" s="150"/>
      <c r="D97" s="162"/>
      <c r="E97" s="150"/>
      <c r="F97" s="116"/>
      <c r="G97" s="116"/>
      <c r="H97" s="163"/>
      <c r="I97" s="151"/>
      <c r="J97" s="127"/>
      <c r="K97" s="162"/>
      <c r="L97" s="162"/>
      <c r="M97" s="162"/>
      <c r="N97" s="164"/>
      <c r="O97" s="165"/>
      <c r="P97" s="165"/>
      <c r="Q97" s="165"/>
      <c r="R97" s="166"/>
      <c r="S97" s="83"/>
      <c r="T97" s="155"/>
      <c r="U97" s="76"/>
      <c r="V97" s="76"/>
      <c r="W97" s="76"/>
      <c r="X97" s="76"/>
      <c r="Y97" s="76"/>
      <c r="Z97" s="76"/>
      <c r="AA97" s="76"/>
      <c r="AB97" s="76"/>
      <c r="AC97" s="76"/>
      <c r="AD97" s="76"/>
      <c r="AE97" s="76"/>
      <c r="AF97" s="76"/>
      <c r="AG97" s="76"/>
      <c r="AH97" s="76"/>
      <c r="AI97" s="76"/>
      <c r="AJ97" s="76"/>
    </row>
    <row r="98" spans="1:36" ht="19.5" customHeight="1" x14ac:dyDescent="0.3">
      <c r="A98" s="76"/>
      <c r="B98" s="149"/>
      <c r="C98" s="150"/>
      <c r="D98" s="162"/>
      <c r="E98" s="150"/>
      <c r="F98" s="116"/>
      <c r="G98" s="116"/>
      <c r="H98" s="163"/>
      <c r="I98" s="151"/>
      <c r="J98" s="127"/>
      <c r="K98" s="162"/>
      <c r="L98" s="162"/>
      <c r="M98" s="162"/>
      <c r="N98" s="164"/>
      <c r="O98" s="165"/>
      <c r="P98" s="165"/>
      <c r="Q98" s="165"/>
      <c r="R98" s="166"/>
      <c r="S98" s="83"/>
      <c r="T98" s="155"/>
      <c r="U98" s="76"/>
      <c r="V98" s="76"/>
      <c r="W98" s="76"/>
      <c r="X98" s="76"/>
      <c r="Y98" s="76"/>
      <c r="Z98" s="76"/>
      <c r="AA98" s="76"/>
      <c r="AB98" s="76"/>
      <c r="AC98" s="76"/>
      <c r="AD98" s="76"/>
      <c r="AE98" s="76"/>
      <c r="AF98" s="76"/>
      <c r="AG98" s="76"/>
      <c r="AH98" s="76"/>
      <c r="AI98" s="76"/>
      <c r="AJ98" s="76"/>
    </row>
    <row r="99" spans="1:36" ht="19.5" customHeight="1" x14ac:dyDescent="0.3">
      <c r="A99" s="76"/>
      <c r="B99" s="149"/>
      <c r="C99" s="150"/>
      <c r="D99" s="162"/>
      <c r="E99" s="150"/>
      <c r="F99" s="116"/>
      <c r="G99" s="116"/>
      <c r="H99" s="163"/>
      <c r="I99" s="151"/>
      <c r="J99" s="127"/>
      <c r="K99" s="162"/>
      <c r="L99" s="162"/>
      <c r="M99" s="162"/>
      <c r="N99" s="164"/>
      <c r="O99" s="165"/>
      <c r="P99" s="165"/>
      <c r="Q99" s="165"/>
      <c r="R99" s="166"/>
      <c r="S99" s="83"/>
      <c r="T99" s="155"/>
      <c r="U99" s="76"/>
      <c r="V99" s="76"/>
      <c r="W99" s="76"/>
      <c r="X99" s="76"/>
      <c r="Y99" s="76"/>
      <c r="Z99" s="76"/>
      <c r="AA99" s="76"/>
      <c r="AB99" s="76"/>
      <c r="AC99" s="76"/>
      <c r="AD99" s="76"/>
      <c r="AE99" s="76"/>
      <c r="AF99" s="76"/>
      <c r="AG99" s="76"/>
      <c r="AH99" s="76"/>
      <c r="AI99" s="76"/>
      <c r="AJ99" s="76"/>
    </row>
    <row r="100" spans="1:36" ht="19.5" customHeight="1" x14ac:dyDescent="0.3">
      <c r="A100" s="76"/>
      <c r="B100" s="149"/>
      <c r="C100" s="150"/>
      <c r="D100" s="162"/>
      <c r="E100" s="150"/>
      <c r="F100" s="116"/>
      <c r="G100" s="116"/>
      <c r="H100" s="163"/>
      <c r="I100" s="151"/>
      <c r="J100" s="127"/>
      <c r="K100" s="162"/>
      <c r="L100" s="162"/>
      <c r="M100" s="162"/>
      <c r="N100" s="164"/>
      <c r="O100" s="165"/>
      <c r="P100" s="165"/>
      <c r="Q100" s="165"/>
      <c r="R100" s="166"/>
      <c r="S100" s="83"/>
      <c r="T100" s="155"/>
      <c r="U100" s="76"/>
      <c r="V100" s="76"/>
      <c r="W100" s="76"/>
      <c r="X100" s="76"/>
      <c r="Y100" s="76"/>
      <c r="Z100" s="76"/>
      <c r="AA100" s="76"/>
      <c r="AB100" s="76"/>
      <c r="AC100" s="76"/>
      <c r="AD100" s="76"/>
      <c r="AE100" s="76"/>
      <c r="AF100" s="76"/>
      <c r="AG100" s="76"/>
      <c r="AH100" s="76"/>
      <c r="AI100" s="76"/>
      <c r="AJ100" s="76"/>
    </row>
    <row r="101" spans="1:36" ht="19.5" customHeight="1" x14ac:dyDescent="0.3">
      <c r="A101" s="76"/>
      <c r="B101" s="156"/>
      <c r="C101" s="157"/>
      <c r="D101" s="162"/>
      <c r="E101" s="162"/>
      <c r="F101" s="116"/>
      <c r="G101" s="116"/>
      <c r="H101" s="163"/>
      <c r="I101" s="151"/>
      <c r="J101" s="127"/>
      <c r="K101" s="162"/>
      <c r="L101" s="162"/>
      <c r="M101" s="162"/>
      <c r="N101" s="164"/>
      <c r="O101" s="165"/>
      <c r="P101" s="165"/>
      <c r="Q101" s="165"/>
      <c r="R101" s="166"/>
      <c r="S101" s="83"/>
      <c r="T101" s="155"/>
      <c r="U101" s="76"/>
      <c r="V101" s="76"/>
      <c r="W101" s="76"/>
      <c r="X101" s="76"/>
      <c r="Y101" s="76"/>
      <c r="Z101" s="76"/>
      <c r="AA101" s="76"/>
      <c r="AB101" s="76"/>
      <c r="AC101" s="76"/>
      <c r="AD101" s="76"/>
      <c r="AE101" s="76"/>
      <c r="AF101" s="76"/>
      <c r="AG101" s="76"/>
      <c r="AH101" s="76"/>
      <c r="AI101" s="76"/>
      <c r="AJ101" s="76"/>
    </row>
    <row r="102" spans="1:36" ht="19.5" customHeight="1" x14ac:dyDescent="0.3">
      <c r="A102" s="76"/>
      <c r="B102" s="156"/>
      <c r="C102" s="157"/>
      <c r="D102" s="162"/>
      <c r="E102" s="162"/>
      <c r="F102" s="116"/>
      <c r="G102" s="116"/>
      <c r="H102" s="163"/>
      <c r="I102" s="151"/>
      <c r="J102" s="127"/>
      <c r="K102" s="162"/>
      <c r="L102" s="162"/>
      <c r="M102" s="162"/>
      <c r="N102" s="164"/>
      <c r="O102" s="165"/>
      <c r="P102" s="165"/>
      <c r="Q102" s="165"/>
      <c r="R102" s="166"/>
      <c r="S102" s="83"/>
      <c r="T102" s="155"/>
      <c r="U102" s="76"/>
      <c r="V102" s="76"/>
      <c r="W102" s="76"/>
      <c r="X102" s="76"/>
      <c r="Y102" s="76"/>
      <c r="Z102" s="76"/>
      <c r="AA102" s="76"/>
      <c r="AB102" s="76"/>
      <c r="AC102" s="76"/>
      <c r="AD102" s="76"/>
      <c r="AE102" s="76"/>
      <c r="AF102" s="76"/>
      <c r="AG102" s="76"/>
      <c r="AH102" s="76"/>
      <c r="AI102" s="76"/>
      <c r="AJ102" s="76"/>
    </row>
    <row r="103" spans="1:36" ht="19.5" customHeight="1" x14ac:dyDescent="0.3">
      <c r="A103" s="76"/>
      <c r="B103" s="162"/>
      <c r="C103" s="162"/>
      <c r="D103" s="162"/>
      <c r="E103" s="163"/>
      <c r="F103" s="116"/>
      <c r="G103" s="163"/>
      <c r="H103" s="163"/>
      <c r="I103" s="151"/>
      <c r="J103" s="127"/>
      <c r="K103" s="162"/>
      <c r="L103" s="162"/>
      <c r="M103" s="162"/>
      <c r="N103" s="164"/>
      <c r="O103" s="165"/>
      <c r="P103" s="165"/>
      <c r="Q103" s="165"/>
      <c r="R103" s="166"/>
      <c r="S103" s="83"/>
      <c r="T103" s="155"/>
      <c r="U103" s="76"/>
      <c r="V103" s="76"/>
      <c r="W103" s="76"/>
      <c r="X103" s="76"/>
      <c r="Y103" s="76"/>
      <c r="Z103" s="76"/>
      <c r="AA103" s="76"/>
      <c r="AB103" s="76"/>
      <c r="AC103" s="76"/>
      <c r="AD103" s="76"/>
      <c r="AE103" s="76"/>
      <c r="AF103" s="76"/>
      <c r="AG103" s="76"/>
      <c r="AH103" s="76"/>
      <c r="AI103" s="76"/>
      <c r="AJ103" s="76"/>
    </row>
    <row r="104" spans="1:36" s="148" customFormat="1" ht="19.5" customHeight="1" x14ac:dyDescent="0.3">
      <c r="A104" s="138"/>
      <c r="B104" s="139"/>
      <c r="C104" s="139"/>
      <c r="D104" s="143"/>
      <c r="E104" s="158"/>
      <c r="F104" s="158"/>
      <c r="G104" s="158"/>
      <c r="H104" s="158"/>
      <c r="I104" s="142"/>
      <c r="J104" s="143"/>
      <c r="K104" s="140"/>
      <c r="L104" s="140"/>
      <c r="M104" s="140"/>
      <c r="N104" s="159"/>
      <c r="O104" s="145"/>
      <c r="P104" s="145"/>
      <c r="Q104" s="145"/>
      <c r="R104" s="146"/>
      <c r="S104" s="147"/>
      <c r="T104" s="155"/>
      <c r="U104" s="138"/>
      <c r="V104" s="138"/>
      <c r="W104" s="138"/>
      <c r="X104" s="138"/>
      <c r="Y104" s="138"/>
      <c r="Z104" s="138"/>
      <c r="AA104" s="138"/>
      <c r="AB104" s="138"/>
      <c r="AC104" s="138"/>
      <c r="AD104" s="138"/>
      <c r="AE104" s="138"/>
      <c r="AF104" s="138"/>
      <c r="AG104" s="138"/>
      <c r="AH104" s="138"/>
      <c r="AI104" s="138"/>
      <c r="AJ104" s="138"/>
    </row>
    <row r="105" spans="1:36" ht="19.5" customHeight="1" x14ac:dyDescent="0.3">
      <c r="A105" s="76"/>
      <c r="B105" s="173"/>
      <c r="C105" s="174"/>
      <c r="D105" s="162"/>
      <c r="E105" s="175"/>
      <c r="F105" s="116"/>
      <c r="G105" s="116"/>
      <c r="H105" s="163"/>
      <c r="I105" s="151"/>
      <c r="J105" s="127"/>
      <c r="K105" s="162"/>
      <c r="L105" s="162"/>
      <c r="M105" s="162"/>
      <c r="N105" s="164"/>
      <c r="O105" s="165"/>
      <c r="P105" s="165"/>
      <c r="Q105" s="165"/>
      <c r="R105" s="166"/>
      <c r="S105" s="83"/>
      <c r="T105" s="155"/>
      <c r="U105" s="76"/>
      <c r="V105" s="76"/>
      <c r="W105" s="76"/>
      <c r="X105" s="76"/>
      <c r="Y105" s="76"/>
      <c r="Z105" s="76"/>
      <c r="AA105" s="76"/>
      <c r="AB105" s="76"/>
      <c r="AC105" s="76"/>
      <c r="AD105" s="76"/>
      <c r="AE105" s="76"/>
      <c r="AF105" s="76"/>
      <c r="AG105" s="76"/>
      <c r="AH105" s="76"/>
      <c r="AI105" s="76"/>
      <c r="AJ105" s="76"/>
    </row>
    <row r="106" spans="1:36" ht="19.5" customHeight="1" x14ac:dyDescent="0.3">
      <c r="A106" s="76"/>
      <c r="B106" s="173"/>
      <c r="C106" s="174"/>
      <c r="D106" s="162"/>
      <c r="E106" s="175"/>
      <c r="F106" s="116"/>
      <c r="G106" s="116"/>
      <c r="H106" s="163"/>
      <c r="I106" s="151"/>
      <c r="J106" s="127"/>
      <c r="K106" s="162"/>
      <c r="L106" s="162"/>
      <c r="M106" s="162"/>
      <c r="N106" s="164"/>
      <c r="O106" s="165"/>
      <c r="P106" s="165"/>
      <c r="Q106" s="165"/>
      <c r="R106" s="166"/>
      <c r="S106" s="83"/>
      <c r="T106" s="155"/>
      <c r="U106" s="76"/>
      <c r="V106" s="76"/>
      <c r="W106" s="76"/>
      <c r="X106" s="76"/>
      <c r="Y106" s="76"/>
      <c r="Z106" s="76"/>
      <c r="AA106" s="76"/>
      <c r="AB106" s="76"/>
      <c r="AC106" s="76"/>
      <c r="AD106" s="76"/>
      <c r="AE106" s="76"/>
      <c r="AF106" s="76"/>
      <c r="AG106" s="76"/>
      <c r="AH106" s="76"/>
      <c r="AI106" s="76"/>
      <c r="AJ106" s="76"/>
    </row>
    <row r="107" spans="1:36" ht="19.5" customHeight="1" x14ac:dyDescent="0.3">
      <c r="A107" s="76"/>
      <c r="B107" s="173"/>
      <c r="C107" s="176"/>
      <c r="D107" s="162"/>
      <c r="E107" s="175"/>
      <c r="F107" s="116"/>
      <c r="G107" s="116"/>
      <c r="H107" s="163"/>
      <c r="I107" s="151"/>
      <c r="J107" s="127"/>
      <c r="K107" s="162"/>
      <c r="L107" s="162"/>
      <c r="M107" s="162"/>
      <c r="N107" s="164"/>
      <c r="O107" s="165"/>
      <c r="P107" s="165"/>
      <c r="Q107" s="165"/>
      <c r="R107" s="166"/>
      <c r="S107" s="83"/>
      <c r="T107" s="155"/>
      <c r="U107" s="76"/>
      <c r="V107" s="76"/>
      <c r="W107" s="76"/>
      <c r="X107" s="76"/>
      <c r="Y107" s="76"/>
      <c r="Z107" s="76"/>
      <c r="AA107" s="76"/>
      <c r="AB107" s="76"/>
      <c r="AC107" s="76"/>
      <c r="AD107" s="76"/>
      <c r="AE107" s="76"/>
      <c r="AF107" s="76"/>
      <c r="AG107" s="76"/>
      <c r="AH107" s="76"/>
      <c r="AI107" s="76"/>
      <c r="AJ107" s="76"/>
    </row>
    <row r="108" spans="1:36" ht="19.5" customHeight="1" x14ac:dyDescent="0.3">
      <c r="A108" s="76"/>
      <c r="B108" s="173"/>
      <c r="C108" s="176"/>
      <c r="D108" s="162"/>
      <c r="E108" s="175"/>
      <c r="F108" s="116"/>
      <c r="G108" s="116"/>
      <c r="H108" s="163"/>
      <c r="I108" s="151"/>
      <c r="J108" s="127"/>
      <c r="K108" s="162"/>
      <c r="L108" s="162"/>
      <c r="M108" s="162"/>
      <c r="N108" s="164"/>
      <c r="O108" s="165"/>
      <c r="P108" s="165"/>
      <c r="Q108" s="165"/>
      <c r="R108" s="166"/>
      <c r="S108" s="83"/>
      <c r="T108" s="155"/>
      <c r="U108" s="76"/>
      <c r="V108" s="76"/>
      <c r="W108" s="76"/>
      <c r="X108" s="76"/>
      <c r="Y108" s="76"/>
      <c r="Z108" s="76"/>
      <c r="AA108" s="76"/>
      <c r="AB108" s="76"/>
      <c r="AC108" s="76"/>
      <c r="AD108" s="76"/>
      <c r="AE108" s="76"/>
      <c r="AF108" s="76"/>
      <c r="AG108" s="76"/>
      <c r="AH108" s="76"/>
      <c r="AI108" s="76"/>
      <c r="AJ108" s="76"/>
    </row>
    <row r="109" spans="1:36" ht="19.5" customHeight="1" x14ac:dyDescent="0.3">
      <c r="A109" s="76"/>
      <c r="B109" s="173"/>
      <c r="C109" s="176"/>
      <c r="D109" s="162"/>
      <c r="E109" s="175"/>
      <c r="F109" s="116"/>
      <c r="G109" s="116"/>
      <c r="H109" s="163"/>
      <c r="I109" s="151"/>
      <c r="J109" s="127"/>
      <c r="K109" s="162"/>
      <c r="L109" s="162"/>
      <c r="M109" s="162"/>
      <c r="N109" s="164"/>
      <c r="O109" s="165"/>
      <c r="P109" s="165"/>
      <c r="Q109" s="165"/>
      <c r="R109" s="166"/>
      <c r="S109" s="83"/>
      <c r="T109" s="155"/>
      <c r="U109" s="76"/>
      <c r="V109" s="76"/>
      <c r="W109" s="76"/>
      <c r="X109" s="76"/>
      <c r="Y109" s="76"/>
      <c r="Z109" s="76"/>
      <c r="AA109" s="76"/>
      <c r="AB109" s="76"/>
      <c r="AC109" s="76"/>
      <c r="AD109" s="76"/>
      <c r="AE109" s="76"/>
      <c r="AF109" s="76"/>
      <c r="AG109" s="76"/>
      <c r="AH109" s="76"/>
      <c r="AI109" s="76"/>
      <c r="AJ109" s="76"/>
    </row>
    <row r="110" spans="1:36" ht="19.5" customHeight="1" x14ac:dyDescent="0.3">
      <c r="A110" s="76"/>
      <c r="B110" s="173"/>
      <c r="C110" s="174"/>
      <c r="D110" s="162"/>
      <c r="E110" s="175"/>
      <c r="F110" s="116"/>
      <c r="G110" s="116"/>
      <c r="H110" s="163"/>
      <c r="I110" s="151"/>
      <c r="J110" s="127"/>
      <c r="K110" s="162"/>
      <c r="L110" s="162"/>
      <c r="M110" s="162"/>
      <c r="N110" s="164"/>
      <c r="O110" s="165"/>
      <c r="P110" s="165"/>
      <c r="Q110" s="165"/>
      <c r="R110" s="166"/>
      <c r="S110" s="83"/>
      <c r="T110" s="155"/>
      <c r="U110" s="76"/>
      <c r="V110" s="76"/>
      <c r="W110" s="76"/>
      <c r="X110" s="76"/>
      <c r="Y110" s="76"/>
      <c r="Z110" s="76"/>
      <c r="AA110" s="76"/>
      <c r="AB110" s="76"/>
      <c r="AC110" s="76"/>
      <c r="AD110" s="76"/>
      <c r="AE110" s="76"/>
      <c r="AF110" s="76"/>
      <c r="AG110" s="76"/>
      <c r="AH110" s="76"/>
      <c r="AI110" s="76"/>
      <c r="AJ110" s="76"/>
    </row>
    <row r="111" spans="1:36" ht="19.5" customHeight="1" x14ac:dyDescent="0.3">
      <c r="A111" s="76"/>
      <c r="B111" s="173"/>
      <c r="C111" s="174"/>
      <c r="D111" s="162"/>
      <c r="E111" s="175"/>
      <c r="F111" s="116"/>
      <c r="G111" s="116"/>
      <c r="H111" s="163"/>
      <c r="I111" s="151"/>
      <c r="J111" s="127"/>
      <c r="K111" s="162"/>
      <c r="L111" s="162"/>
      <c r="M111" s="162"/>
      <c r="N111" s="164"/>
      <c r="O111" s="165"/>
      <c r="P111" s="165"/>
      <c r="Q111" s="165"/>
      <c r="R111" s="166"/>
      <c r="S111" s="83"/>
      <c r="T111" s="155"/>
      <c r="U111" s="76"/>
      <c r="V111" s="76"/>
      <c r="W111" s="76"/>
      <c r="X111" s="76"/>
      <c r="Y111" s="76"/>
      <c r="Z111" s="76"/>
      <c r="AA111" s="76"/>
      <c r="AB111" s="76"/>
      <c r="AC111" s="76"/>
      <c r="AD111" s="76"/>
      <c r="AE111" s="76"/>
      <c r="AF111" s="76"/>
      <c r="AG111" s="76"/>
      <c r="AH111" s="76"/>
      <c r="AI111" s="76"/>
      <c r="AJ111" s="76"/>
    </row>
    <row r="112" spans="1:36" ht="19.5" customHeight="1" x14ac:dyDescent="0.3">
      <c r="A112" s="76"/>
      <c r="B112" s="173"/>
      <c r="C112" s="174"/>
      <c r="D112" s="162"/>
      <c r="E112" s="175"/>
      <c r="F112" s="116"/>
      <c r="G112" s="116"/>
      <c r="H112" s="163"/>
      <c r="I112" s="151"/>
      <c r="J112" s="127"/>
      <c r="K112" s="162"/>
      <c r="L112" s="162"/>
      <c r="M112" s="162"/>
      <c r="N112" s="164"/>
      <c r="O112" s="165"/>
      <c r="P112" s="165"/>
      <c r="Q112" s="165"/>
      <c r="R112" s="166"/>
      <c r="S112" s="83"/>
      <c r="T112" s="155"/>
      <c r="U112" s="76"/>
      <c r="V112" s="76"/>
      <c r="W112" s="76"/>
      <c r="X112" s="76"/>
      <c r="Y112" s="76"/>
      <c r="Z112" s="76"/>
      <c r="AA112" s="76"/>
      <c r="AB112" s="76"/>
      <c r="AC112" s="76"/>
      <c r="AD112" s="76"/>
      <c r="AE112" s="76"/>
      <c r="AF112" s="76"/>
      <c r="AG112" s="76"/>
      <c r="AH112" s="76"/>
      <c r="AI112" s="76"/>
      <c r="AJ112" s="76"/>
    </row>
    <row r="113" spans="1:36" ht="19.5" customHeight="1" x14ac:dyDescent="0.3">
      <c r="A113" s="76"/>
      <c r="B113" s="173"/>
      <c r="C113" s="174"/>
      <c r="D113" s="162"/>
      <c r="E113" s="175"/>
      <c r="F113" s="116"/>
      <c r="G113" s="116"/>
      <c r="H113" s="163"/>
      <c r="I113" s="151"/>
      <c r="J113" s="127"/>
      <c r="K113" s="162"/>
      <c r="L113" s="162"/>
      <c r="M113" s="162"/>
      <c r="N113" s="164"/>
      <c r="O113" s="165"/>
      <c r="P113" s="165"/>
      <c r="Q113" s="165"/>
      <c r="R113" s="166"/>
      <c r="S113" s="83"/>
      <c r="T113" s="155"/>
      <c r="U113" s="76"/>
      <c r="V113" s="76"/>
      <c r="W113" s="76"/>
      <c r="X113" s="76"/>
      <c r="Y113" s="76"/>
      <c r="Z113" s="76"/>
      <c r="AA113" s="76"/>
      <c r="AB113" s="76"/>
      <c r="AC113" s="76"/>
      <c r="AD113" s="76"/>
      <c r="AE113" s="76"/>
      <c r="AF113" s="76"/>
      <c r="AG113" s="76"/>
      <c r="AH113" s="76"/>
      <c r="AI113" s="76"/>
      <c r="AJ113" s="76"/>
    </row>
    <row r="114" spans="1:36" ht="19.5" customHeight="1" x14ac:dyDescent="0.3">
      <c r="A114" s="76"/>
      <c r="B114" s="173"/>
      <c r="C114" s="174"/>
      <c r="D114" s="162"/>
      <c r="E114" s="175"/>
      <c r="F114" s="116"/>
      <c r="G114" s="116"/>
      <c r="H114" s="163"/>
      <c r="I114" s="151"/>
      <c r="J114" s="127"/>
      <c r="K114" s="162"/>
      <c r="L114" s="162"/>
      <c r="M114" s="162"/>
      <c r="N114" s="164"/>
      <c r="O114" s="165"/>
      <c r="P114" s="165"/>
      <c r="Q114" s="165"/>
      <c r="R114" s="166"/>
      <c r="S114" s="83"/>
      <c r="T114" s="155"/>
      <c r="U114" s="76"/>
      <c r="V114" s="76"/>
      <c r="W114" s="76"/>
      <c r="X114" s="76"/>
      <c r="Y114" s="76"/>
      <c r="Z114" s="76"/>
      <c r="AA114" s="76"/>
      <c r="AB114" s="76"/>
      <c r="AC114" s="76"/>
      <c r="AD114" s="76"/>
      <c r="AE114" s="76"/>
      <c r="AF114" s="76"/>
      <c r="AG114" s="76"/>
      <c r="AH114" s="76"/>
      <c r="AI114" s="76"/>
      <c r="AJ114" s="76"/>
    </row>
    <row r="115" spans="1:36" ht="19.5" customHeight="1" x14ac:dyDescent="0.3">
      <c r="A115" s="76"/>
      <c r="B115" s="173"/>
      <c r="C115" s="176"/>
      <c r="D115" s="162"/>
      <c r="E115" s="175"/>
      <c r="F115" s="116"/>
      <c r="G115" s="116"/>
      <c r="H115" s="163"/>
      <c r="I115" s="151"/>
      <c r="J115" s="127"/>
      <c r="K115" s="162"/>
      <c r="L115" s="162"/>
      <c r="M115" s="162"/>
      <c r="N115" s="164"/>
      <c r="O115" s="165"/>
      <c r="P115" s="165"/>
      <c r="Q115" s="165"/>
      <c r="R115" s="166"/>
      <c r="S115" s="83"/>
      <c r="T115" s="155"/>
      <c r="U115" s="76"/>
      <c r="V115" s="76"/>
      <c r="W115" s="76"/>
      <c r="X115" s="76"/>
      <c r="Y115" s="76"/>
      <c r="Z115" s="76"/>
      <c r="AA115" s="76"/>
      <c r="AB115" s="76"/>
      <c r="AC115" s="76"/>
      <c r="AD115" s="76"/>
      <c r="AE115" s="76"/>
      <c r="AF115" s="76"/>
      <c r="AG115" s="76"/>
      <c r="AH115" s="76"/>
      <c r="AI115" s="76"/>
      <c r="AJ115" s="76"/>
    </row>
    <row r="116" spans="1:36" ht="19.5" customHeight="1" x14ac:dyDescent="0.3">
      <c r="A116" s="76"/>
      <c r="B116" s="173"/>
      <c r="C116" s="174"/>
      <c r="D116" s="162"/>
      <c r="E116" s="175"/>
      <c r="F116" s="116"/>
      <c r="G116" s="116"/>
      <c r="H116" s="163"/>
      <c r="I116" s="151"/>
      <c r="J116" s="127"/>
      <c r="K116" s="162"/>
      <c r="L116" s="162"/>
      <c r="M116" s="162"/>
      <c r="N116" s="164"/>
      <c r="O116" s="165"/>
      <c r="P116" s="165"/>
      <c r="Q116" s="165"/>
      <c r="R116" s="166"/>
      <c r="S116" s="83"/>
      <c r="T116" s="155"/>
      <c r="U116" s="76"/>
      <c r="V116" s="76"/>
      <c r="W116" s="76"/>
      <c r="X116" s="76"/>
      <c r="Y116" s="76"/>
      <c r="Z116" s="76"/>
      <c r="AA116" s="76"/>
      <c r="AB116" s="76"/>
      <c r="AC116" s="76"/>
      <c r="AD116" s="76"/>
      <c r="AE116" s="76"/>
      <c r="AF116" s="76"/>
      <c r="AG116" s="76"/>
      <c r="AH116" s="76"/>
      <c r="AI116" s="76"/>
      <c r="AJ116" s="76"/>
    </row>
    <row r="117" spans="1:36" ht="19.5" customHeight="1" x14ac:dyDescent="0.3">
      <c r="A117" s="76"/>
      <c r="B117" s="173"/>
      <c r="C117" s="174"/>
      <c r="D117" s="162"/>
      <c r="E117" s="175"/>
      <c r="F117" s="116"/>
      <c r="G117" s="116"/>
      <c r="H117" s="163"/>
      <c r="I117" s="151"/>
      <c r="J117" s="127"/>
      <c r="K117" s="162"/>
      <c r="L117" s="162"/>
      <c r="M117" s="162"/>
      <c r="N117" s="164"/>
      <c r="O117" s="165"/>
      <c r="P117" s="165"/>
      <c r="Q117" s="165"/>
      <c r="R117" s="166"/>
      <c r="S117" s="83"/>
      <c r="T117" s="155"/>
      <c r="U117" s="100"/>
      <c r="V117" s="76"/>
      <c r="W117" s="76"/>
      <c r="X117" s="76"/>
      <c r="Y117" s="76"/>
      <c r="Z117" s="76"/>
      <c r="AA117" s="76"/>
      <c r="AB117" s="76"/>
      <c r="AC117" s="76"/>
      <c r="AD117" s="76"/>
      <c r="AE117" s="76"/>
      <c r="AF117" s="76"/>
      <c r="AG117" s="76"/>
      <c r="AH117" s="76"/>
      <c r="AI117" s="76"/>
      <c r="AJ117" s="76"/>
    </row>
    <row r="118" spans="1:36" ht="19.5" customHeight="1" x14ac:dyDescent="0.3">
      <c r="A118" s="76"/>
      <c r="B118" s="173"/>
      <c r="C118" s="174"/>
      <c r="D118" s="162"/>
      <c r="E118" s="175"/>
      <c r="F118" s="116"/>
      <c r="G118" s="116"/>
      <c r="H118" s="163"/>
      <c r="I118" s="151"/>
      <c r="J118" s="127"/>
      <c r="K118" s="162"/>
      <c r="L118" s="162"/>
      <c r="M118" s="162"/>
      <c r="N118" s="164"/>
      <c r="O118" s="165"/>
      <c r="P118" s="165"/>
      <c r="Q118" s="165"/>
      <c r="R118" s="166"/>
      <c r="S118" s="83"/>
      <c r="T118" s="155"/>
      <c r="U118" s="76"/>
      <c r="V118" s="76"/>
      <c r="W118" s="76"/>
      <c r="X118" s="76"/>
      <c r="Y118" s="76"/>
      <c r="Z118" s="76"/>
      <c r="AA118" s="76"/>
      <c r="AB118" s="76"/>
      <c r="AC118" s="76"/>
      <c r="AD118" s="76"/>
      <c r="AE118" s="76"/>
      <c r="AF118" s="76"/>
      <c r="AG118" s="76"/>
      <c r="AH118" s="76"/>
      <c r="AI118" s="76"/>
      <c r="AJ118" s="76"/>
    </row>
    <row r="119" spans="1:36" ht="19.5" customHeight="1" x14ac:dyDescent="0.3">
      <c r="A119" s="76"/>
      <c r="B119" s="173"/>
      <c r="C119" s="174"/>
      <c r="D119" s="162"/>
      <c r="E119" s="175"/>
      <c r="F119" s="116"/>
      <c r="G119" s="116"/>
      <c r="H119" s="163"/>
      <c r="I119" s="151"/>
      <c r="J119" s="127"/>
      <c r="K119" s="162"/>
      <c r="L119" s="162"/>
      <c r="M119" s="162"/>
      <c r="N119" s="164"/>
      <c r="O119" s="165"/>
      <c r="P119" s="165"/>
      <c r="Q119" s="165"/>
      <c r="R119" s="166"/>
      <c r="S119" s="83"/>
      <c r="T119" s="155"/>
      <c r="U119" s="100"/>
      <c r="V119" s="76"/>
      <c r="W119" s="76"/>
      <c r="X119" s="76"/>
      <c r="Y119" s="76"/>
      <c r="Z119" s="76"/>
      <c r="AA119" s="76"/>
      <c r="AB119" s="76"/>
      <c r="AC119" s="76"/>
      <c r="AD119" s="76"/>
      <c r="AE119" s="76"/>
      <c r="AF119" s="76"/>
      <c r="AG119" s="76"/>
      <c r="AH119" s="76"/>
      <c r="AI119" s="76"/>
      <c r="AJ119" s="76"/>
    </row>
    <row r="120" spans="1:36" ht="19.5" customHeight="1" x14ac:dyDescent="0.3">
      <c r="A120" s="76"/>
      <c r="B120" s="173"/>
      <c r="C120" s="174"/>
      <c r="D120" s="162"/>
      <c r="E120" s="175"/>
      <c r="F120" s="116"/>
      <c r="G120" s="116"/>
      <c r="H120" s="163"/>
      <c r="I120" s="151"/>
      <c r="J120" s="127"/>
      <c r="K120" s="162"/>
      <c r="L120" s="162"/>
      <c r="M120" s="162"/>
      <c r="N120" s="164"/>
      <c r="O120" s="165"/>
      <c r="P120" s="165"/>
      <c r="Q120" s="165"/>
      <c r="R120" s="166"/>
      <c r="S120" s="83"/>
      <c r="T120" s="155"/>
      <c r="U120" s="76"/>
      <c r="V120" s="76"/>
      <c r="W120" s="76"/>
      <c r="X120" s="76"/>
      <c r="Y120" s="76"/>
      <c r="Z120" s="76"/>
      <c r="AA120" s="76"/>
      <c r="AB120" s="76"/>
      <c r="AC120" s="76"/>
      <c r="AD120" s="76"/>
      <c r="AE120" s="76"/>
      <c r="AF120" s="76"/>
      <c r="AG120" s="76"/>
      <c r="AH120" s="76"/>
      <c r="AI120" s="76"/>
      <c r="AJ120" s="76"/>
    </row>
    <row r="121" spans="1:36" ht="19.5" customHeight="1" x14ac:dyDescent="0.3">
      <c r="A121" s="76"/>
      <c r="B121" s="173"/>
      <c r="C121" s="174"/>
      <c r="D121" s="162"/>
      <c r="E121" s="175"/>
      <c r="F121" s="116"/>
      <c r="G121" s="116"/>
      <c r="H121" s="163"/>
      <c r="I121" s="151"/>
      <c r="J121" s="127"/>
      <c r="K121" s="162"/>
      <c r="L121" s="162"/>
      <c r="M121" s="162"/>
      <c r="N121" s="164"/>
      <c r="O121" s="165"/>
      <c r="P121" s="165"/>
      <c r="Q121" s="165"/>
      <c r="R121" s="166"/>
      <c r="S121" s="83"/>
      <c r="T121" s="155"/>
      <c r="U121" s="76"/>
      <c r="V121" s="76"/>
      <c r="W121" s="76"/>
      <c r="X121" s="76"/>
      <c r="Y121" s="76"/>
      <c r="Z121" s="76"/>
      <c r="AA121" s="76"/>
      <c r="AB121" s="76"/>
      <c r="AC121" s="76"/>
      <c r="AD121" s="76"/>
      <c r="AE121" s="76"/>
      <c r="AF121" s="76"/>
      <c r="AG121" s="76"/>
      <c r="AH121" s="76"/>
      <c r="AI121" s="76"/>
      <c r="AJ121" s="76"/>
    </row>
    <row r="122" spans="1:36" ht="19.5" customHeight="1" x14ac:dyDescent="0.3">
      <c r="A122" s="76"/>
      <c r="B122" s="173"/>
      <c r="C122" s="174"/>
      <c r="D122" s="162"/>
      <c r="E122" s="175"/>
      <c r="F122" s="116"/>
      <c r="G122" s="116"/>
      <c r="H122" s="163"/>
      <c r="I122" s="151"/>
      <c r="J122" s="127"/>
      <c r="K122" s="162"/>
      <c r="L122" s="162"/>
      <c r="M122" s="162"/>
      <c r="N122" s="164"/>
      <c r="O122" s="165"/>
      <c r="P122" s="165"/>
      <c r="Q122" s="165"/>
      <c r="R122" s="166"/>
      <c r="S122" s="83"/>
      <c r="T122" s="155"/>
      <c r="U122" s="76"/>
      <c r="V122" s="76"/>
      <c r="W122" s="76"/>
      <c r="X122" s="76"/>
      <c r="Y122" s="76"/>
      <c r="Z122" s="76"/>
      <c r="AA122" s="76"/>
      <c r="AB122" s="76"/>
      <c r="AC122" s="76"/>
      <c r="AD122" s="76"/>
      <c r="AE122" s="76"/>
      <c r="AF122" s="76"/>
      <c r="AG122" s="76"/>
      <c r="AH122" s="76"/>
      <c r="AI122" s="76"/>
      <c r="AJ122" s="76"/>
    </row>
    <row r="123" spans="1:36" ht="19.5" customHeight="1" x14ac:dyDescent="0.3">
      <c r="A123" s="76"/>
      <c r="B123" s="173"/>
      <c r="C123" s="174"/>
      <c r="D123" s="162"/>
      <c r="E123" s="175"/>
      <c r="F123" s="116"/>
      <c r="G123" s="116"/>
      <c r="H123" s="163"/>
      <c r="I123" s="151"/>
      <c r="J123" s="127"/>
      <c r="K123" s="162"/>
      <c r="L123" s="162"/>
      <c r="M123" s="162"/>
      <c r="N123" s="164"/>
      <c r="O123" s="165"/>
      <c r="P123" s="165"/>
      <c r="Q123" s="165"/>
      <c r="R123" s="166"/>
      <c r="S123" s="83"/>
      <c r="T123" s="155"/>
      <c r="U123" s="76"/>
      <c r="V123" s="76"/>
      <c r="W123" s="76"/>
      <c r="X123" s="76"/>
      <c r="Y123" s="76"/>
      <c r="Z123" s="76"/>
      <c r="AA123" s="76"/>
      <c r="AB123" s="76"/>
      <c r="AC123" s="76"/>
      <c r="AD123" s="76"/>
      <c r="AE123" s="76"/>
      <c r="AF123" s="76"/>
      <c r="AG123" s="76"/>
      <c r="AH123" s="76"/>
      <c r="AI123" s="76"/>
      <c r="AJ123" s="76"/>
    </row>
    <row r="124" spans="1:36" ht="19.5" customHeight="1" x14ac:dyDescent="0.3">
      <c r="A124" s="76"/>
      <c r="B124" s="173"/>
      <c r="C124" s="174"/>
      <c r="D124" s="162"/>
      <c r="E124" s="175"/>
      <c r="F124" s="116"/>
      <c r="G124" s="116"/>
      <c r="H124" s="163"/>
      <c r="I124" s="151"/>
      <c r="J124" s="127"/>
      <c r="K124" s="162"/>
      <c r="L124" s="162"/>
      <c r="M124" s="162"/>
      <c r="N124" s="164"/>
      <c r="O124" s="165"/>
      <c r="P124" s="165"/>
      <c r="Q124" s="165"/>
      <c r="R124" s="166"/>
      <c r="S124" s="83"/>
      <c r="T124" s="155"/>
      <c r="U124" s="76"/>
      <c r="V124" s="76"/>
      <c r="W124" s="76"/>
      <c r="X124" s="76"/>
      <c r="Y124" s="76"/>
      <c r="Z124" s="76"/>
      <c r="AA124" s="76"/>
      <c r="AB124" s="76"/>
      <c r="AC124" s="76"/>
      <c r="AD124" s="76"/>
      <c r="AE124" s="76"/>
      <c r="AF124" s="76"/>
      <c r="AG124" s="76"/>
      <c r="AH124" s="76"/>
      <c r="AI124" s="76"/>
      <c r="AJ124" s="76"/>
    </row>
    <row r="125" spans="1:36" ht="19.5" customHeight="1" x14ac:dyDescent="0.3">
      <c r="A125" s="76"/>
      <c r="B125" s="173"/>
      <c r="C125" s="176"/>
      <c r="D125" s="162"/>
      <c r="E125" s="175"/>
      <c r="F125" s="116"/>
      <c r="G125" s="116"/>
      <c r="H125" s="163"/>
      <c r="I125" s="151"/>
      <c r="J125" s="127"/>
      <c r="K125" s="162"/>
      <c r="L125" s="162"/>
      <c r="M125" s="162"/>
      <c r="N125" s="164"/>
      <c r="O125" s="165"/>
      <c r="P125" s="165"/>
      <c r="Q125" s="165"/>
      <c r="R125" s="166"/>
      <c r="S125" s="83"/>
      <c r="T125" s="155"/>
      <c r="U125" s="76"/>
      <c r="V125" s="76"/>
      <c r="W125" s="76"/>
      <c r="X125" s="76"/>
      <c r="Y125" s="76"/>
      <c r="Z125" s="76"/>
      <c r="AA125" s="76"/>
      <c r="AB125" s="76"/>
      <c r="AC125" s="76"/>
      <c r="AD125" s="76"/>
      <c r="AE125" s="76"/>
      <c r="AF125" s="76"/>
      <c r="AG125" s="76"/>
      <c r="AH125" s="76"/>
      <c r="AI125" s="76"/>
      <c r="AJ125" s="76"/>
    </row>
    <row r="126" spans="1:36" ht="19.5" customHeight="1" x14ac:dyDescent="0.3">
      <c r="A126" s="76"/>
      <c r="B126" s="173"/>
      <c r="C126" s="174"/>
      <c r="D126" s="162"/>
      <c r="E126" s="175"/>
      <c r="F126" s="116"/>
      <c r="G126" s="116"/>
      <c r="H126" s="163"/>
      <c r="I126" s="151"/>
      <c r="J126" s="127"/>
      <c r="K126" s="162"/>
      <c r="L126" s="162"/>
      <c r="M126" s="162"/>
      <c r="N126" s="164"/>
      <c r="O126" s="165"/>
      <c r="P126" s="165"/>
      <c r="Q126" s="165"/>
      <c r="R126" s="166"/>
      <c r="S126" s="83"/>
      <c r="T126" s="155"/>
      <c r="U126" s="76"/>
      <c r="V126" s="76"/>
      <c r="W126" s="76"/>
      <c r="X126" s="76"/>
      <c r="Y126" s="76"/>
      <c r="Z126" s="76"/>
      <c r="AA126" s="76"/>
      <c r="AB126" s="76"/>
      <c r="AC126" s="76"/>
      <c r="AD126" s="76"/>
      <c r="AE126" s="76"/>
      <c r="AF126" s="76"/>
      <c r="AG126" s="76"/>
      <c r="AH126" s="76"/>
      <c r="AI126" s="76"/>
      <c r="AJ126" s="76"/>
    </row>
    <row r="127" spans="1:36" ht="19.5" customHeight="1" x14ac:dyDescent="0.3">
      <c r="A127" s="76"/>
      <c r="B127" s="177"/>
      <c r="C127" s="178"/>
      <c r="D127" s="179"/>
      <c r="E127" s="178"/>
      <c r="F127" s="180"/>
      <c r="G127" s="116"/>
      <c r="H127" s="163"/>
      <c r="I127" s="151"/>
      <c r="J127" s="127"/>
      <c r="K127" s="162"/>
      <c r="L127" s="162"/>
      <c r="M127" s="162"/>
      <c r="N127" s="164"/>
      <c r="O127" s="165"/>
      <c r="P127" s="165"/>
      <c r="Q127" s="165"/>
      <c r="R127" s="166"/>
      <c r="S127" s="83"/>
      <c r="T127" s="155"/>
      <c r="U127" s="76"/>
      <c r="V127" s="76"/>
      <c r="W127" s="76"/>
      <c r="X127" s="76"/>
      <c r="Y127" s="76"/>
      <c r="Z127" s="76"/>
      <c r="AA127" s="76"/>
      <c r="AB127" s="76"/>
      <c r="AC127" s="76"/>
      <c r="AD127" s="76"/>
      <c r="AE127" s="76"/>
      <c r="AF127" s="76"/>
      <c r="AG127" s="76"/>
      <c r="AH127" s="76"/>
      <c r="AI127" s="76"/>
      <c r="AJ127" s="76"/>
    </row>
    <row r="128" spans="1:36" ht="19.5" customHeight="1" x14ac:dyDescent="0.3">
      <c r="A128" s="76"/>
      <c r="B128" s="177"/>
      <c r="C128" s="178"/>
      <c r="D128" s="179"/>
      <c r="E128" s="178"/>
      <c r="F128" s="180"/>
      <c r="G128" s="116"/>
      <c r="H128" s="163"/>
      <c r="I128" s="151"/>
      <c r="J128" s="127"/>
      <c r="K128" s="162"/>
      <c r="L128" s="162"/>
      <c r="M128" s="162"/>
      <c r="N128" s="164"/>
      <c r="O128" s="165"/>
      <c r="P128" s="165"/>
      <c r="Q128" s="165"/>
      <c r="R128" s="166"/>
      <c r="S128" s="83"/>
      <c r="T128" s="155"/>
      <c r="U128" s="76"/>
      <c r="V128" s="76"/>
      <c r="W128" s="76"/>
      <c r="X128" s="76"/>
      <c r="Y128" s="76"/>
      <c r="Z128" s="76"/>
      <c r="AA128" s="76"/>
      <c r="AB128" s="76"/>
      <c r="AC128" s="76"/>
      <c r="AD128" s="76"/>
      <c r="AE128" s="76"/>
      <c r="AF128" s="76"/>
      <c r="AG128" s="76"/>
      <c r="AH128" s="76"/>
      <c r="AI128" s="76"/>
      <c r="AJ128" s="76"/>
    </row>
    <row r="129" spans="1:36" ht="19.5" customHeight="1" x14ac:dyDescent="0.3">
      <c r="A129" s="76"/>
      <c r="B129" s="173"/>
      <c r="C129" s="181"/>
      <c r="D129" s="162"/>
      <c r="E129" s="175"/>
      <c r="F129" s="116"/>
      <c r="G129" s="116"/>
      <c r="H129" s="163"/>
      <c r="I129" s="151"/>
      <c r="J129" s="127"/>
      <c r="K129" s="162"/>
      <c r="L129" s="162"/>
      <c r="M129" s="162"/>
      <c r="N129" s="164"/>
      <c r="O129" s="165"/>
      <c r="P129" s="165"/>
      <c r="Q129" s="165"/>
      <c r="R129" s="166"/>
      <c r="S129" s="83"/>
      <c r="T129" s="155"/>
      <c r="U129" s="76"/>
      <c r="V129" s="76"/>
      <c r="W129" s="76"/>
      <c r="X129" s="76"/>
      <c r="Y129" s="76"/>
      <c r="Z129" s="76"/>
      <c r="AA129" s="76"/>
      <c r="AB129" s="76"/>
      <c r="AC129" s="76"/>
      <c r="AD129" s="76"/>
      <c r="AE129" s="76"/>
      <c r="AF129" s="76"/>
      <c r="AG129" s="76"/>
      <c r="AH129" s="76"/>
      <c r="AI129" s="76"/>
      <c r="AJ129" s="76"/>
    </row>
    <row r="130" spans="1:36" ht="19.5" customHeight="1" x14ac:dyDescent="0.3">
      <c r="A130" s="76"/>
      <c r="B130" s="182"/>
      <c r="C130" s="182"/>
      <c r="D130" s="162"/>
      <c r="E130" s="182"/>
      <c r="F130" s="116"/>
      <c r="G130" s="116"/>
      <c r="H130" s="163"/>
      <c r="I130" s="151"/>
      <c r="J130" s="127"/>
      <c r="K130" s="162"/>
      <c r="L130" s="162"/>
      <c r="M130" s="162"/>
      <c r="N130" s="164"/>
      <c r="O130" s="165"/>
      <c r="P130" s="165"/>
      <c r="Q130" s="165"/>
      <c r="R130" s="166"/>
      <c r="S130" s="83"/>
      <c r="T130" s="155"/>
      <c r="U130" s="76"/>
      <c r="V130" s="76"/>
      <c r="W130" s="76"/>
      <c r="X130" s="76"/>
      <c r="Y130" s="76"/>
      <c r="Z130" s="76"/>
      <c r="AA130" s="76"/>
      <c r="AB130" s="76"/>
      <c r="AC130" s="76"/>
      <c r="AD130" s="76"/>
      <c r="AE130" s="76"/>
      <c r="AF130" s="76"/>
      <c r="AG130" s="76"/>
      <c r="AH130" s="76"/>
      <c r="AI130" s="76"/>
      <c r="AJ130" s="76"/>
    </row>
    <row r="131" spans="1:36" ht="19.5" customHeight="1" x14ac:dyDescent="0.3">
      <c r="A131" s="76"/>
      <c r="B131" s="182"/>
      <c r="C131" s="182"/>
      <c r="D131" s="162"/>
      <c r="E131" s="182"/>
      <c r="F131" s="116"/>
      <c r="G131" s="116"/>
      <c r="H131" s="163"/>
      <c r="I131" s="151"/>
      <c r="J131" s="127"/>
      <c r="K131" s="162"/>
      <c r="L131" s="162"/>
      <c r="M131" s="162"/>
      <c r="N131" s="164"/>
      <c r="O131" s="165"/>
      <c r="P131" s="165"/>
      <c r="Q131" s="165"/>
      <c r="R131" s="166"/>
      <c r="S131" s="83"/>
      <c r="T131" s="155"/>
      <c r="U131" s="76"/>
      <c r="V131" s="76"/>
      <c r="W131" s="76"/>
      <c r="X131" s="76"/>
      <c r="Y131" s="76"/>
      <c r="Z131" s="76"/>
      <c r="AA131" s="76"/>
      <c r="AB131" s="76"/>
      <c r="AC131" s="76"/>
      <c r="AD131" s="76"/>
      <c r="AE131" s="76"/>
      <c r="AF131" s="76"/>
      <c r="AG131" s="76"/>
      <c r="AH131" s="76"/>
      <c r="AI131" s="76"/>
      <c r="AJ131" s="76"/>
    </row>
    <row r="132" spans="1:36" ht="19.5" customHeight="1" x14ac:dyDescent="0.3">
      <c r="A132" s="76"/>
      <c r="B132" s="183"/>
      <c r="C132" s="182"/>
      <c r="D132" s="162"/>
      <c r="E132" s="182"/>
      <c r="F132" s="116"/>
      <c r="G132" s="116"/>
      <c r="H132" s="163"/>
      <c r="I132" s="151"/>
      <c r="J132" s="127"/>
      <c r="K132" s="162"/>
      <c r="L132" s="162"/>
      <c r="M132" s="162"/>
      <c r="N132" s="164"/>
      <c r="O132" s="165"/>
      <c r="P132" s="165"/>
      <c r="Q132" s="165"/>
      <c r="R132" s="166"/>
      <c r="S132" s="83"/>
      <c r="T132" s="155"/>
      <c r="U132" s="76"/>
      <c r="V132" s="76"/>
      <c r="W132" s="76"/>
      <c r="X132" s="76"/>
      <c r="Y132" s="76"/>
      <c r="Z132" s="76"/>
      <c r="AA132" s="76"/>
      <c r="AB132" s="76"/>
      <c r="AC132" s="76"/>
      <c r="AD132" s="76"/>
      <c r="AE132" s="76"/>
      <c r="AF132" s="76"/>
      <c r="AG132" s="76"/>
      <c r="AH132" s="76"/>
      <c r="AI132" s="76"/>
      <c r="AJ132" s="76"/>
    </row>
    <row r="133" spans="1:36" ht="19.5" customHeight="1" x14ac:dyDescent="0.3">
      <c r="A133" s="76"/>
      <c r="B133" s="162"/>
      <c r="C133" s="162"/>
      <c r="D133" s="162"/>
      <c r="E133" s="163"/>
      <c r="F133" s="116"/>
      <c r="G133" s="163"/>
      <c r="H133" s="163"/>
      <c r="I133" s="151"/>
      <c r="J133" s="127"/>
      <c r="K133" s="162"/>
      <c r="L133" s="162"/>
      <c r="M133" s="162"/>
      <c r="N133" s="164"/>
      <c r="O133" s="165"/>
      <c r="P133" s="165"/>
      <c r="Q133" s="165"/>
      <c r="R133" s="166"/>
      <c r="S133" s="83"/>
      <c r="T133" s="155"/>
      <c r="U133" s="76"/>
      <c r="V133" s="76"/>
      <c r="W133" s="76"/>
      <c r="X133" s="76"/>
      <c r="Y133" s="76"/>
      <c r="Z133" s="76"/>
      <c r="AA133" s="76"/>
      <c r="AB133" s="76"/>
      <c r="AC133" s="76"/>
      <c r="AD133" s="76"/>
      <c r="AE133" s="76"/>
      <c r="AF133" s="76"/>
      <c r="AG133" s="76"/>
      <c r="AH133" s="76"/>
      <c r="AI133" s="76"/>
      <c r="AJ133" s="76"/>
    </row>
    <row r="134" spans="1:36" s="148" customFormat="1" ht="19.5" customHeight="1" x14ac:dyDescent="0.3">
      <c r="A134" s="138"/>
      <c r="B134" s="139"/>
      <c r="C134" s="139"/>
      <c r="D134" s="143"/>
      <c r="E134" s="158"/>
      <c r="F134" s="158"/>
      <c r="G134" s="158"/>
      <c r="H134" s="158"/>
      <c r="I134" s="142"/>
      <c r="J134" s="143"/>
      <c r="K134" s="143"/>
      <c r="L134" s="143"/>
      <c r="M134" s="143"/>
      <c r="N134" s="159"/>
      <c r="O134" s="145"/>
      <c r="P134" s="145"/>
      <c r="Q134" s="145"/>
      <c r="R134" s="146"/>
      <c r="S134" s="147"/>
      <c r="T134" s="155"/>
      <c r="U134" s="138"/>
      <c r="V134" s="138"/>
      <c r="W134" s="138"/>
      <c r="X134" s="138"/>
      <c r="Y134" s="138"/>
      <c r="Z134" s="138"/>
      <c r="AA134" s="138"/>
      <c r="AB134" s="138"/>
      <c r="AC134" s="138"/>
      <c r="AD134" s="138"/>
      <c r="AE134" s="138"/>
      <c r="AF134" s="138"/>
      <c r="AG134" s="138"/>
      <c r="AH134" s="138"/>
      <c r="AI134" s="138"/>
      <c r="AJ134" s="138"/>
    </row>
    <row r="135" spans="1:36" ht="19.5" customHeight="1" x14ac:dyDescent="0.3">
      <c r="A135" s="100"/>
      <c r="B135" s="184"/>
      <c r="C135" s="185"/>
      <c r="D135" s="186"/>
      <c r="E135" s="185"/>
      <c r="F135" s="116"/>
      <c r="G135" s="116"/>
      <c r="H135" s="163"/>
      <c r="I135" s="151"/>
      <c r="J135" s="118"/>
      <c r="K135" s="162"/>
      <c r="L135" s="162"/>
      <c r="M135" s="162"/>
      <c r="N135" s="164"/>
      <c r="O135" s="165"/>
      <c r="P135" s="165"/>
      <c r="Q135" s="165"/>
      <c r="R135" s="166"/>
      <c r="S135" s="121"/>
      <c r="T135" s="155"/>
      <c r="U135" s="100"/>
      <c r="V135" s="100"/>
      <c r="W135" s="100"/>
      <c r="X135" s="100"/>
      <c r="Y135" s="100"/>
      <c r="Z135" s="100"/>
      <c r="AA135" s="100"/>
      <c r="AB135" s="100"/>
      <c r="AC135" s="100"/>
      <c r="AD135" s="100"/>
      <c r="AE135" s="100"/>
      <c r="AF135" s="100"/>
      <c r="AG135" s="100"/>
      <c r="AH135" s="100"/>
      <c r="AI135" s="100"/>
      <c r="AJ135" s="100"/>
    </row>
    <row r="136" spans="1:36" ht="19.5" customHeight="1" x14ac:dyDescent="0.3">
      <c r="A136" s="100"/>
      <c r="B136" s="184"/>
      <c r="C136" s="185"/>
      <c r="D136" s="186"/>
      <c r="E136" s="185"/>
      <c r="F136" s="116"/>
      <c r="G136" s="116"/>
      <c r="H136" s="163"/>
      <c r="I136" s="151"/>
      <c r="J136" s="118"/>
      <c r="K136" s="162"/>
      <c r="L136" s="162"/>
      <c r="M136" s="162"/>
      <c r="N136" s="164"/>
      <c r="O136" s="165"/>
      <c r="P136" s="165"/>
      <c r="Q136" s="165"/>
      <c r="R136" s="166"/>
      <c r="S136" s="121"/>
      <c r="T136" s="155"/>
      <c r="U136" s="100"/>
      <c r="V136" s="100"/>
      <c r="W136" s="100"/>
      <c r="X136" s="100"/>
      <c r="Y136" s="100"/>
      <c r="Z136" s="100"/>
      <c r="AA136" s="100"/>
      <c r="AB136" s="100"/>
      <c r="AC136" s="100"/>
      <c r="AD136" s="100"/>
      <c r="AE136" s="100"/>
      <c r="AF136" s="100"/>
      <c r="AG136" s="100"/>
      <c r="AH136" s="100"/>
      <c r="AI136" s="100"/>
      <c r="AJ136" s="100"/>
    </row>
    <row r="137" spans="1:36" ht="19.5" customHeight="1" x14ac:dyDescent="0.3">
      <c r="A137" s="76"/>
      <c r="B137" s="181"/>
      <c r="C137" s="181"/>
      <c r="D137" s="162"/>
      <c r="E137" s="185"/>
      <c r="F137" s="116"/>
      <c r="G137" s="116"/>
      <c r="H137" s="163"/>
      <c r="I137" s="151"/>
      <c r="J137" s="127"/>
      <c r="K137" s="162"/>
      <c r="L137" s="162"/>
      <c r="M137" s="162"/>
      <c r="N137" s="164"/>
      <c r="O137" s="165"/>
      <c r="P137" s="165"/>
      <c r="Q137" s="165"/>
      <c r="R137" s="166"/>
      <c r="S137" s="83"/>
      <c r="T137" s="155"/>
      <c r="U137" s="76"/>
      <c r="V137" s="76"/>
      <c r="W137" s="76"/>
      <c r="X137" s="76"/>
      <c r="Y137" s="76"/>
      <c r="Z137" s="76"/>
      <c r="AA137" s="76"/>
      <c r="AB137" s="76"/>
      <c r="AC137" s="76"/>
      <c r="AD137" s="76"/>
      <c r="AE137" s="76"/>
      <c r="AF137" s="76"/>
      <c r="AG137" s="76"/>
      <c r="AH137" s="76"/>
      <c r="AI137" s="76"/>
      <c r="AJ137" s="76"/>
    </row>
    <row r="138" spans="1:36" ht="19.5" customHeight="1" x14ac:dyDescent="0.3">
      <c r="A138" s="76"/>
      <c r="B138" s="181"/>
      <c r="C138" s="181"/>
      <c r="D138" s="162"/>
      <c r="E138" s="187"/>
      <c r="F138" s="116"/>
      <c r="G138" s="116"/>
      <c r="H138" s="163"/>
      <c r="I138" s="151"/>
      <c r="J138" s="127"/>
      <c r="K138" s="162"/>
      <c r="L138" s="162"/>
      <c r="M138" s="162"/>
      <c r="N138" s="164"/>
      <c r="O138" s="165"/>
      <c r="P138" s="165"/>
      <c r="Q138" s="165"/>
      <c r="R138" s="166"/>
      <c r="S138" s="83"/>
      <c r="T138" s="155"/>
      <c r="U138" s="76"/>
      <c r="V138" s="76"/>
      <c r="W138" s="76"/>
      <c r="X138" s="76"/>
      <c r="Y138" s="76"/>
      <c r="Z138" s="76"/>
      <c r="AA138" s="76"/>
      <c r="AB138" s="76"/>
      <c r="AC138" s="76"/>
      <c r="AD138" s="76"/>
      <c r="AE138" s="76"/>
      <c r="AF138" s="76"/>
      <c r="AG138" s="76"/>
      <c r="AH138" s="76"/>
      <c r="AI138" s="76"/>
      <c r="AJ138" s="76"/>
    </row>
    <row r="139" spans="1:36" ht="19.5" customHeight="1" x14ac:dyDescent="0.3">
      <c r="A139" s="76"/>
      <c r="B139" s="181"/>
      <c r="C139" s="181"/>
      <c r="D139" s="162"/>
      <c r="E139" s="187"/>
      <c r="F139" s="116"/>
      <c r="G139" s="116"/>
      <c r="H139" s="163"/>
      <c r="I139" s="151"/>
      <c r="J139" s="127"/>
      <c r="K139" s="162"/>
      <c r="L139" s="162"/>
      <c r="M139" s="162"/>
      <c r="N139" s="164"/>
      <c r="O139" s="165"/>
      <c r="P139" s="165"/>
      <c r="Q139" s="165"/>
      <c r="R139" s="166"/>
      <c r="S139" s="83"/>
      <c r="T139" s="155"/>
      <c r="U139" s="76"/>
      <c r="V139" s="76"/>
      <c r="W139" s="76"/>
      <c r="X139" s="76"/>
      <c r="Y139" s="76"/>
      <c r="Z139" s="76"/>
      <c r="AA139" s="76"/>
      <c r="AB139" s="76"/>
      <c r="AC139" s="76"/>
      <c r="AD139" s="76"/>
      <c r="AE139" s="76"/>
      <c r="AF139" s="76"/>
      <c r="AG139" s="76"/>
      <c r="AH139" s="76"/>
      <c r="AI139" s="76"/>
      <c r="AJ139" s="76"/>
    </row>
    <row r="140" spans="1:36" ht="19.5" customHeight="1" x14ac:dyDescent="0.3">
      <c r="A140" s="76"/>
      <c r="B140" s="181"/>
      <c r="C140" s="181"/>
      <c r="D140" s="162"/>
      <c r="E140" s="187"/>
      <c r="F140" s="116"/>
      <c r="G140" s="116"/>
      <c r="H140" s="163"/>
      <c r="I140" s="151"/>
      <c r="J140" s="127"/>
      <c r="K140" s="162"/>
      <c r="L140" s="162"/>
      <c r="M140" s="162"/>
      <c r="N140" s="164"/>
      <c r="O140" s="165"/>
      <c r="P140" s="165"/>
      <c r="Q140" s="165"/>
      <c r="R140" s="166"/>
      <c r="S140" s="83"/>
      <c r="T140" s="155"/>
      <c r="U140" s="76"/>
      <c r="V140" s="76"/>
      <c r="W140" s="76"/>
      <c r="X140" s="76"/>
      <c r="Y140" s="76"/>
      <c r="Z140" s="76"/>
      <c r="AA140" s="76"/>
      <c r="AB140" s="76"/>
      <c r="AC140" s="76"/>
      <c r="AD140" s="76"/>
      <c r="AE140" s="76"/>
      <c r="AF140" s="76"/>
      <c r="AG140" s="76"/>
      <c r="AH140" s="76"/>
      <c r="AI140" s="76"/>
      <c r="AJ140" s="76"/>
    </row>
    <row r="141" spans="1:36" ht="19.5" customHeight="1" x14ac:dyDescent="0.3">
      <c r="A141" s="76"/>
      <c r="B141" s="181"/>
      <c r="C141" s="181"/>
      <c r="D141" s="162"/>
      <c r="E141" s="185"/>
      <c r="F141" s="116"/>
      <c r="G141" s="116"/>
      <c r="H141" s="163"/>
      <c r="I141" s="151"/>
      <c r="J141" s="127"/>
      <c r="K141" s="162"/>
      <c r="L141" s="162"/>
      <c r="M141" s="162"/>
      <c r="N141" s="164"/>
      <c r="O141" s="165"/>
      <c r="P141" s="165"/>
      <c r="Q141" s="165"/>
      <c r="R141" s="166"/>
      <c r="S141" s="83"/>
      <c r="T141" s="155"/>
      <c r="U141" s="76"/>
      <c r="V141" s="76"/>
      <c r="W141" s="76"/>
      <c r="X141" s="76"/>
      <c r="Y141" s="76"/>
      <c r="Z141" s="76"/>
      <c r="AA141" s="76"/>
      <c r="AB141" s="76"/>
      <c r="AC141" s="76"/>
      <c r="AD141" s="76"/>
      <c r="AE141" s="76"/>
      <c r="AF141" s="76"/>
      <c r="AG141" s="76"/>
      <c r="AH141" s="76"/>
      <c r="AI141" s="76"/>
      <c r="AJ141" s="76"/>
    </row>
    <row r="142" spans="1:36" ht="19.5" customHeight="1" x14ac:dyDescent="0.3">
      <c r="A142" s="76"/>
      <c r="B142" s="181"/>
      <c r="C142" s="181"/>
      <c r="D142" s="162"/>
      <c r="E142" s="185"/>
      <c r="F142" s="116"/>
      <c r="G142" s="116"/>
      <c r="H142" s="163"/>
      <c r="I142" s="151"/>
      <c r="J142" s="127"/>
      <c r="K142" s="162"/>
      <c r="L142" s="162"/>
      <c r="M142" s="162"/>
      <c r="N142" s="164"/>
      <c r="O142" s="165"/>
      <c r="P142" s="165"/>
      <c r="Q142" s="165"/>
      <c r="R142" s="166"/>
      <c r="S142" s="83"/>
      <c r="T142" s="155"/>
      <c r="U142" s="76"/>
      <c r="V142" s="76"/>
      <c r="W142" s="76"/>
      <c r="X142" s="76"/>
      <c r="Y142" s="76"/>
      <c r="Z142" s="76"/>
      <c r="AA142" s="76"/>
      <c r="AB142" s="76"/>
      <c r="AC142" s="76"/>
      <c r="AD142" s="76"/>
      <c r="AE142" s="76"/>
      <c r="AF142" s="76"/>
      <c r="AG142" s="76"/>
      <c r="AH142" s="76"/>
      <c r="AI142" s="76"/>
      <c r="AJ142" s="76"/>
    </row>
    <row r="143" spans="1:36" ht="19.5" customHeight="1" x14ac:dyDescent="0.3">
      <c r="A143" s="76"/>
      <c r="B143" s="162"/>
      <c r="C143" s="162"/>
      <c r="D143" s="162"/>
      <c r="E143" s="163"/>
      <c r="F143" s="116"/>
      <c r="G143" s="163"/>
      <c r="H143" s="163"/>
      <c r="I143" s="151"/>
      <c r="J143" s="127"/>
      <c r="K143" s="162"/>
      <c r="L143" s="162"/>
      <c r="M143" s="162"/>
      <c r="N143" s="164"/>
      <c r="O143" s="165"/>
      <c r="P143" s="165"/>
      <c r="Q143" s="165"/>
      <c r="R143" s="166"/>
      <c r="S143" s="83"/>
      <c r="T143" s="155"/>
      <c r="U143" s="76"/>
      <c r="V143" s="76"/>
      <c r="W143" s="76"/>
      <c r="X143" s="76"/>
      <c r="Y143" s="76"/>
      <c r="Z143" s="76"/>
      <c r="AA143" s="76"/>
      <c r="AB143" s="76"/>
      <c r="AC143" s="76"/>
      <c r="AD143" s="76"/>
      <c r="AE143" s="76"/>
      <c r="AF143" s="76"/>
      <c r="AG143" s="76"/>
      <c r="AH143" s="76"/>
      <c r="AI143" s="76"/>
      <c r="AJ143" s="76"/>
    </row>
    <row r="144" spans="1:36" s="148" customFormat="1" ht="19.5" customHeight="1" x14ac:dyDescent="0.3">
      <c r="A144" s="138"/>
      <c r="B144" s="139"/>
      <c r="C144" s="139"/>
      <c r="D144" s="143"/>
      <c r="E144" s="158"/>
      <c r="F144" s="158"/>
      <c r="G144" s="158"/>
      <c r="H144" s="158"/>
      <c r="I144" s="142"/>
      <c r="J144" s="143"/>
      <c r="K144" s="143"/>
      <c r="L144" s="143"/>
      <c r="M144" s="143"/>
      <c r="N144" s="159"/>
      <c r="O144" s="145"/>
      <c r="P144" s="145"/>
      <c r="Q144" s="145"/>
      <c r="R144" s="146"/>
      <c r="S144" s="147"/>
      <c r="T144" s="155"/>
      <c r="U144" s="138"/>
      <c r="V144" s="138"/>
      <c r="W144" s="138"/>
      <c r="X144" s="138"/>
      <c r="Y144" s="138"/>
      <c r="Z144" s="138"/>
      <c r="AA144" s="138"/>
      <c r="AB144" s="138"/>
      <c r="AC144" s="138"/>
      <c r="AD144" s="138"/>
      <c r="AE144" s="138"/>
      <c r="AF144" s="138"/>
      <c r="AG144" s="138"/>
      <c r="AH144" s="138"/>
      <c r="AI144" s="138"/>
      <c r="AJ144" s="138"/>
    </row>
    <row r="145" spans="1:36" s="189" customFormat="1" ht="19.5" customHeight="1" x14ac:dyDescent="0.3">
      <c r="A145" s="100"/>
      <c r="B145" s="173"/>
      <c r="C145" s="174"/>
      <c r="D145" s="188"/>
      <c r="E145" s="175"/>
      <c r="F145" s="116"/>
      <c r="G145" s="116"/>
      <c r="H145" s="163"/>
      <c r="I145" s="151"/>
      <c r="J145" s="118"/>
      <c r="K145" s="162"/>
      <c r="L145" s="162"/>
      <c r="M145" s="162"/>
      <c r="N145" s="164"/>
      <c r="O145" s="165"/>
      <c r="P145" s="165"/>
      <c r="Q145" s="165"/>
      <c r="R145" s="166"/>
      <c r="S145" s="121"/>
      <c r="T145" s="155"/>
      <c r="U145" s="100"/>
      <c r="V145" s="100"/>
      <c r="W145" s="100"/>
      <c r="X145" s="100"/>
      <c r="Y145" s="100"/>
      <c r="Z145" s="100"/>
      <c r="AA145" s="100"/>
      <c r="AB145" s="100"/>
      <c r="AC145" s="100"/>
      <c r="AD145" s="100"/>
      <c r="AE145" s="100"/>
      <c r="AF145" s="100"/>
      <c r="AG145" s="100"/>
      <c r="AH145" s="100"/>
      <c r="AI145" s="100"/>
      <c r="AJ145" s="100"/>
    </row>
    <row r="146" spans="1:36" s="189" customFormat="1" ht="19.5" customHeight="1" x14ac:dyDescent="0.3">
      <c r="A146" s="100"/>
      <c r="B146" s="173"/>
      <c r="C146" s="174"/>
      <c r="D146" s="188"/>
      <c r="E146" s="175"/>
      <c r="F146" s="116"/>
      <c r="G146" s="116"/>
      <c r="H146" s="163"/>
      <c r="I146" s="151"/>
      <c r="J146" s="118"/>
      <c r="K146" s="162"/>
      <c r="L146" s="162"/>
      <c r="M146" s="162"/>
      <c r="N146" s="164"/>
      <c r="O146" s="165"/>
      <c r="P146" s="165"/>
      <c r="Q146" s="165"/>
      <c r="R146" s="166"/>
      <c r="S146" s="121"/>
      <c r="T146" s="155"/>
      <c r="U146" s="76"/>
      <c r="V146" s="100"/>
      <c r="W146" s="100"/>
      <c r="X146" s="100"/>
      <c r="Y146" s="100"/>
      <c r="Z146" s="100"/>
      <c r="AA146" s="100"/>
      <c r="AB146" s="100"/>
      <c r="AC146" s="100"/>
      <c r="AD146" s="100"/>
      <c r="AE146" s="100"/>
      <c r="AF146" s="100"/>
      <c r="AG146" s="100"/>
      <c r="AH146" s="100"/>
      <c r="AI146" s="100"/>
      <c r="AJ146" s="100"/>
    </row>
    <row r="147" spans="1:36" s="189" customFormat="1" ht="19.5" customHeight="1" x14ac:dyDescent="0.3">
      <c r="A147" s="100"/>
      <c r="B147" s="173"/>
      <c r="C147" s="174"/>
      <c r="D147" s="188"/>
      <c r="E147" s="175"/>
      <c r="F147" s="116"/>
      <c r="G147" s="116"/>
      <c r="H147" s="163"/>
      <c r="I147" s="151"/>
      <c r="J147" s="118"/>
      <c r="K147" s="162"/>
      <c r="L147" s="162"/>
      <c r="M147" s="162"/>
      <c r="N147" s="164"/>
      <c r="O147" s="165"/>
      <c r="P147" s="165"/>
      <c r="Q147" s="165"/>
      <c r="R147" s="166"/>
      <c r="S147" s="121"/>
      <c r="T147" s="155"/>
      <c r="U147" s="100"/>
      <c r="V147" s="100"/>
      <c r="W147" s="100"/>
      <c r="X147" s="100"/>
      <c r="Y147" s="100"/>
      <c r="Z147" s="100"/>
      <c r="AA147" s="100"/>
      <c r="AB147" s="100"/>
      <c r="AC147" s="100"/>
      <c r="AD147" s="100"/>
      <c r="AE147" s="100"/>
      <c r="AF147" s="100"/>
      <c r="AG147" s="100"/>
      <c r="AH147" s="100"/>
      <c r="AI147" s="100"/>
      <c r="AJ147" s="100"/>
    </row>
    <row r="148" spans="1:36" s="189" customFormat="1" ht="19.5" customHeight="1" x14ac:dyDescent="0.3">
      <c r="A148" s="100"/>
      <c r="B148" s="173"/>
      <c r="C148" s="174"/>
      <c r="D148" s="188"/>
      <c r="E148" s="175"/>
      <c r="F148" s="116"/>
      <c r="G148" s="116"/>
      <c r="H148" s="163"/>
      <c r="I148" s="151"/>
      <c r="J148" s="118"/>
      <c r="K148" s="162"/>
      <c r="L148" s="162"/>
      <c r="M148" s="162"/>
      <c r="N148" s="164"/>
      <c r="O148" s="165"/>
      <c r="P148" s="165"/>
      <c r="Q148" s="165"/>
      <c r="R148" s="166"/>
      <c r="S148" s="121"/>
      <c r="T148" s="155"/>
      <c r="U148" s="100"/>
      <c r="V148" s="100"/>
      <c r="W148" s="100"/>
      <c r="X148" s="100"/>
      <c r="Y148" s="100"/>
      <c r="Z148" s="100"/>
      <c r="AA148" s="100"/>
      <c r="AB148" s="100"/>
      <c r="AC148" s="100"/>
      <c r="AD148" s="100"/>
      <c r="AE148" s="100"/>
      <c r="AF148" s="100"/>
      <c r="AG148" s="100"/>
      <c r="AH148" s="100"/>
      <c r="AI148" s="100"/>
      <c r="AJ148" s="100"/>
    </row>
    <row r="149" spans="1:36" s="189" customFormat="1" ht="19.5" customHeight="1" x14ac:dyDescent="0.3">
      <c r="A149" s="100"/>
      <c r="B149" s="173"/>
      <c r="C149" s="174"/>
      <c r="D149" s="188"/>
      <c r="E149" s="175"/>
      <c r="F149" s="116"/>
      <c r="G149" s="116"/>
      <c r="H149" s="163"/>
      <c r="I149" s="151"/>
      <c r="J149" s="118"/>
      <c r="K149" s="162"/>
      <c r="L149" s="162"/>
      <c r="M149" s="162"/>
      <c r="N149" s="164"/>
      <c r="O149" s="165"/>
      <c r="P149" s="165"/>
      <c r="Q149" s="165"/>
      <c r="R149" s="166"/>
      <c r="S149" s="121"/>
      <c r="T149" s="155"/>
      <c r="U149" s="100"/>
      <c r="V149" s="100"/>
      <c r="W149" s="100"/>
      <c r="X149" s="100"/>
      <c r="Y149" s="100"/>
      <c r="Z149" s="100"/>
      <c r="AA149" s="100"/>
      <c r="AB149" s="100"/>
      <c r="AC149" s="100"/>
      <c r="AD149" s="100"/>
      <c r="AE149" s="100"/>
      <c r="AF149" s="100"/>
      <c r="AG149" s="100"/>
      <c r="AH149" s="100"/>
      <c r="AI149" s="100"/>
      <c r="AJ149" s="100"/>
    </row>
    <row r="150" spans="1:36" s="189" customFormat="1" ht="19.5" customHeight="1" x14ac:dyDescent="0.3">
      <c r="A150" s="100"/>
      <c r="B150" s="173"/>
      <c r="C150" s="174"/>
      <c r="D150" s="188"/>
      <c r="E150" s="175"/>
      <c r="F150" s="116"/>
      <c r="G150" s="116"/>
      <c r="H150" s="163"/>
      <c r="I150" s="151"/>
      <c r="J150" s="118"/>
      <c r="K150" s="162"/>
      <c r="L150" s="162"/>
      <c r="M150" s="162"/>
      <c r="N150" s="164"/>
      <c r="O150" s="165"/>
      <c r="P150" s="165"/>
      <c r="Q150" s="165"/>
      <c r="R150" s="166"/>
      <c r="S150" s="121"/>
      <c r="T150" s="155"/>
      <c r="U150" s="100"/>
      <c r="V150" s="100"/>
      <c r="W150" s="100"/>
      <c r="X150" s="100"/>
      <c r="Y150" s="100"/>
      <c r="Z150" s="100"/>
      <c r="AA150" s="100"/>
      <c r="AB150" s="100"/>
      <c r="AC150" s="100"/>
      <c r="AD150" s="100"/>
      <c r="AE150" s="100"/>
      <c r="AF150" s="100"/>
      <c r="AG150" s="100"/>
      <c r="AH150" s="100"/>
      <c r="AI150" s="100"/>
      <c r="AJ150" s="100"/>
    </row>
    <row r="151" spans="1:36" s="189" customFormat="1" ht="19.5" customHeight="1" x14ac:dyDescent="0.3">
      <c r="A151" s="100"/>
      <c r="B151" s="173"/>
      <c r="C151" s="174"/>
      <c r="D151" s="188"/>
      <c r="E151" s="175"/>
      <c r="F151" s="116"/>
      <c r="G151" s="116"/>
      <c r="H151" s="163"/>
      <c r="I151" s="151"/>
      <c r="J151" s="118"/>
      <c r="K151" s="162"/>
      <c r="L151" s="162"/>
      <c r="M151" s="162"/>
      <c r="N151" s="164"/>
      <c r="O151" s="165"/>
      <c r="P151" s="165"/>
      <c r="Q151" s="165"/>
      <c r="R151" s="166"/>
      <c r="S151" s="121"/>
      <c r="T151" s="155"/>
      <c r="U151" s="100"/>
      <c r="V151" s="100"/>
      <c r="W151" s="100"/>
      <c r="X151" s="100"/>
      <c r="Y151" s="100"/>
      <c r="Z151" s="100"/>
      <c r="AA151" s="100"/>
      <c r="AB151" s="100"/>
      <c r="AC151" s="100"/>
      <c r="AD151" s="100"/>
      <c r="AE151" s="100"/>
      <c r="AF151" s="100"/>
      <c r="AG151" s="100"/>
      <c r="AH151" s="100"/>
      <c r="AI151" s="100"/>
      <c r="AJ151" s="100"/>
    </row>
    <row r="152" spans="1:36" s="189" customFormat="1" ht="19.5" customHeight="1" x14ac:dyDescent="0.3">
      <c r="A152" s="100"/>
      <c r="B152" s="173"/>
      <c r="C152" s="174"/>
      <c r="D152" s="188"/>
      <c r="E152" s="175"/>
      <c r="F152" s="116"/>
      <c r="G152" s="116"/>
      <c r="H152" s="163"/>
      <c r="I152" s="151"/>
      <c r="J152" s="118"/>
      <c r="K152" s="162"/>
      <c r="L152" s="162"/>
      <c r="M152" s="162"/>
      <c r="N152" s="164"/>
      <c r="O152" s="165"/>
      <c r="P152" s="165"/>
      <c r="Q152" s="165"/>
      <c r="R152" s="166"/>
      <c r="S152" s="121"/>
      <c r="T152" s="155"/>
      <c r="U152" s="100"/>
      <c r="V152" s="100"/>
      <c r="W152" s="100"/>
      <c r="X152" s="100"/>
      <c r="Y152" s="100"/>
      <c r="Z152" s="100"/>
      <c r="AA152" s="100"/>
      <c r="AB152" s="100"/>
      <c r="AC152" s="100"/>
      <c r="AD152" s="100"/>
      <c r="AE152" s="100"/>
      <c r="AF152" s="100"/>
      <c r="AG152" s="100"/>
      <c r="AH152" s="100"/>
      <c r="AI152" s="100"/>
      <c r="AJ152" s="100"/>
    </row>
    <row r="153" spans="1:36" s="189" customFormat="1" ht="19.5" customHeight="1" x14ac:dyDescent="0.3">
      <c r="A153" s="100"/>
      <c r="B153" s="173"/>
      <c r="C153" s="174"/>
      <c r="D153" s="188"/>
      <c r="E153" s="175"/>
      <c r="F153" s="116"/>
      <c r="G153" s="116"/>
      <c r="H153" s="163"/>
      <c r="I153" s="151"/>
      <c r="J153" s="118"/>
      <c r="K153" s="162"/>
      <c r="L153" s="162"/>
      <c r="M153" s="162"/>
      <c r="N153" s="164"/>
      <c r="O153" s="165"/>
      <c r="P153" s="165"/>
      <c r="Q153" s="165"/>
      <c r="R153" s="166"/>
      <c r="S153" s="121"/>
      <c r="T153" s="155"/>
      <c r="U153" s="100"/>
      <c r="V153" s="100"/>
      <c r="W153" s="100"/>
      <c r="X153" s="100"/>
      <c r="Y153" s="100"/>
      <c r="Z153" s="100"/>
      <c r="AA153" s="100"/>
      <c r="AB153" s="100"/>
      <c r="AC153" s="100"/>
      <c r="AD153" s="100"/>
      <c r="AE153" s="100"/>
      <c r="AF153" s="100"/>
      <c r="AG153" s="100"/>
      <c r="AH153" s="100"/>
      <c r="AI153" s="100"/>
      <c r="AJ153" s="100"/>
    </row>
    <row r="154" spans="1:36" s="189" customFormat="1" ht="19.5" customHeight="1" x14ac:dyDescent="0.3">
      <c r="A154" s="100"/>
      <c r="B154" s="173"/>
      <c r="C154" s="174"/>
      <c r="D154" s="188"/>
      <c r="E154" s="175"/>
      <c r="F154" s="116"/>
      <c r="G154" s="116"/>
      <c r="H154" s="163"/>
      <c r="I154" s="151"/>
      <c r="J154" s="118"/>
      <c r="K154" s="162"/>
      <c r="L154" s="162"/>
      <c r="M154" s="162"/>
      <c r="N154" s="164"/>
      <c r="O154" s="165"/>
      <c r="P154" s="165"/>
      <c r="Q154" s="165"/>
      <c r="R154" s="166"/>
      <c r="S154" s="121"/>
      <c r="T154" s="155"/>
      <c r="U154" s="100"/>
      <c r="V154" s="100"/>
      <c r="W154" s="100"/>
      <c r="X154" s="100"/>
      <c r="Y154" s="100"/>
      <c r="Z154" s="100"/>
      <c r="AA154" s="100"/>
      <c r="AB154" s="100"/>
      <c r="AC154" s="100"/>
      <c r="AD154" s="100"/>
      <c r="AE154" s="100"/>
      <c r="AF154" s="100"/>
      <c r="AG154" s="100"/>
      <c r="AH154" s="100"/>
      <c r="AI154" s="100"/>
      <c r="AJ154" s="100"/>
    </row>
    <row r="155" spans="1:36" s="189" customFormat="1" ht="19.5" customHeight="1" x14ac:dyDescent="0.3">
      <c r="A155" s="100"/>
      <c r="B155" s="173"/>
      <c r="C155" s="174"/>
      <c r="D155" s="188"/>
      <c r="E155" s="175"/>
      <c r="F155" s="116"/>
      <c r="G155" s="116"/>
      <c r="H155" s="163"/>
      <c r="I155" s="151"/>
      <c r="J155" s="118"/>
      <c r="K155" s="162"/>
      <c r="L155" s="162"/>
      <c r="M155" s="162"/>
      <c r="N155" s="164"/>
      <c r="O155" s="165"/>
      <c r="P155" s="165"/>
      <c r="Q155" s="165"/>
      <c r="R155" s="166"/>
      <c r="S155" s="121"/>
      <c r="T155" s="155"/>
      <c r="U155" s="100"/>
      <c r="V155" s="100"/>
      <c r="W155" s="100"/>
      <c r="X155" s="100"/>
      <c r="Y155" s="100"/>
      <c r="Z155" s="100"/>
      <c r="AA155" s="100"/>
      <c r="AB155" s="100"/>
      <c r="AC155" s="100"/>
      <c r="AD155" s="100"/>
      <c r="AE155" s="100"/>
      <c r="AF155" s="100"/>
      <c r="AG155" s="100"/>
      <c r="AH155" s="100"/>
      <c r="AI155" s="100"/>
      <c r="AJ155" s="100"/>
    </row>
    <row r="156" spans="1:36" s="189" customFormat="1" ht="19.5" customHeight="1" x14ac:dyDescent="0.3">
      <c r="A156" s="100"/>
      <c r="B156" s="173"/>
      <c r="C156" s="174"/>
      <c r="D156" s="188"/>
      <c r="E156" s="175"/>
      <c r="F156" s="116"/>
      <c r="G156" s="116"/>
      <c r="H156" s="163"/>
      <c r="I156" s="151"/>
      <c r="J156" s="118"/>
      <c r="K156" s="162"/>
      <c r="L156" s="162"/>
      <c r="M156" s="162"/>
      <c r="N156" s="164"/>
      <c r="O156" s="165"/>
      <c r="P156" s="165"/>
      <c r="Q156" s="165"/>
      <c r="R156" s="166"/>
      <c r="S156" s="121"/>
      <c r="T156" s="155"/>
      <c r="U156" s="100"/>
      <c r="V156" s="100"/>
      <c r="W156" s="100"/>
      <c r="X156" s="100"/>
      <c r="Y156" s="100"/>
      <c r="Z156" s="100"/>
      <c r="AA156" s="100"/>
      <c r="AB156" s="100"/>
      <c r="AC156" s="100"/>
      <c r="AD156" s="100"/>
      <c r="AE156" s="100"/>
      <c r="AF156" s="100"/>
      <c r="AG156" s="100"/>
      <c r="AH156" s="100"/>
      <c r="AI156" s="100"/>
      <c r="AJ156" s="100"/>
    </row>
    <row r="157" spans="1:36" s="189" customFormat="1" ht="19.5" customHeight="1" x14ac:dyDescent="0.3">
      <c r="A157" s="100"/>
      <c r="B157" s="173"/>
      <c r="C157" s="174"/>
      <c r="D157" s="188"/>
      <c r="E157" s="175"/>
      <c r="F157" s="116"/>
      <c r="G157" s="116"/>
      <c r="H157" s="163"/>
      <c r="I157" s="151"/>
      <c r="J157" s="118"/>
      <c r="K157" s="162"/>
      <c r="L157" s="162"/>
      <c r="M157" s="162"/>
      <c r="N157" s="164"/>
      <c r="O157" s="165"/>
      <c r="P157" s="165"/>
      <c r="Q157" s="165"/>
      <c r="R157" s="166"/>
      <c r="S157" s="121"/>
      <c r="T157" s="155"/>
      <c r="U157" s="100"/>
      <c r="V157" s="100"/>
      <c r="W157" s="100"/>
      <c r="X157" s="100"/>
      <c r="Y157" s="100"/>
      <c r="Z157" s="100"/>
      <c r="AA157" s="100"/>
      <c r="AB157" s="100"/>
      <c r="AC157" s="100"/>
      <c r="AD157" s="100"/>
      <c r="AE157" s="100"/>
      <c r="AF157" s="100"/>
      <c r="AG157" s="100"/>
      <c r="AH157" s="100"/>
      <c r="AI157" s="100"/>
      <c r="AJ157" s="100"/>
    </row>
    <row r="158" spans="1:36" s="189" customFormat="1" ht="19.5" customHeight="1" x14ac:dyDescent="0.3">
      <c r="A158" s="100"/>
      <c r="B158" s="173"/>
      <c r="C158" s="174"/>
      <c r="D158" s="188"/>
      <c r="E158" s="175"/>
      <c r="F158" s="116"/>
      <c r="G158" s="116"/>
      <c r="H158" s="163"/>
      <c r="I158" s="151"/>
      <c r="J158" s="118"/>
      <c r="K158" s="162"/>
      <c r="L158" s="162"/>
      <c r="M158" s="162"/>
      <c r="N158" s="164"/>
      <c r="O158" s="165"/>
      <c r="P158" s="165"/>
      <c r="Q158" s="165"/>
      <c r="R158" s="166"/>
      <c r="S158" s="121"/>
      <c r="T158" s="155"/>
      <c r="U158" s="100"/>
      <c r="V158" s="100"/>
      <c r="W158" s="100"/>
      <c r="X158" s="100"/>
      <c r="Y158" s="100"/>
      <c r="Z158" s="100"/>
      <c r="AA158" s="100"/>
      <c r="AB158" s="100"/>
      <c r="AC158" s="100"/>
      <c r="AD158" s="100"/>
      <c r="AE158" s="100"/>
      <c r="AF158" s="100"/>
      <c r="AG158" s="100"/>
      <c r="AH158" s="100"/>
      <c r="AI158" s="100"/>
      <c r="AJ158" s="100"/>
    </row>
    <row r="159" spans="1:36" s="189" customFormat="1" ht="19.5" customHeight="1" x14ac:dyDescent="0.3">
      <c r="A159" s="100"/>
      <c r="B159" s="173"/>
      <c r="C159" s="174"/>
      <c r="D159" s="188"/>
      <c r="E159" s="175"/>
      <c r="F159" s="116"/>
      <c r="G159" s="116"/>
      <c r="H159" s="163"/>
      <c r="I159" s="151"/>
      <c r="J159" s="118"/>
      <c r="K159" s="162"/>
      <c r="L159" s="162"/>
      <c r="M159" s="162"/>
      <c r="N159" s="164"/>
      <c r="O159" s="165"/>
      <c r="P159" s="165"/>
      <c r="Q159" s="165"/>
      <c r="R159" s="166"/>
      <c r="S159" s="121"/>
      <c r="T159" s="155"/>
      <c r="U159" s="100"/>
      <c r="V159" s="100"/>
      <c r="W159" s="100"/>
      <c r="X159" s="100"/>
      <c r="Y159" s="100"/>
      <c r="Z159" s="100"/>
      <c r="AA159" s="100"/>
      <c r="AB159" s="100"/>
      <c r="AC159" s="100"/>
      <c r="AD159" s="100"/>
      <c r="AE159" s="100"/>
      <c r="AF159" s="100"/>
      <c r="AG159" s="100"/>
      <c r="AH159" s="100"/>
      <c r="AI159" s="100"/>
      <c r="AJ159" s="100"/>
    </row>
    <row r="160" spans="1:36" s="189" customFormat="1" ht="19.5" customHeight="1" x14ac:dyDescent="0.3">
      <c r="A160" s="100"/>
      <c r="B160" s="173"/>
      <c r="C160" s="174"/>
      <c r="D160" s="188"/>
      <c r="E160" s="175"/>
      <c r="F160" s="116"/>
      <c r="G160" s="116"/>
      <c r="H160" s="163"/>
      <c r="I160" s="151"/>
      <c r="J160" s="118"/>
      <c r="K160" s="162"/>
      <c r="L160" s="162"/>
      <c r="M160" s="162"/>
      <c r="N160" s="164"/>
      <c r="O160" s="165"/>
      <c r="P160" s="165"/>
      <c r="Q160" s="165"/>
      <c r="R160" s="166"/>
      <c r="S160" s="121"/>
      <c r="T160" s="155"/>
      <c r="U160" s="100"/>
      <c r="V160" s="100"/>
      <c r="W160" s="100"/>
      <c r="X160" s="100"/>
      <c r="Y160" s="100"/>
      <c r="Z160" s="100"/>
      <c r="AA160" s="100"/>
      <c r="AB160" s="100"/>
      <c r="AC160" s="100"/>
      <c r="AD160" s="100"/>
      <c r="AE160" s="100"/>
      <c r="AF160" s="100"/>
      <c r="AG160" s="100"/>
      <c r="AH160" s="100"/>
      <c r="AI160" s="100"/>
      <c r="AJ160" s="100"/>
    </row>
    <row r="161" spans="1:36" s="189" customFormat="1" ht="19.5" customHeight="1" x14ac:dyDescent="0.3">
      <c r="A161" s="100"/>
      <c r="B161" s="173"/>
      <c r="C161" s="174"/>
      <c r="D161" s="188"/>
      <c r="E161" s="175"/>
      <c r="F161" s="116"/>
      <c r="G161" s="116"/>
      <c r="H161" s="163"/>
      <c r="I161" s="151"/>
      <c r="J161" s="118"/>
      <c r="K161" s="162"/>
      <c r="L161" s="162"/>
      <c r="M161" s="162"/>
      <c r="N161" s="164"/>
      <c r="O161" s="165"/>
      <c r="P161" s="165"/>
      <c r="Q161" s="165"/>
      <c r="R161" s="166"/>
      <c r="S161" s="121"/>
      <c r="T161" s="155"/>
      <c r="U161" s="100"/>
      <c r="V161" s="100"/>
      <c r="W161" s="100"/>
      <c r="X161" s="100"/>
      <c r="Y161" s="100"/>
      <c r="Z161" s="100"/>
      <c r="AA161" s="100"/>
      <c r="AB161" s="100"/>
      <c r="AC161" s="100"/>
      <c r="AD161" s="100"/>
      <c r="AE161" s="100"/>
      <c r="AF161" s="100"/>
      <c r="AG161" s="100"/>
      <c r="AH161" s="100"/>
      <c r="AI161" s="100"/>
      <c r="AJ161" s="100"/>
    </row>
    <row r="162" spans="1:36" s="189" customFormat="1" ht="19.5" customHeight="1" x14ac:dyDescent="0.3">
      <c r="A162" s="100"/>
      <c r="B162" s="173"/>
      <c r="C162" s="174"/>
      <c r="D162" s="188"/>
      <c r="E162" s="175"/>
      <c r="F162" s="116"/>
      <c r="G162" s="116"/>
      <c r="H162" s="163"/>
      <c r="I162" s="151"/>
      <c r="J162" s="118"/>
      <c r="K162" s="162"/>
      <c r="L162" s="162"/>
      <c r="M162" s="162"/>
      <c r="N162" s="164"/>
      <c r="O162" s="165"/>
      <c r="P162" s="165"/>
      <c r="Q162" s="165"/>
      <c r="R162" s="166"/>
      <c r="S162" s="121"/>
      <c r="T162" s="155"/>
      <c r="U162" s="100"/>
      <c r="V162" s="100"/>
      <c r="W162" s="100"/>
      <c r="X162" s="100"/>
      <c r="Y162" s="100"/>
      <c r="Z162" s="100"/>
      <c r="AA162" s="100"/>
      <c r="AB162" s="100"/>
      <c r="AC162" s="100"/>
      <c r="AD162" s="100"/>
      <c r="AE162" s="100"/>
      <c r="AF162" s="100"/>
      <c r="AG162" s="100"/>
      <c r="AH162" s="100"/>
      <c r="AI162" s="100"/>
      <c r="AJ162" s="100"/>
    </row>
    <row r="163" spans="1:36" s="189" customFormat="1" ht="19.5" customHeight="1" x14ac:dyDescent="0.3">
      <c r="A163" s="100"/>
      <c r="B163" s="176"/>
      <c r="C163" s="174"/>
      <c r="D163" s="188"/>
      <c r="E163" s="174"/>
      <c r="F163" s="116"/>
      <c r="G163" s="163"/>
      <c r="H163" s="163"/>
      <c r="I163" s="151"/>
      <c r="J163" s="118"/>
      <c r="K163" s="162"/>
      <c r="L163" s="162"/>
      <c r="M163" s="162"/>
      <c r="N163" s="164"/>
      <c r="O163" s="165"/>
      <c r="P163" s="165"/>
      <c r="Q163" s="165"/>
      <c r="R163" s="166"/>
      <c r="S163" s="121"/>
      <c r="T163" s="155"/>
      <c r="U163" s="100"/>
      <c r="V163" s="100"/>
      <c r="W163" s="100"/>
      <c r="X163" s="100"/>
      <c r="Y163" s="100"/>
      <c r="Z163" s="100"/>
      <c r="AA163" s="100"/>
      <c r="AB163" s="100"/>
      <c r="AC163" s="100"/>
      <c r="AD163" s="100"/>
      <c r="AE163" s="100"/>
      <c r="AF163" s="100"/>
      <c r="AG163" s="100"/>
      <c r="AH163" s="100"/>
      <c r="AI163" s="100"/>
      <c r="AJ163" s="100"/>
    </row>
    <row r="164" spans="1:36" s="189" customFormat="1" ht="19.5" customHeight="1" x14ac:dyDescent="0.3">
      <c r="A164" s="100"/>
      <c r="B164" s="176"/>
      <c r="C164" s="174"/>
      <c r="D164" s="188"/>
      <c r="E164" s="174"/>
      <c r="F164" s="116"/>
      <c r="G164" s="163"/>
      <c r="H164" s="163"/>
      <c r="I164" s="151"/>
      <c r="J164" s="118"/>
      <c r="K164" s="162"/>
      <c r="L164" s="162"/>
      <c r="M164" s="162"/>
      <c r="N164" s="164"/>
      <c r="O164" s="165"/>
      <c r="P164" s="165"/>
      <c r="Q164" s="165"/>
      <c r="R164" s="166"/>
      <c r="S164" s="121"/>
      <c r="T164" s="155"/>
      <c r="U164" s="100"/>
      <c r="V164" s="100"/>
      <c r="W164" s="100"/>
      <c r="X164" s="100"/>
      <c r="Y164" s="100"/>
      <c r="Z164" s="100"/>
      <c r="AA164" s="100"/>
      <c r="AB164" s="100"/>
      <c r="AC164" s="100"/>
      <c r="AD164" s="100"/>
      <c r="AE164" s="100"/>
      <c r="AF164" s="100"/>
      <c r="AG164" s="100"/>
      <c r="AH164" s="100"/>
      <c r="AI164" s="100"/>
      <c r="AJ164" s="100"/>
    </row>
    <row r="165" spans="1:36" s="189" customFormat="1" ht="19.5" customHeight="1" x14ac:dyDescent="0.3">
      <c r="A165" s="100"/>
      <c r="B165" s="176"/>
      <c r="C165" s="174"/>
      <c r="D165" s="188"/>
      <c r="E165" s="174"/>
      <c r="F165" s="116"/>
      <c r="G165" s="163"/>
      <c r="H165" s="163"/>
      <c r="I165" s="151"/>
      <c r="J165" s="118"/>
      <c r="K165" s="162"/>
      <c r="L165" s="162"/>
      <c r="M165" s="162"/>
      <c r="N165" s="164"/>
      <c r="O165" s="165"/>
      <c r="P165" s="165"/>
      <c r="Q165" s="165"/>
      <c r="R165" s="166"/>
      <c r="S165" s="121"/>
      <c r="T165" s="155"/>
      <c r="U165" s="100"/>
      <c r="V165" s="100"/>
      <c r="W165" s="100"/>
      <c r="X165" s="100"/>
      <c r="Y165" s="100"/>
      <c r="Z165" s="100"/>
      <c r="AA165" s="100"/>
      <c r="AB165" s="100"/>
      <c r="AC165" s="100"/>
      <c r="AD165" s="100"/>
      <c r="AE165" s="100"/>
      <c r="AF165" s="100"/>
      <c r="AG165" s="100"/>
      <c r="AH165" s="100"/>
      <c r="AI165" s="100"/>
      <c r="AJ165" s="100"/>
    </row>
    <row r="166" spans="1:36" s="189" customFormat="1" ht="19.5" customHeight="1" x14ac:dyDescent="0.3">
      <c r="A166" s="100"/>
      <c r="B166" s="176"/>
      <c r="C166" s="174"/>
      <c r="D166" s="188"/>
      <c r="E166" s="174"/>
      <c r="F166" s="116"/>
      <c r="G166" s="163"/>
      <c r="H166" s="163"/>
      <c r="I166" s="151"/>
      <c r="J166" s="118"/>
      <c r="K166" s="162"/>
      <c r="L166" s="162"/>
      <c r="M166" s="162"/>
      <c r="N166" s="164"/>
      <c r="O166" s="165"/>
      <c r="P166" s="165"/>
      <c r="Q166" s="165"/>
      <c r="R166" s="166"/>
      <c r="S166" s="121"/>
      <c r="T166" s="155"/>
      <c r="U166" s="100"/>
      <c r="V166" s="100"/>
      <c r="W166" s="100"/>
      <c r="X166" s="100"/>
      <c r="Y166" s="100"/>
      <c r="Z166" s="100"/>
      <c r="AA166" s="100"/>
      <c r="AB166" s="100"/>
      <c r="AC166" s="100"/>
      <c r="AD166" s="100"/>
      <c r="AE166" s="100"/>
      <c r="AF166" s="100"/>
      <c r="AG166" s="100"/>
      <c r="AH166" s="100"/>
      <c r="AI166" s="100"/>
      <c r="AJ166" s="100"/>
    </row>
    <row r="167" spans="1:36" s="189" customFormat="1" ht="19.5" customHeight="1" x14ac:dyDescent="0.3">
      <c r="A167" s="100"/>
      <c r="B167" s="176"/>
      <c r="C167" s="190"/>
      <c r="D167" s="188"/>
      <c r="E167" s="174"/>
      <c r="F167" s="116"/>
      <c r="G167" s="163"/>
      <c r="H167" s="163"/>
      <c r="I167" s="151"/>
      <c r="J167" s="118"/>
      <c r="K167" s="162"/>
      <c r="L167" s="162"/>
      <c r="M167" s="162"/>
      <c r="N167" s="164"/>
      <c r="O167" s="165"/>
      <c r="P167" s="165"/>
      <c r="Q167" s="165"/>
      <c r="R167" s="166"/>
      <c r="S167" s="121"/>
      <c r="T167" s="155"/>
      <c r="U167" s="100"/>
      <c r="V167" s="100"/>
      <c r="W167" s="100"/>
      <c r="X167" s="100"/>
      <c r="Y167" s="100"/>
      <c r="Z167" s="100"/>
      <c r="AA167" s="100"/>
      <c r="AB167" s="100"/>
      <c r="AC167" s="100"/>
      <c r="AD167" s="100"/>
      <c r="AE167" s="100"/>
      <c r="AF167" s="100"/>
      <c r="AG167" s="100"/>
      <c r="AH167" s="100"/>
      <c r="AI167" s="100"/>
      <c r="AJ167" s="100"/>
    </row>
    <row r="168" spans="1:36" s="189" customFormat="1" ht="19.5" customHeight="1" x14ac:dyDescent="0.3">
      <c r="A168" s="100"/>
      <c r="B168" s="176"/>
      <c r="C168" s="190"/>
      <c r="D168" s="188"/>
      <c r="E168" s="174"/>
      <c r="F168" s="116"/>
      <c r="G168" s="163"/>
      <c r="H168" s="163"/>
      <c r="I168" s="151"/>
      <c r="J168" s="118"/>
      <c r="K168" s="162"/>
      <c r="L168" s="162"/>
      <c r="M168" s="162"/>
      <c r="N168" s="164"/>
      <c r="O168" s="165"/>
      <c r="P168" s="165"/>
      <c r="Q168" s="165"/>
      <c r="R168" s="166"/>
      <c r="S168" s="121"/>
      <c r="T168" s="155"/>
      <c r="U168" s="100"/>
      <c r="V168" s="100"/>
      <c r="W168" s="100"/>
      <c r="X168" s="100"/>
      <c r="Y168" s="100"/>
      <c r="Z168" s="100"/>
      <c r="AA168" s="100"/>
      <c r="AB168" s="100"/>
      <c r="AC168" s="100"/>
      <c r="AD168" s="100"/>
      <c r="AE168" s="100"/>
      <c r="AF168" s="100"/>
      <c r="AG168" s="100"/>
      <c r="AH168" s="100"/>
      <c r="AI168" s="100"/>
      <c r="AJ168" s="100"/>
    </row>
    <row r="169" spans="1:36" s="189" customFormat="1" ht="19.5" customHeight="1" x14ac:dyDescent="0.3">
      <c r="A169" s="100"/>
      <c r="B169" s="176"/>
      <c r="C169" s="191"/>
      <c r="D169" s="188"/>
      <c r="E169" s="174"/>
      <c r="F169" s="116"/>
      <c r="G169" s="163"/>
      <c r="H169" s="163"/>
      <c r="I169" s="151"/>
      <c r="J169" s="118"/>
      <c r="K169" s="162"/>
      <c r="L169" s="162"/>
      <c r="M169" s="162"/>
      <c r="N169" s="164"/>
      <c r="O169" s="165"/>
      <c r="P169" s="165"/>
      <c r="Q169" s="165"/>
      <c r="R169" s="166"/>
      <c r="S169" s="121"/>
      <c r="T169" s="155"/>
      <c r="U169" s="100"/>
      <c r="V169" s="100"/>
      <c r="W169" s="100"/>
      <c r="X169" s="100"/>
      <c r="Y169" s="100"/>
      <c r="Z169" s="100"/>
      <c r="AA169" s="100"/>
      <c r="AB169" s="100"/>
      <c r="AC169" s="100"/>
      <c r="AD169" s="100"/>
      <c r="AE169" s="100"/>
      <c r="AF169" s="100"/>
      <c r="AG169" s="100"/>
      <c r="AH169" s="100"/>
      <c r="AI169" s="100"/>
      <c r="AJ169" s="100"/>
    </row>
    <row r="170" spans="1:36" s="189" customFormat="1" ht="19.5" customHeight="1" x14ac:dyDescent="0.3">
      <c r="A170" s="100"/>
      <c r="B170" s="176"/>
      <c r="C170" s="174"/>
      <c r="D170" s="188"/>
      <c r="E170" s="174"/>
      <c r="F170" s="116"/>
      <c r="G170" s="163"/>
      <c r="H170" s="163"/>
      <c r="I170" s="151"/>
      <c r="J170" s="118"/>
      <c r="K170" s="162"/>
      <c r="L170" s="162"/>
      <c r="M170" s="162"/>
      <c r="N170" s="164"/>
      <c r="O170" s="165"/>
      <c r="P170" s="165"/>
      <c r="Q170" s="165"/>
      <c r="R170" s="166"/>
      <c r="S170" s="121"/>
      <c r="T170" s="155"/>
      <c r="U170" s="100"/>
      <c r="V170" s="100"/>
      <c r="W170" s="100"/>
      <c r="X170" s="100"/>
      <c r="Y170" s="100"/>
      <c r="Z170" s="100"/>
      <c r="AA170" s="100"/>
      <c r="AB170" s="100"/>
      <c r="AC170" s="100"/>
      <c r="AD170" s="100"/>
      <c r="AE170" s="100"/>
      <c r="AF170" s="100"/>
      <c r="AG170" s="100"/>
      <c r="AH170" s="100"/>
      <c r="AI170" s="100"/>
      <c r="AJ170" s="100"/>
    </row>
    <row r="171" spans="1:36" s="189" customFormat="1" ht="19.5" customHeight="1" x14ac:dyDescent="0.3">
      <c r="A171" s="100"/>
      <c r="B171" s="192"/>
      <c r="C171" s="192"/>
      <c r="D171" s="188"/>
      <c r="E171" s="192"/>
      <c r="F171" s="116"/>
      <c r="G171" s="163"/>
      <c r="H171" s="163"/>
      <c r="I171" s="151"/>
      <c r="J171" s="118"/>
      <c r="K171" s="162"/>
      <c r="L171" s="162"/>
      <c r="M171" s="162"/>
      <c r="N171" s="164"/>
      <c r="O171" s="165"/>
      <c r="P171" s="165"/>
      <c r="Q171" s="165"/>
      <c r="R171" s="166"/>
      <c r="S171" s="121"/>
      <c r="T171" s="155"/>
      <c r="U171" s="100"/>
      <c r="V171" s="100"/>
      <c r="W171" s="100"/>
      <c r="X171" s="100"/>
      <c r="Y171" s="100"/>
      <c r="Z171" s="100"/>
      <c r="AA171" s="100"/>
      <c r="AB171" s="100"/>
      <c r="AC171" s="100"/>
      <c r="AD171" s="100"/>
      <c r="AE171" s="100"/>
      <c r="AF171" s="100"/>
      <c r="AG171" s="100"/>
      <c r="AH171" s="100"/>
      <c r="AI171" s="100"/>
      <c r="AJ171" s="100"/>
    </row>
    <row r="172" spans="1:36" s="189" customFormat="1" ht="19.5" customHeight="1" x14ac:dyDescent="0.3">
      <c r="A172" s="100"/>
      <c r="B172" s="192"/>
      <c r="C172" s="192"/>
      <c r="D172" s="188"/>
      <c r="E172" s="192"/>
      <c r="F172" s="116"/>
      <c r="G172" s="163"/>
      <c r="H172" s="163"/>
      <c r="I172" s="151"/>
      <c r="J172" s="118"/>
      <c r="K172" s="162"/>
      <c r="L172" s="162"/>
      <c r="M172" s="162"/>
      <c r="N172" s="164"/>
      <c r="O172" s="165"/>
      <c r="P172" s="165"/>
      <c r="Q172" s="165"/>
      <c r="R172" s="166"/>
      <c r="S172" s="121"/>
      <c r="T172" s="155"/>
      <c r="U172" s="100"/>
      <c r="V172" s="100"/>
      <c r="W172" s="100"/>
      <c r="X172" s="100"/>
      <c r="Y172" s="100"/>
      <c r="Z172" s="100"/>
      <c r="AA172" s="100"/>
      <c r="AB172" s="100"/>
      <c r="AC172" s="100"/>
      <c r="AD172" s="100"/>
      <c r="AE172" s="100"/>
      <c r="AF172" s="100"/>
      <c r="AG172" s="100"/>
      <c r="AH172" s="100"/>
      <c r="AI172" s="100"/>
      <c r="AJ172" s="100"/>
    </row>
    <row r="173" spans="1:36" s="189" customFormat="1" ht="19.5" customHeight="1" x14ac:dyDescent="0.3">
      <c r="A173" s="100"/>
      <c r="B173" s="192"/>
      <c r="C173" s="192"/>
      <c r="D173" s="188"/>
      <c r="E173" s="192"/>
      <c r="F173" s="116"/>
      <c r="G173" s="163"/>
      <c r="H173" s="163"/>
      <c r="I173" s="151"/>
      <c r="J173" s="118"/>
      <c r="K173" s="162"/>
      <c r="L173" s="162"/>
      <c r="M173" s="162"/>
      <c r="N173" s="164"/>
      <c r="O173" s="165"/>
      <c r="P173" s="165"/>
      <c r="Q173" s="165"/>
      <c r="R173" s="166"/>
      <c r="S173" s="121"/>
      <c r="T173" s="155"/>
      <c r="U173" s="100"/>
      <c r="V173" s="100"/>
      <c r="W173" s="100"/>
      <c r="X173" s="100"/>
      <c r="Y173" s="100"/>
      <c r="Z173" s="100"/>
      <c r="AA173" s="100"/>
      <c r="AB173" s="100"/>
      <c r="AC173" s="100"/>
      <c r="AD173" s="100"/>
      <c r="AE173" s="100"/>
      <c r="AF173" s="100"/>
      <c r="AG173" s="100"/>
      <c r="AH173" s="100"/>
      <c r="AI173" s="100"/>
      <c r="AJ173" s="100"/>
    </row>
    <row r="174" spans="1:36" s="189" customFormat="1" ht="19.5" customHeight="1" x14ac:dyDescent="0.3">
      <c r="A174" s="100"/>
      <c r="B174" s="192"/>
      <c r="C174" s="192"/>
      <c r="D174" s="188"/>
      <c r="E174" s="192"/>
      <c r="F174" s="116"/>
      <c r="G174" s="163"/>
      <c r="H174" s="163"/>
      <c r="I174" s="151"/>
      <c r="J174" s="118"/>
      <c r="K174" s="162"/>
      <c r="L174" s="162"/>
      <c r="M174" s="162"/>
      <c r="N174" s="164"/>
      <c r="O174" s="165"/>
      <c r="P174" s="165"/>
      <c r="Q174" s="165"/>
      <c r="R174" s="166"/>
      <c r="S174" s="121"/>
      <c r="T174" s="155"/>
      <c r="U174" s="100"/>
      <c r="V174" s="100"/>
      <c r="W174" s="100"/>
      <c r="X174" s="100"/>
      <c r="Y174" s="100"/>
      <c r="Z174" s="100"/>
      <c r="AA174" s="100"/>
      <c r="AB174" s="100"/>
      <c r="AC174" s="100"/>
      <c r="AD174" s="100"/>
      <c r="AE174" s="100"/>
      <c r="AF174" s="100"/>
      <c r="AG174" s="100"/>
      <c r="AH174" s="100"/>
      <c r="AI174" s="100"/>
      <c r="AJ174" s="100"/>
    </row>
    <row r="175" spans="1:36" s="189" customFormat="1" ht="19.5" customHeight="1" x14ac:dyDescent="0.3">
      <c r="A175" s="100"/>
      <c r="B175" s="192"/>
      <c r="C175" s="192"/>
      <c r="D175" s="188"/>
      <c r="E175" s="193"/>
      <c r="F175" s="116"/>
      <c r="G175" s="163"/>
      <c r="H175" s="163"/>
      <c r="I175" s="151"/>
      <c r="J175" s="118"/>
      <c r="K175" s="162"/>
      <c r="L175" s="162"/>
      <c r="M175" s="162"/>
      <c r="N175" s="164"/>
      <c r="O175" s="165"/>
      <c r="P175" s="165"/>
      <c r="Q175" s="165"/>
      <c r="R175" s="166"/>
      <c r="S175" s="121"/>
      <c r="T175" s="155"/>
      <c r="U175" s="100"/>
      <c r="V175" s="100"/>
      <c r="W175" s="100"/>
      <c r="X175" s="100"/>
      <c r="Y175" s="100"/>
      <c r="Z175" s="100"/>
      <c r="AA175" s="100"/>
      <c r="AB175" s="100"/>
      <c r="AC175" s="100"/>
      <c r="AD175" s="100"/>
      <c r="AE175" s="100"/>
      <c r="AF175" s="100"/>
      <c r="AG175" s="100"/>
      <c r="AH175" s="100"/>
      <c r="AI175" s="100"/>
      <c r="AJ175" s="100"/>
    </row>
    <row r="176" spans="1:36" s="189" customFormat="1" ht="19.5" customHeight="1" x14ac:dyDescent="0.3">
      <c r="A176" s="100"/>
      <c r="B176" s="192"/>
      <c r="C176" s="192"/>
      <c r="D176" s="188"/>
      <c r="E176" s="193"/>
      <c r="F176" s="116"/>
      <c r="G176" s="163"/>
      <c r="H176" s="163"/>
      <c r="I176" s="151"/>
      <c r="J176" s="118"/>
      <c r="K176" s="162"/>
      <c r="L176" s="162"/>
      <c r="M176" s="162"/>
      <c r="N176" s="164"/>
      <c r="O176" s="165"/>
      <c r="P176" s="165"/>
      <c r="Q176" s="165"/>
      <c r="R176" s="166"/>
      <c r="S176" s="121"/>
      <c r="T176" s="155"/>
      <c r="U176" s="100"/>
      <c r="V176" s="100"/>
      <c r="W176" s="100"/>
      <c r="X176" s="100"/>
      <c r="Y176" s="100"/>
      <c r="Z176" s="100"/>
      <c r="AA176" s="100"/>
      <c r="AB176" s="100"/>
      <c r="AC176" s="100"/>
      <c r="AD176" s="100"/>
      <c r="AE176" s="100"/>
      <c r="AF176" s="100"/>
      <c r="AG176" s="100"/>
      <c r="AH176" s="100"/>
      <c r="AI176" s="100"/>
      <c r="AJ176" s="100"/>
    </row>
    <row r="177" spans="1:36" s="189" customFormat="1" ht="19.5" customHeight="1" x14ac:dyDescent="0.3">
      <c r="A177" s="100"/>
      <c r="B177" s="192"/>
      <c r="C177" s="192"/>
      <c r="D177" s="188"/>
      <c r="E177" s="193"/>
      <c r="F177" s="116"/>
      <c r="G177" s="163"/>
      <c r="H177" s="163"/>
      <c r="I177" s="151"/>
      <c r="J177" s="118"/>
      <c r="K177" s="162"/>
      <c r="L177" s="162"/>
      <c r="M177" s="162"/>
      <c r="N177" s="164"/>
      <c r="O177" s="165"/>
      <c r="P177" s="165"/>
      <c r="Q177" s="165"/>
      <c r="R177" s="166"/>
      <c r="S177" s="121"/>
      <c r="T177" s="155"/>
      <c r="U177" s="100"/>
      <c r="V177" s="100"/>
      <c r="W177" s="100"/>
      <c r="X177" s="100"/>
      <c r="Y177" s="100"/>
      <c r="Z177" s="100"/>
      <c r="AA177" s="100"/>
      <c r="AB177" s="100"/>
      <c r="AC177" s="100"/>
      <c r="AD177" s="100"/>
      <c r="AE177" s="100"/>
      <c r="AF177" s="100"/>
      <c r="AG177" s="100"/>
      <c r="AH177" s="100"/>
      <c r="AI177" s="100"/>
      <c r="AJ177" s="100"/>
    </row>
    <row r="178" spans="1:36" s="189" customFormat="1" ht="19.5" customHeight="1" x14ac:dyDescent="0.3">
      <c r="A178" s="100"/>
      <c r="B178" s="192"/>
      <c r="C178" s="192"/>
      <c r="D178" s="188"/>
      <c r="E178" s="193"/>
      <c r="F178" s="116"/>
      <c r="G178" s="163"/>
      <c r="H178" s="163"/>
      <c r="I178" s="151"/>
      <c r="J178" s="118"/>
      <c r="K178" s="162"/>
      <c r="L178" s="162"/>
      <c r="M178" s="162"/>
      <c r="N178" s="164"/>
      <c r="O178" s="165"/>
      <c r="P178" s="165"/>
      <c r="Q178" s="165"/>
      <c r="R178" s="166"/>
      <c r="S178" s="121"/>
      <c r="T178" s="155"/>
      <c r="U178" s="100"/>
      <c r="V178" s="100"/>
      <c r="W178" s="100"/>
      <c r="X178" s="100"/>
      <c r="Y178" s="100"/>
      <c r="Z178" s="100"/>
      <c r="AA178" s="100"/>
      <c r="AB178" s="100"/>
      <c r="AC178" s="100"/>
      <c r="AD178" s="100"/>
      <c r="AE178" s="100"/>
      <c r="AF178" s="100"/>
      <c r="AG178" s="100"/>
      <c r="AH178" s="100"/>
      <c r="AI178" s="100"/>
      <c r="AJ178" s="100"/>
    </row>
    <row r="179" spans="1:36" s="189" customFormat="1" ht="19.5" customHeight="1" x14ac:dyDescent="0.3">
      <c r="A179" s="100"/>
      <c r="B179" s="192"/>
      <c r="C179" s="192"/>
      <c r="D179" s="188"/>
      <c r="E179" s="193"/>
      <c r="F179" s="116"/>
      <c r="G179" s="163"/>
      <c r="H179" s="163"/>
      <c r="I179" s="151"/>
      <c r="J179" s="118"/>
      <c r="K179" s="162"/>
      <c r="L179" s="162"/>
      <c r="M179" s="162"/>
      <c r="N179" s="164"/>
      <c r="O179" s="165"/>
      <c r="P179" s="165"/>
      <c r="Q179" s="165"/>
      <c r="R179" s="166"/>
      <c r="S179" s="121"/>
      <c r="T179" s="155"/>
      <c r="U179" s="100"/>
      <c r="V179" s="100"/>
      <c r="W179" s="100"/>
      <c r="X179" s="100"/>
      <c r="Y179" s="100"/>
      <c r="Z179" s="100"/>
      <c r="AA179" s="100"/>
      <c r="AB179" s="100"/>
      <c r="AC179" s="100"/>
      <c r="AD179" s="100"/>
      <c r="AE179" s="100"/>
      <c r="AF179" s="100"/>
      <c r="AG179" s="100"/>
      <c r="AH179" s="100"/>
      <c r="AI179" s="100"/>
      <c r="AJ179" s="100"/>
    </row>
    <row r="180" spans="1:36" s="189" customFormat="1" ht="19.5" customHeight="1" x14ac:dyDescent="0.3">
      <c r="A180" s="100"/>
      <c r="B180" s="192"/>
      <c r="C180" s="192"/>
      <c r="D180" s="188"/>
      <c r="E180" s="193"/>
      <c r="F180" s="116"/>
      <c r="G180" s="163"/>
      <c r="H180" s="163"/>
      <c r="I180" s="151"/>
      <c r="J180" s="118"/>
      <c r="K180" s="162"/>
      <c r="L180" s="162"/>
      <c r="M180" s="162"/>
      <c r="N180" s="164"/>
      <c r="O180" s="165"/>
      <c r="P180" s="165"/>
      <c r="Q180" s="165"/>
      <c r="R180" s="166"/>
      <c r="S180" s="121"/>
      <c r="T180" s="155"/>
      <c r="U180" s="100"/>
      <c r="V180" s="100"/>
      <c r="W180" s="100"/>
      <c r="X180" s="100"/>
      <c r="Y180" s="100"/>
      <c r="Z180" s="100"/>
      <c r="AA180" s="100"/>
      <c r="AB180" s="100"/>
      <c r="AC180" s="100"/>
      <c r="AD180" s="100"/>
      <c r="AE180" s="100"/>
      <c r="AF180" s="100"/>
      <c r="AG180" s="100"/>
      <c r="AH180" s="100"/>
      <c r="AI180" s="100"/>
      <c r="AJ180" s="100"/>
    </row>
    <row r="181" spans="1:36" s="189" customFormat="1" ht="19.5" customHeight="1" x14ac:dyDescent="0.3">
      <c r="A181" s="100"/>
      <c r="B181" s="192"/>
      <c r="C181" s="192"/>
      <c r="D181" s="188"/>
      <c r="E181" s="193"/>
      <c r="F181" s="116"/>
      <c r="G181" s="163"/>
      <c r="H181" s="163"/>
      <c r="I181" s="151"/>
      <c r="J181" s="118"/>
      <c r="K181" s="162"/>
      <c r="L181" s="162"/>
      <c r="M181" s="162"/>
      <c r="N181" s="164"/>
      <c r="O181" s="165"/>
      <c r="P181" s="165"/>
      <c r="Q181" s="165"/>
      <c r="R181" s="166"/>
      <c r="S181" s="121"/>
      <c r="T181" s="155"/>
      <c r="U181" s="100"/>
      <c r="V181" s="100"/>
      <c r="W181" s="100"/>
      <c r="X181" s="100"/>
      <c r="Y181" s="100"/>
      <c r="Z181" s="100"/>
      <c r="AA181" s="100"/>
      <c r="AB181" s="100"/>
      <c r="AC181" s="100"/>
      <c r="AD181" s="100"/>
      <c r="AE181" s="100"/>
      <c r="AF181" s="100"/>
      <c r="AG181" s="100"/>
      <c r="AH181" s="100"/>
      <c r="AI181" s="100"/>
      <c r="AJ181" s="100"/>
    </row>
    <row r="182" spans="1:36" s="189" customFormat="1" ht="19.5" customHeight="1" x14ac:dyDescent="0.3">
      <c r="A182" s="100"/>
      <c r="B182" s="192"/>
      <c r="C182" s="192"/>
      <c r="D182" s="188"/>
      <c r="E182" s="193"/>
      <c r="F182" s="116"/>
      <c r="G182" s="163"/>
      <c r="H182" s="163"/>
      <c r="I182" s="151"/>
      <c r="J182" s="118"/>
      <c r="K182" s="162"/>
      <c r="L182" s="162"/>
      <c r="M182" s="162"/>
      <c r="N182" s="164"/>
      <c r="O182" s="165"/>
      <c r="P182" s="165"/>
      <c r="Q182" s="165"/>
      <c r="R182" s="166"/>
      <c r="S182" s="121"/>
      <c r="T182" s="155"/>
      <c r="U182" s="100"/>
      <c r="V182" s="100"/>
      <c r="W182" s="100"/>
      <c r="X182" s="100"/>
      <c r="Y182" s="100"/>
      <c r="Z182" s="100"/>
      <c r="AA182" s="100"/>
      <c r="AB182" s="100"/>
      <c r="AC182" s="100"/>
      <c r="AD182" s="100"/>
      <c r="AE182" s="100"/>
      <c r="AF182" s="100"/>
      <c r="AG182" s="100"/>
      <c r="AH182" s="100"/>
      <c r="AI182" s="100"/>
      <c r="AJ182" s="100"/>
    </row>
    <row r="183" spans="1:36" s="189" customFormat="1" ht="19.5" customHeight="1" x14ac:dyDescent="0.3">
      <c r="A183" s="100"/>
      <c r="B183" s="192"/>
      <c r="C183" s="192"/>
      <c r="D183" s="188"/>
      <c r="E183" s="193"/>
      <c r="F183" s="116"/>
      <c r="G183" s="163"/>
      <c r="H183" s="163"/>
      <c r="I183" s="151"/>
      <c r="J183" s="118"/>
      <c r="K183" s="162"/>
      <c r="L183" s="162"/>
      <c r="M183" s="162"/>
      <c r="N183" s="164"/>
      <c r="O183" s="165"/>
      <c r="P183" s="165"/>
      <c r="Q183" s="165"/>
      <c r="R183" s="166"/>
      <c r="S183" s="121"/>
      <c r="T183" s="155"/>
      <c r="U183" s="100"/>
      <c r="V183" s="100"/>
      <c r="W183" s="100"/>
      <c r="X183" s="100"/>
      <c r="Y183" s="100"/>
      <c r="Z183" s="100"/>
      <c r="AA183" s="100"/>
      <c r="AB183" s="100"/>
      <c r="AC183" s="100"/>
      <c r="AD183" s="100"/>
      <c r="AE183" s="100"/>
      <c r="AF183" s="100"/>
      <c r="AG183" s="100"/>
      <c r="AH183" s="100"/>
      <c r="AI183" s="100"/>
      <c r="AJ183" s="100"/>
    </row>
    <row r="184" spans="1:36" s="189" customFormat="1" ht="19.5" customHeight="1" x14ac:dyDescent="0.3">
      <c r="A184" s="100"/>
      <c r="B184" s="192"/>
      <c r="C184" s="192"/>
      <c r="D184" s="188"/>
      <c r="E184" s="193"/>
      <c r="F184" s="116"/>
      <c r="G184" s="163"/>
      <c r="H184" s="163"/>
      <c r="I184" s="151"/>
      <c r="J184" s="118"/>
      <c r="K184" s="162"/>
      <c r="L184" s="162"/>
      <c r="M184" s="162"/>
      <c r="N184" s="164"/>
      <c r="O184" s="165"/>
      <c r="P184" s="165"/>
      <c r="Q184" s="165"/>
      <c r="R184" s="166"/>
      <c r="S184" s="121"/>
      <c r="T184" s="155"/>
      <c r="U184" s="100"/>
      <c r="V184" s="100"/>
      <c r="W184" s="100"/>
      <c r="X184" s="100"/>
      <c r="Y184" s="100"/>
      <c r="Z184" s="100"/>
      <c r="AA184" s="100"/>
      <c r="AB184" s="100"/>
      <c r="AC184" s="100"/>
      <c r="AD184" s="100"/>
      <c r="AE184" s="100"/>
      <c r="AF184" s="100"/>
      <c r="AG184" s="100"/>
      <c r="AH184" s="100"/>
      <c r="AI184" s="100"/>
      <c r="AJ184" s="100"/>
    </row>
    <row r="185" spans="1:36" s="189" customFormat="1" ht="19.5" customHeight="1" x14ac:dyDescent="0.3">
      <c r="A185" s="100"/>
      <c r="B185" s="192"/>
      <c r="C185" s="192"/>
      <c r="D185" s="188"/>
      <c r="E185" s="193"/>
      <c r="F185" s="116"/>
      <c r="G185" s="163"/>
      <c r="H185" s="163"/>
      <c r="I185" s="151"/>
      <c r="J185" s="118"/>
      <c r="K185" s="162"/>
      <c r="L185" s="162"/>
      <c r="M185" s="162"/>
      <c r="N185" s="164"/>
      <c r="O185" s="165"/>
      <c r="P185" s="165"/>
      <c r="Q185" s="165"/>
      <c r="R185" s="166"/>
      <c r="S185" s="121"/>
      <c r="T185" s="155"/>
      <c r="U185" s="100"/>
      <c r="V185" s="100"/>
      <c r="W185" s="100"/>
      <c r="X185" s="100"/>
      <c r="Y185" s="100"/>
      <c r="Z185" s="100"/>
      <c r="AA185" s="100"/>
      <c r="AB185" s="100"/>
      <c r="AC185" s="100"/>
      <c r="AD185" s="100"/>
      <c r="AE185" s="100"/>
      <c r="AF185" s="100"/>
      <c r="AG185" s="100"/>
      <c r="AH185" s="100"/>
      <c r="AI185" s="100"/>
      <c r="AJ185" s="100"/>
    </row>
    <row r="186" spans="1:36" s="189" customFormat="1" ht="19.5" customHeight="1" x14ac:dyDescent="0.3">
      <c r="A186" s="100"/>
      <c r="B186" s="192"/>
      <c r="C186" s="192"/>
      <c r="D186" s="188"/>
      <c r="E186" s="193"/>
      <c r="F186" s="116"/>
      <c r="G186" s="163"/>
      <c r="H186" s="163"/>
      <c r="I186" s="151"/>
      <c r="J186" s="118"/>
      <c r="K186" s="162"/>
      <c r="L186" s="162"/>
      <c r="M186" s="162"/>
      <c r="N186" s="164"/>
      <c r="O186" s="165"/>
      <c r="P186" s="165"/>
      <c r="Q186" s="165"/>
      <c r="R186" s="166"/>
      <c r="S186" s="121"/>
      <c r="T186" s="155"/>
      <c r="U186" s="100"/>
      <c r="V186" s="100"/>
      <c r="W186" s="100"/>
      <c r="X186" s="100"/>
      <c r="Y186" s="100"/>
      <c r="Z186" s="100"/>
      <c r="AA186" s="100"/>
      <c r="AB186" s="100"/>
      <c r="AC186" s="100"/>
      <c r="AD186" s="100"/>
      <c r="AE186" s="100"/>
      <c r="AF186" s="100"/>
      <c r="AG186" s="100"/>
      <c r="AH186" s="100"/>
      <c r="AI186" s="100"/>
      <c r="AJ186" s="100"/>
    </row>
    <row r="187" spans="1:36" s="189" customFormat="1" ht="19.5" customHeight="1" x14ac:dyDescent="0.3">
      <c r="A187" s="100"/>
      <c r="B187" s="194"/>
      <c r="C187" s="84"/>
      <c r="D187" s="188"/>
      <c r="E187" s="84"/>
      <c r="F187" s="116"/>
      <c r="G187" s="163"/>
      <c r="H187" s="163"/>
      <c r="I187" s="151"/>
      <c r="J187" s="118"/>
      <c r="K187" s="162"/>
      <c r="L187" s="162"/>
      <c r="M187" s="162"/>
      <c r="N187" s="164"/>
      <c r="O187" s="165"/>
      <c r="P187" s="165"/>
      <c r="Q187" s="165"/>
      <c r="R187" s="166"/>
      <c r="S187" s="121"/>
      <c r="T187" s="155"/>
      <c r="U187" s="100"/>
      <c r="V187" s="100"/>
      <c r="W187" s="100"/>
      <c r="X187" s="100"/>
      <c r="Y187" s="100"/>
      <c r="Z187" s="100"/>
      <c r="AA187" s="100"/>
      <c r="AB187" s="100"/>
      <c r="AC187" s="100"/>
      <c r="AD187" s="100"/>
      <c r="AE187" s="100"/>
      <c r="AF187" s="100"/>
      <c r="AG187" s="100"/>
      <c r="AH187" s="100"/>
      <c r="AI187" s="100"/>
      <c r="AJ187" s="100"/>
    </row>
    <row r="188" spans="1:36" s="189" customFormat="1" ht="19.5" customHeight="1" x14ac:dyDescent="0.3">
      <c r="A188" s="100"/>
      <c r="B188" s="194"/>
      <c r="C188" s="84"/>
      <c r="D188" s="188"/>
      <c r="E188" s="84"/>
      <c r="F188" s="116"/>
      <c r="G188" s="163"/>
      <c r="H188" s="163"/>
      <c r="I188" s="151"/>
      <c r="J188" s="118"/>
      <c r="K188" s="162"/>
      <c r="L188" s="162"/>
      <c r="M188" s="162"/>
      <c r="N188" s="164"/>
      <c r="O188" s="165"/>
      <c r="P188" s="165"/>
      <c r="Q188" s="165"/>
      <c r="R188" s="166"/>
      <c r="S188" s="121"/>
      <c r="T188" s="155"/>
      <c r="U188" s="100"/>
      <c r="V188" s="100"/>
      <c r="W188" s="100"/>
      <c r="X188" s="100"/>
      <c r="Y188" s="100"/>
      <c r="Z188" s="100"/>
      <c r="AA188" s="100"/>
      <c r="AB188" s="100"/>
      <c r="AC188" s="100"/>
      <c r="AD188" s="100"/>
      <c r="AE188" s="100"/>
      <c r="AF188" s="100"/>
      <c r="AG188" s="100"/>
      <c r="AH188" s="100"/>
      <c r="AI188" s="100"/>
      <c r="AJ188" s="100"/>
    </row>
    <row r="189" spans="1:36" s="189" customFormat="1" ht="19.5" customHeight="1" x14ac:dyDescent="0.3">
      <c r="A189" s="100"/>
      <c r="B189" s="192"/>
      <c r="C189" s="192"/>
      <c r="D189" s="188"/>
      <c r="E189" s="84"/>
      <c r="F189" s="116"/>
      <c r="G189" s="163"/>
      <c r="H189" s="163"/>
      <c r="I189" s="151"/>
      <c r="J189" s="118"/>
      <c r="K189" s="162"/>
      <c r="L189" s="162"/>
      <c r="M189" s="162"/>
      <c r="N189" s="164"/>
      <c r="O189" s="165"/>
      <c r="P189" s="165"/>
      <c r="Q189" s="165"/>
      <c r="R189" s="166"/>
      <c r="S189" s="121"/>
      <c r="T189" s="155"/>
      <c r="U189" s="100"/>
      <c r="V189" s="100"/>
      <c r="W189" s="100"/>
      <c r="X189" s="100"/>
      <c r="Y189" s="100"/>
      <c r="Z189" s="100"/>
      <c r="AA189" s="100"/>
      <c r="AB189" s="100"/>
      <c r="AC189" s="100"/>
      <c r="AD189" s="100"/>
      <c r="AE189" s="100"/>
      <c r="AF189" s="100"/>
      <c r="AG189" s="100"/>
      <c r="AH189" s="100"/>
      <c r="AI189" s="100"/>
      <c r="AJ189" s="100"/>
    </row>
    <row r="190" spans="1:36" s="189" customFormat="1" ht="19.5" customHeight="1" x14ac:dyDescent="0.3">
      <c r="A190" s="100"/>
      <c r="B190" s="192"/>
      <c r="C190" s="192"/>
      <c r="D190" s="188"/>
      <c r="E190" s="192"/>
      <c r="F190" s="116"/>
      <c r="G190" s="163"/>
      <c r="H190" s="163"/>
      <c r="I190" s="151"/>
      <c r="J190" s="118"/>
      <c r="K190" s="162"/>
      <c r="L190" s="162"/>
      <c r="M190" s="162"/>
      <c r="N190" s="164"/>
      <c r="O190" s="165"/>
      <c r="P190" s="165"/>
      <c r="Q190" s="165"/>
      <c r="R190" s="166"/>
      <c r="S190" s="121"/>
      <c r="T190" s="155"/>
      <c r="U190" s="100"/>
      <c r="V190" s="100"/>
      <c r="W190" s="100"/>
      <c r="X190" s="100"/>
      <c r="Y190" s="100"/>
      <c r="Z190" s="100"/>
      <c r="AA190" s="100"/>
      <c r="AB190" s="100"/>
      <c r="AC190" s="100"/>
      <c r="AD190" s="100"/>
      <c r="AE190" s="100"/>
      <c r="AF190" s="100"/>
      <c r="AG190" s="100"/>
      <c r="AH190" s="100"/>
      <c r="AI190" s="100"/>
      <c r="AJ190" s="100"/>
    </row>
    <row r="191" spans="1:36" s="148" customFormat="1" ht="19.5" customHeight="1" x14ac:dyDescent="0.3">
      <c r="A191" s="138"/>
      <c r="B191" s="139"/>
      <c r="C191" s="139"/>
      <c r="D191" s="143"/>
      <c r="E191" s="158"/>
      <c r="F191" s="158"/>
      <c r="G191" s="158"/>
      <c r="H191" s="158"/>
      <c r="I191" s="142"/>
      <c r="J191" s="143"/>
      <c r="K191" s="143"/>
      <c r="L191" s="143"/>
      <c r="M191" s="143"/>
      <c r="N191" s="159"/>
      <c r="O191" s="145"/>
      <c r="P191" s="145"/>
      <c r="Q191" s="145"/>
      <c r="R191" s="146"/>
      <c r="S191" s="147"/>
      <c r="T191" s="155"/>
      <c r="U191" s="138"/>
      <c r="V191" s="138"/>
      <c r="W191" s="138"/>
      <c r="X191" s="138"/>
      <c r="Y191" s="138"/>
      <c r="Z191" s="138"/>
      <c r="AA191" s="138"/>
      <c r="AB191" s="138"/>
      <c r="AC191" s="138"/>
      <c r="AD191" s="138"/>
      <c r="AE191" s="138"/>
      <c r="AF191" s="138"/>
      <c r="AG191" s="138"/>
      <c r="AH191" s="138"/>
      <c r="AI191" s="138"/>
      <c r="AJ191" s="138"/>
    </row>
    <row r="192" spans="1:36" ht="19.5" customHeight="1" x14ac:dyDescent="0.3">
      <c r="A192" s="76"/>
      <c r="B192" s="195"/>
      <c r="C192" s="196"/>
      <c r="D192" s="162"/>
      <c r="E192" s="196"/>
      <c r="F192" s="116"/>
      <c r="G192" s="116"/>
      <c r="H192" s="163"/>
      <c r="I192" s="151"/>
      <c r="J192" s="127"/>
      <c r="K192" s="162"/>
      <c r="L192" s="162"/>
      <c r="M192" s="162"/>
      <c r="N192" s="164"/>
      <c r="O192" s="165"/>
      <c r="P192" s="165"/>
      <c r="Q192" s="165"/>
      <c r="R192" s="166"/>
      <c r="S192" s="83"/>
      <c r="T192" s="155"/>
      <c r="U192" s="76"/>
      <c r="V192" s="76"/>
      <c r="W192" s="76"/>
      <c r="X192" s="76"/>
      <c r="Y192" s="76"/>
      <c r="Z192" s="76"/>
      <c r="AA192" s="76"/>
      <c r="AB192" s="76"/>
      <c r="AC192" s="76"/>
      <c r="AD192" s="76"/>
      <c r="AE192" s="76"/>
      <c r="AF192" s="76"/>
      <c r="AG192" s="76"/>
      <c r="AH192" s="76"/>
      <c r="AI192" s="76"/>
      <c r="AJ192" s="76"/>
    </row>
    <row r="193" spans="1:36" ht="19.5" customHeight="1" x14ac:dyDescent="0.3">
      <c r="A193" s="76"/>
      <c r="B193" s="149"/>
      <c r="C193" s="150"/>
      <c r="D193" s="162"/>
      <c r="E193" s="150"/>
      <c r="F193" s="116"/>
      <c r="G193" s="116"/>
      <c r="H193" s="163"/>
      <c r="I193" s="151"/>
      <c r="J193" s="127"/>
      <c r="K193" s="162"/>
      <c r="L193" s="162"/>
      <c r="M193" s="162"/>
      <c r="N193" s="164"/>
      <c r="O193" s="165"/>
      <c r="P193" s="165"/>
      <c r="Q193" s="165"/>
      <c r="R193" s="166"/>
      <c r="S193" s="83"/>
      <c r="T193" s="155"/>
      <c r="U193" s="76"/>
      <c r="V193" s="76"/>
      <c r="W193" s="76"/>
      <c r="X193" s="76"/>
      <c r="Y193" s="76"/>
      <c r="Z193" s="76"/>
      <c r="AA193" s="76"/>
      <c r="AB193" s="76"/>
      <c r="AC193" s="76"/>
      <c r="AD193" s="76"/>
      <c r="AE193" s="76"/>
      <c r="AF193" s="76"/>
      <c r="AG193" s="76"/>
      <c r="AH193" s="76"/>
      <c r="AI193" s="76"/>
      <c r="AJ193" s="76"/>
    </row>
    <row r="194" spans="1:36" ht="19.5" customHeight="1" x14ac:dyDescent="0.3">
      <c r="A194" s="76"/>
      <c r="B194" s="149"/>
      <c r="C194" s="150"/>
      <c r="D194" s="162"/>
      <c r="E194" s="150"/>
      <c r="F194" s="116"/>
      <c r="G194" s="116"/>
      <c r="H194" s="163"/>
      <c r="I194" s="151"/>
      <c r="J194" s="127"/>
      <c r="K194" s="162"/>
      <c r="L194" s="162"/>
      <c r="M194" s="162"/>
      <c r="N194" s="164"/>
      <c r="O194" s="165"/>
      <c r="P194" s="165"/>
      <c r="Q194" s="165"/>
      <c r="R194" s="166"/>
      <c r="S194" s="83"/>
      <c r="T194" s="155"/>
      <c r="U194" s="76"/>
      <c r="V194" s="76"/>
      <c r="W194" s="76"/>
      <c r="X194" s="76"/>
      <c r="Y194" s="76"/>
      <c r="Z194" s="76"/>
      <c r="AA194" s="76"/>
      <c r="AB194" s="76"/>
      <c r="AC194" s="76"/>
      <c r="AD194" s="76"/>
      <c r="AE194" s="76"/>
      <c r="AF194" s="76"/>
      <c r="AG194" s="76"/>
      <c r="AH194" s="76"/>
      <c r="AI194" s="76"/>
      <c r="AJ194" s="76"/>
    </row>
    <row r="195" spans="1:36" ht="19.5" customHeight="1" x14ac:dyDescent="0.3">
      <c r="A195" s="76"/>
      <c r="B195" s="149"/>
      <c r="C195" s="150"/>
      <c r="D195" s="162"/>
      <c r="E195" s="150"/>
      <c r="F195" s="116"/>
      <c r="G195" s="116"/>
      <c r="H195" s="163"/>
      <c r="I195" s="151"/>
      <c r="J195" s="127"/>
      <c r="K195" s="162"/>
      <c r="L195" s="162"/>
      <c r="M195" s="162"/>
      <c r="N195" s="164"/>
      <c r="O195" s="165"/>
      <c r="P195" s="165"/>
      <c r="Q195" s="165"/>
      <c r="R195" s="166"/>
      <c r="S195" s="83"/>
      <c r="T195" s="155"/>
      <c r="U195" s="76"/>
      <c r="V195" s="76"/>
      <c r="W195" s="76"/>
      <c r="X195" s="76"/>
      <c r="Y195" s="76"/>
      <c r="Z195" s="76"/>
      <c r="AA195" s="76"/>
      <c r="AB195" s="76"/>
      <c r="AC195" s="76"/>
      <c r="AD195" s="76"/>
      <c r="AE195" s="76"/>
      <c r="AF195" s="76"/>
      <c r="AG195" s="76"/>
      <c r="AH195" s="76"/>
      <c r="AI195" s="76"/>
      <c r="AJ195" s="76"/>
    </row>
    <row r="196" spans="1:36" ht="19.5" customHeight="1" x14ac:dyDescent="0.3">
      <c r="A196" s="76"/>
      <c r="B196" s="149"/>
      <c r="C196" s="150"/>
      <c r="D196" s="162"/>
      <c r="E196" s="150"/>
      <c r="F196" s="116"/>
      <c r="G196" s="116"/>
      <c r="H196" s="163"/>
      <c r="I196" s="151"/>
      <c r="J196" s="127"/>
      <c r="K196" s="162"/>
      <c r="L196" s="162"/>
      <c r="M196" s="162"/>
      <c r="N196" s="164"/>
      <c r="O196" s="165"/>
      <c r="P196" s="165"/>
      <c r="Q196" s="165"/>
      <c r="R196" s="166"/>
      <c r="S196" s="83"/>
      <c r="T196" s="155"/>
      <c r="U196" s="76"/>
      <c r="V196" s="76"/>
      <c r="W196" s="76"/>
      <c r="X196" s="76"/>
      <c r="Y196" s="76"/>
      <c r="Z196" s="76"/>
      <c r="AA196" s="76"/>
      <c r="AB196" s="76"/>
      <c r="AC196" s="76"/>
      <c r="AD196" s="76"/>
      <c r="AE196" s="76"/>
      <c r="AF196" s="76"/>
      <c r="AG196" s="76"/>
      <c r="AH196" s="76"/>
      <c r="AI196" s="76"/>
      <c r="AJ196" s="76"/>
    </row>
    <row r="197" spans="1:36" ht="19.5" customHeight="1" x14ac:dyDescent="0.3">
      <c r="A197" s="76"/>
      <c r="B197" s="149"/>
      <c r="C197" s="150"/>
      <c r="D197" s="162"/>
      <c r="E197" s="150"/>
      <c r="F197" s="116"/>
      <c r="G197" s="116"/>
      <c r="H197" s="163"/>
      <c r="I197" s="151"/>
      <c r="J197" s="127"/>
      <c r="K197" s="162"/>
      <c r="L197" s="162"/>
      <c r="M197" s="162"/>
      <c r="N197" s="164"/>
      <c r="O197" s="165"/>
      <c r="P197" s="165"/>
      <c r="Q197" s="165"/>
      <c r="R197" s="166"/>
      <c r="S197" s="83"/>
      <c r="T197" s="155"/>
      <c r="U197" s="76"/>
      <c r="V197" s="76"/>
      <c r="W197" s="76"/>
      <c r="X197" s="76"/>
      <c r="Y197" s="76"/>
      <c r="Z197" s="76"/>
      <c r="AA197" s="76"/>
      <c r="AB197" s="76"/>
      <c r="AC197" s="76"/>
      <c r="AD197" s="76"/>
      <c r="AE197" s="76"/>
      <c r="AF197" s="76"/>
      <c r="AG197" s="76"/>
      <c r="AH197" s="76"/>
      <c r="AI197" s="76"/>
      <c r="AJ197" s="76"/>
    </row>
    <row r="198" spans="1:36" ht="19.5" customHeight="1" x14ac:dyDescent="0.3">
      <c r="A198" s="76"/>
      <c r="B198" s="162"/>
      <c r="C198" s="162"/>
      <c r="D198" s="162"/>
      <c r="E198" s="163"/>
      <c r="F198" s="116"/>
      <c r="G198" s="163"/>
      <c r="H198" s="163"/>
      <c r="I198" s="151"/>
      <c r="J198" s="127"/>
      <c r="K198" s="162"/>
      <c r="L198" s="162"/>
      <c r="M198" s="162"/>
      <c r="N198" s="164"/>
      <c r="O198" s="165"/>
      <c r="P198" s="165"/>
      <c r="Q198" s="165"/>
      <c r="R198" s="166"/>
      <c r="S198" s="83"/>
      <c r="T198" s="155"/>
      <c r="U198" s="76"/>
      <c r="V198" s="76"/>
      <c r="W198" s="76"/>
      <c r="X198" s="76"/>
      <c r="Y198" s="76"/>
      <c r="Z198" s="76"/>
      <c r="AA198" s="76"/>
      <c r="AB198" s="76"/>
      <c r="AC198" s="76"/>
      <c r="AD198" s="76"/>
      <c r="AE198" s="76"/>
      <c r="AF198" s="76"/>
      <c r="AG198" s="76"/>
      <c r="AH198" s="76"/>
      <c r="AI198" s="76"/>
      <c r="AJ198" s="76"/>
    </row>
    <row r="199" spans="1:36" s="148" customFormat="1" ht="19.5" customHeight="1" x14ac:dyDescent="0.3">
      <c r="A199" s="138"/>
      <c r="B199" s="139"/>
      <c r="C199" s="139"/>
      <c r="D199" s="143"/>
      <c r="E199" s="158"/>
      <c r="F199" s="158"/>
      <c r="G199" s="158"/>
      <c r="H199" s="158"/>
      <c r="I199" s="142"/>
      <c r="J199" s="143"/>
      <c r="K199" s="143"/>
      <c r="L199" s="143"/>
      <c r="M199" s="143"/>
      <c r="N199" s="159"/>
      <c r="O199" s="145"/>
      <c r="P199" s="145"/>
      <c r="Q199" s="145"/>
      <c r="R199" s="146"/>
      <c r="S199" s="147"/>
      <c r="T199" s="155"/>
      <c r="U199" s="138"/>
      <c r="V199" s="138"/>
      <c r="W199" s="138"/>
      <c r="X199" s="138"/>
      <c r="Y199" s="138"/>
      <c r="Z199" s="138"/>
      <c r="AA199" s="138"/>
      <c r="AB199" s="138"/>
      <c r="AC199" s="138"/>
      <c r="AD199" s="138"/>
      <c r="AE199" s="138"/>
      <c r="AF199" s="138"/>
      <c r="AG199" s="138"/>
      <c r="AH199" s="138"/>
      <c r="AI199" s="138"/>
      <c r="AJ199" s="138"/>
    </row>
    <row r="200" spans="1:36" ht="19.5" customHeight="1" x14ac:dyDescent="0.3">
      <c r="A200" s="100"/>
      <c r="B200" s="173"/>
      <c r="C200" s="174"/>
      <c r="D200" s="186"/>
      <c r="E200" s="175"/>
      <c r="F200" s="116"/>
      <c r="G200" s="116"/>
      <c r="H200" s="163"/>
      <c r="I200" s="151"/>
      <c r="J200" s="118"/>
      <c r="K200" s="162"/>
      <c r="L200" s="162"/>
      <c r="M200" s="162"/>
      <c r="N200" s="164"/>
      <c r="O200" s="165"/>
      <c r="P200" s="165"/>
      <c r="Q200" s="165"/>
      <c r="R200" s="166"/>
      <c r="S200" s="121"/>
      <c r="T200" s="155"/>
      <c r="U200" s="100"/>
      <c r="V200" s="100"/>
      <c r="W200" s="100"/>
      <c r="X200" s="100"/>
      <c r="Y200" s="100"/>
      <c r="Z200" s="100"/>
      <c r="AA200" s="100"/>
      <c r="AB200" s="100"/>
      <c r="AC200" s="100"/>
      <c r="AD200" s="100"/>
      <c r="AE200" s="100"/>
      <c r="AF200" s="100"/>
      <c r="AG200" s="100"/>
      <c r="AH200" s="100"/>
      <c r="AI200" s="100"/>
      <c r="AJ200" s="100"/>
    </row>
    <row r="201" spans="1:36" ht="19.5" customHeight="1" x14ac:dyDescent="0.3">
      <c r="A201" s="100"/>
      <c r="B201" s="173"/>
      <c r="C201" s="174"/>
      <c r="D201" s="186"/>
      <c r="E201" s="175"/>
      <c r="F201" s="116"/>
      <c r="G201" s="116"/>
      <c r="H201" s="163"/>
      <c r="I201" s="151"/>
      <c r="J201" s="118"/>
      <c r="K201" s="162"/>
      <c r="L201" s="162"/>
      <c r="M201" s="162"/>
      <c r="N201" s="164"/>
      <c r="O201" s="165"/>
      <c r="P201" s="165"/>
      <c r="Q201" s="165"/>
      <c r="R201" s="166"/>
      <c r="S201" s="121"/>
      <c r="T201" s="155"/>
      <c r="U201" s="100"/>
      <c r="V201" s="100"/>
      <c r="W201" s="100"/>
      <c r="X201" s="100"/>
      <c r="Y201" s="100"/>
      <c r="Z201" s="100"/>
      <c r="AA201" s="100"/>
      <c r="AB201" s="100"/>
      <c r="AC201" s="100"/>
      <c r="AD201" s="100"/>
      <c r="AE201" s="100"/>
      <c r="AF201" s="100"/>
      <c r="AG201" s="100"/>
      <c r="AH201" s="100"/>
      <c r="AI201" s="100"/>
      <c r="AJ201" s="100"/>
    </row>
    <row r="202" spans="1:36" ht="19.5" customHeight="1" x14ac:dyDescent="0.3">
      <c r="A202" s="100"/>
      <c r="B202" s="173"/>
      <c r="C202" s="174"/>
      <c r="D202" s="186"/>
      <c r="E202" s="175"/>
      <c r="F202" s="116"/>
      <c r="G202" s="116"/>
      <c r="H202" s="163"/>
      <c r="I202" s="151"/>
      <c r="J202" s="118"/>
      <c r="K202" s="162"/>
      <c r="L202" s="162"/>
      <c r="M202" s="162"/>
      <c r="N202" s="164"/>
      <c r="O202" s="165"/>
      <c r="P202" s="165"/>
      <c r="Q202" s="165"/>
      <c r="R202" s="166"/>
      <c r="S202" s="121"/>
      <c r="T202" s="155"/>
      <c r="U202" s="100"/>
      <c r="V202" s="100"/>
      <c r="W202" s="100"/>
      <c r="X202" s="100"/>
      <c r="Y202" s="100"/>
      <c r="Z202" s="100"/>
      <c r="AA202" s="100"/>
      <c r="AB202" s="100"/>
      <c r="AC202" s="100"/>
      <c r="AD202" s="100"/>
      <c r="AE202" s="100"/>
      <c r="AF202" s="100"/>
      <c r="AG202" s="100"/>
      <c r="AH202" s="100"/>
      <c r="AI202" s="100"/>
      <c r="AJ202" s="100"/>
    </row>
    <row r="203" spans="1:36" ht="19.5" customHeight="1" x14ac:dyDescent="0.3">
      <c r="A203" s="100"/>
      <c r="B203" s="173"/>
      <c r="C203" s="174"/>
      <c r="D203" s="186"/>
      <c r="E203" s="175"/>
      <c r="F203" s="116"/>
      <c r="G203" s="116"/>
      <c r="H203" s="163"/>
      <c r="I203" s="151"/>
      <c r="J203" s="118"/>
      <c r="K203" s="162"/>
      <c r="L203" s="162"/>
      <c r="M203" s="162"/>
      <c r="N203" s="164"/>
      <c r="O203" s="165"/>
      <c r="P203" s="165"/>
      <c r="Q203" s="165"/>
      <c r="R203" s="166"/>
      <c r="S203" s="121"/>
      <c r="T203" s="155"/>
      <c r="U203" s="100"/>
      <c r="V203" s="100"/>
      <c r="W203" s="100"/>
      <c r="X203" s="100"/>
      <c r="Y203" s="100"/>
      <c r="Z203" s="100"/>
      <c r="AA203" s="100"/>
      <c r="AB203" s="100"/>
      <c r="AC203" s="100"/>
      <c r="AD203" s="100"/>
      <c r="AE203" s="100"/>
      <c r="AF203" s="100"/>
      <c r="AG203" s="100"/>
      <c r="AH203" s="100"/>
      <c r="AI203" s="100"/>
      <c r="AJ203" s="100"/>
    </row>
    <row r="204" spans="1:36" ht="19.5" customHeight="1" x14ac:dyDescent="0.3">
      <c r="A204" s="100"/>
      <c r="B204" s="173"/>
      <c r="C204" s="174"/>
      <c r="D204" s="186"/>
      <c r="E204" s="175"/>
      <c r="F204" s="116"/>
      <c r="G204" s="116"/>
      <c r="H204" s="163"/>
      <c r="I204" s="151"/>
      <c r="J204" s="118"/>
      <c r="K204" s="162"/>
      <c r="L204" s="162"/>
      <c r="M204" s="162"/>
      <c r="N204" s="164"/>
      <c r="O204" s="165"/>
      <c r="P204" s="165"/>
      <c r="Q204" s="165"/>
      <c r="R204" s="166"/>
      <c r="S204" s="121"/>
      <c r="T204" s="155"/>
      <c r="U204" s="100"/>
      <c r="V204" s="100"/>
      <c r="W204" s="100"/>
      <c r="X204" s="100"/>
      <c r="Y204" s="100"/>
      <c r="Z204" s="100"/>
      <c r="AA204" s="100"/>
      <c r="AB204" s="100"/>
      <c r="AC204" s="100"/>
      <c r="AD204" s="100"/>
      <c r="AE204" s="100"/>
      <c r="AF204" s="100"/>
      <c r="AG204" s="100"/>
      <c r="AH204" s="100"/>
      <c r="AI204" s="100"/>
      <c r="AJ204" s="100"/>
    </row>
    <row r="205" spans="1:36" ht="19.5" customHeight="1" x14ac:dyDescent="0.3">
      <c r="A205" s="100"/>
      <c r="B205" s="173"/>
      <c r="C205" s="174"/>
      <c r="D205" s="186"/>
      <c r="E205" s="175"/>
      <c r="F205" s="116"/>
      <c r="G205" s="116"/>
      <c r="H205" s="163"/>
      <c r="I205" s="151"/>
      <c r="J205" s="118"/>
      <c r="K205" s="162"/>
      <c r="L205" s="162"/>
      <c r="M205" s="162"/>
      <c r="N205" s="164"/>
      <c r="O205" s="165"/>
      <c r="P205" s="165"/>
      <c r="Q205" s="165"/>
      <c r="R205" s="166"/>
      <c r="S205" s="121"/>
      <c r="T205" s="155"/>
      <c r="U205" s="100"/>
      <c r="V205" s="100"/>
      <c r="W205" s="100"/>
      <c r="X205" s="100"/>
      <c r="Y205" s="100"/>
      <c r="Z205" s="100"/>
      <c r="AA205" s="100"/>
      <c r="AB205" s="100"/>
      <c r="AC205" s="100"/>
      <c r="AD205" s="100"/>
      <c r="AE205" s="100"/>
      <c r="AF205" s="100"/>
      <c r="AG205" s="100"/>
      <c r="AH205" s="100"/>
      <c r="AI205" s="100"/>
      <c r="AJ205" s="100"/>
    </row>
    <row r="206" spans="1:36" ht="19.5" customHeight="1" x14ac:dyDescent="0.3">
      <c r="A206" s="100"/>
      <c r="B206" s="173"/>
      <c r="C206" s="174"/>
      <c r="D206" s="186"/>
      <c r="E206" s="175"/>
      <c r="F206" s="116"/>
      <c r="G206" s="116"/>
      <c r="H206" s="163"/>
      <c r="I206" s="151"/>
      <c r="J206" s="118"/>
      <c r="K206" s="162"/>
      <c r="L206" s="162"/>
      <c r="M206" s="162"/>
      <c r="N206" s="164"/>
      <c r="O206" s="165"/>
      <c r="P206" s="165"/>
      <c r="Q206" s="165"/>
      <c r="R206" s="166"/>
      <c r="S206" s="121"/>
      <c r="T206" s="155"/>
      <c r="U206" s="100"/>
      <c r="V206" s="100"/>
      <c r="W206" s="100"/>
      <c r="X206" s="100"/>
      <c r="Y206" s="100"/>
      <c r="Z206" s="100"/>
      <c r="AA206" s="100"/>
      <c r="AB206" s="100"/>
      <c r="AC206" s="100"/>
      <c r="AD206" s="100"/>
      <c r="AE206" s="100"/>
      <c r="AF206" s="100"/>
      <c r="AG206" s="100"/>
      <c r="AH206" s="100"/>
      <c r="AI206" s="100"/>
      <c r="AJ206" s="100"/>
    </row>
    <row r="207" spans="1:36" ht="19.5" customHeight="1" x14ac:dyDescent="0.3">
      <c r="A207" s="100"/>
      <c r="B207" s="173"/>
      <c r="C207" s="174"/>
      <c r="D207" s="186"/>
      <c r="E207" s="175"/>
      <c r="F207" s="116"/>
      <c r="G207" s="116"/>
      <c r="H207" s="163"/>
      <c r="I207" s="151"/>
      <c r="J207" s="118"/>
      <c r="K207" s="162"/>
      <c r="L207" s="162"/>
      <c r="M207" s="162"/>
      <c r="N207" s="164"/>
      <c r="O207" s="165"/>
      <c r="P207" s="165"/>
      <c r="Q207" s="165"/>
      <c r="R207" s="166"/>
      <c r="S207" s="121"/>
      <c r="T207" s="155"/>
      <c r="U207" s="100"/>
      <c r="V207" s="100"/>
      <c r="W207" s="100"/>
      <c r="X207" s="100"/>
      <c r="Y207" s="100"/>
      <c r="Z207" s="100"/>
      <c r="AA207" s="100"/>
      <c r="AB207" s="100"/>
      <c r="AC207" s="100"/>
      <c r="AD207" s="100"/>
      <c r="AE207" s="100"/>
      <c r="AF207" s="100"/>
      <c r="AG207" s="100"/>
      <c r="AH207" s="100"/>
      <c r="AI207" s="100"/>
      <c r="AJ207" s="100"/>
    </row>
    <row r="208" spans="1:36" ht="19.5" customHeight="1" x14ac:dyDescent="0.3">
      <c r="A208" s="100"/>
      <c r="B208" s="173"/>
      <c r="C208" s="174"/>
      <c r="D208" s="186"/>
      <c r="E208" s="175"/>
      <c r="F208" s="116"/>
      <c r="G208" s="116"/>
      <c r="H208" s="163"/>
      <c r="I208" s="151"/>
      <c r="J208" s="118"/>
      <c r="K208" s="162"/>
      <c r="L208" s="162"/>
      <c r="M208" s="162"/>
      <c r="N208" s="164"/>
      <c r="O208" s="165"/>
      <c r="P208" s="165"/>
      <c r="Q208" s="165"/>
      <c r="R208" s="166"/>
      <c r="S208" s="121"/>
      <c r="T208" s="155"/>
      <c r="U208" s="100"/>
      <c r="V208" s="100"/>
      <c r="W208" s="100"/>
      <c r="X208" s="100"/>
      <c r="Y208" s="100"/>
      <c r="Z208" s="100"/>
      <c r="AA208" s="100"/>
      <c r="AB208" s="100"/>
      <c r="AC208" s="100"/>
      <c r="AD208" s="100"/>
      <c r="AE208" s="100"/>
      <c r="AF208" s="100"/>
      <c r="AG208" s="100"/>
      <c r="AH208" s="100"/>
      <c r="AI208" s="100"/>
      <c r="AJ208" s="100"/>
    </row>
    <row r="209" spans="1:36" ht="19.5" customHeight="1" x14ac:dyDescent="0.3">
      <c r="A209" s="100"/>
      <c r="B209" s="173"/>
      <c r="C209" s="174"/>
      <c r="D209" s="186"/>
      <c r="E209" s="175"/>
      <c r="F209" s="116"/>
      <c r="G209" s="116"/>
      <c r="H209" s="163"/>
      <c r="I209" s="151"/>
      <c r="J209" s="118"/>
      <c r="K209" s="162"/>
      <c r="L209" s="162"/>
      <c r="M209" s="162"/>
      <c r="N209" s="164"/>
      <c r="O209" s="165"/>
      <c r="P209" s="165"/>
      <c r="Q209" s="165"/>
      <c r="R209" s="166"/>
      <c r="S209" s="121"/>
      <c r="T209" s="155"/>
      <c r="U209" s="100"/>
      <c r="V209" s="100"/>
      <c r="W209" s="100"/>
      <c r="X209" s="100"/>
      <c r="Y209" s="100"/>
      <c r="Z209" s="100"/>
      <c r="AA209" s="100"/>
      <c r="AB209" s="100"/>
      <c r="AC209" s="100"/>
      <c r="AD209" s="100"/>
      <c r="AE209" s="100"/>
      <c r="AF209" s="100"/>
      <c r="AG209" s="100"/>
      <c r="AH209" s="100"/>
      <c r="AI209" s="100"/>
      <c r="AJ209" s="100"/>
    </row>
    <row r="210" spans="1:36" ht="19.5" customHeight="1" x14ac:dyDescent="0.3">
      <c r="A210" s="100"/>
      <c r="B210" s="173"/>
      <c r="C210" s="174"/>
      <c r="D210" s="186"/>
      <c r="E210" s="175"/>
      <c r="F210" s="116"/>
      <c r="G210" s="116"/>
      <c r="H210" s="163"/>
      <c r="I210" s="151"/>
      <c r="J210" s="118"/>
      <c r="K210" s="162"/>
      <c r="L210" s="162"/>
      <c r="M210" s="162"/>
      <c r="N210" s="164"/>
      <c r="O210" s="165"/>
      <c r="P210" s="165"/>
      <c r="Q210" s="165"/>
      <c r="R210" s="166"/>
      <c r="S210" s="121"/>
      <c r="T210" s="155"/>
      <c r="U210" s="100"/>
      <c r="V210" s="100"/>
      <c r="W210" s="100"/>
      <c r="X210" s="100"/>
      <c r="Y210" s="100"/>
      <c r="Z210" s="100"/>
      <c r="AA210" s="100"/>
      <c r="AB210" s="100"/>
      <c r="AC210" s="100"/>
      <c r="AD210" s="100"/>
      <c r="AE210" s="100"/>
      <c r="AF210" s="100"/>
      <c r="AG210" s="100"/>
      <c r="AH210" s="100"/>
      <c r="AI210" s="100"/>
      <c r="AJ210" s="100"/>
    </row>
    <row r="211" spans="1:36" ht="19.5" customHeight="1" x14ac:dyDescent="0.3">
      <c r="A211" s="100"/>
      <c r="B211" s="173"/>
      <c r="C211" s="174"/>
      <c r="D211" s="186"/>
      <c r="E211" s="175"/>
      <c r="F211" s="116"/>
      <c r="G211" s="116"/>
      <c r="H211" s="163"/>
      <c r="I211" s="151"/>
      <c r="J211" s="118"/>
      <c r="K211" s="162"/>
      <c r="L211" s="162"/>
      <c r="M211" s="162"/>
      <c r="N211" s="164"/>
      <c r="O211" s="165"/>
      <c r="P211" s="165"/>
      <c r="Q211" s="165"/>
      <c r="R211" s="166"/>
      <c r="S211" s="121"/>
      <c r="T211" s="155"/>
      <c r="U211" s="100"/>
      <c r="V211" s="100"/>
      <c r="W211" s="100"/>
      <c r="X211" s="100"/>
      <c r="Y211" s="100"/>
      <c r="Z211" s="100"/>
      <c r="AA211" s="100"/>
      <c r="AB211" s="100"/>
      <c r="AC211" s="100"/>
      <c r="AD211" s="100"/>
      <c r="AE211" s="100"/>
      <c r="AF211" s="100"/>
      <c r="AG211" s="100"/>
      <c r="AH211" s="100"/>
      <c r="AI211" s="100"/>
      <c r="AJ211" s="100"/>
    </row>
    <row r="212" spans="1:36" ht="19.5" customHeight="1" x14ac:dyDescent="0.3">
      <c r="A212" s="100"/>
      <c r="B212" s="173"/>
      <c r="C212" s="174"/>
      <c r="D212" s="186"/>
      <c r="E212" s="175"/>
      <c r="F212" s="116"/>
      <c r="G212" s="116"/>
      <c r="H212" s="163"/>
      <c r="I212" s="151"/>
      <c r="J212" s="118"/>
      <c r="K212" s="162"/>
      <c r="L212" s="162"/>
      <c r="M212" s="162"/>
      <c r="N212" s="164"/>
      <c r="O212" s="165"/>
      <c r="P212" s="165"/>
      <c r="Q212" s="165"/>
      <c r="R212" s="166"/>
      <c r="S212" s="121"/>
      <c r="T212" s="155"/>
      <c r="U212" s="100"/>
      <c r="V212" s="100"/>
      <c r="W212" s="100"/>
      <c r="X212" s="100"/>
      <c r="Y212" s="100"/>
      <c r="Z212" s="100"/>
      <c r="AA212" s="100"/>
      <c r="AB212" s="100"/>
      <c r="AC212" s="100"/>
      <c r="AD212" s="100"/>
      <c r="AE212" s="100"/>
      <c r="AF212" s="100"/>
      <c r="AG212" s="100"/>
      <c r="AH212" s="100"/>
      <c r="AI212" s="100"/>
      <c r="AJ212" s="100"/>
    </row>
    <row r="213" spans="1:36" ht="19.5" customHeight="1" x14ac:dyDescent="0.3">
      <c r="A213" s="100"/>
      <c r="B213" s="173"/>
      <c r="C213" s="174"/>
      <c r="D213" s="186"/>
      <c r="E213" s="175"/>
      <c r="F213" s="116"/>
      <c r="G213" s="116"/>
      <c r="H213" s="163"/>
      <c r="I213" s="151"/>
      <c r="J213" s="118"/>
      <c r="K213" s="162"/>
      <c r="L213" s="162"/>
      <c r="M213" s="162"/>
      <c r="N213" s="164"/>
      <c r="O213" s="165"/>
      <c r="P213" s="165"/>
      <c r="Q213" s="165"/>
      <c r="R213" s="166"/>
      <c r="S213" s="121"/>
      <c r="T213" s="155"/>
      <c r="U213" s="100"/>
      <c r="V213" s="100"/>
      <c r="W213" s="100"/>
      <c r="X213" s="100"/>
      <c r="Y213" s="100"/>
      <c r="Z213" s="100"/>
      <c r="AA213" s="100"/>
      <c r="AB213" s="100"/>
      <c r="AC213" s="100"/>
      <c r="AD213" s="100"/>
      <c r="AE213" s="100"/>
      <c r="AF213" s="100"/>
      <c r="AG213" s="100"/>
      <c r="AH213" s="100"/>
      <c r="AI213" s="100"/>
      <c r="AJ213" s="100"/>
    </row>
    <row r="214" spans="1:36" ht="19.5" customHeight="1" x14ac:dyDescent="0.3">
      <c r="A214" s="100"/>
      <c r="B214" s="173"/>
      <c r="C214" s="174"/>
      <c r="D214" s="186"/>
      <c r="E214" s="175"/>
      <c r="F214" s="116"/>
      <c r="G214" s="116"/>
      <c r="H214" s="163"/>
      <c r="I214" s="151"/>
      <c r="J214" s="118"/>
      <c r="K214" s="162"/>
      <c r="L214" s="162"/>
      <c r="M214" s="162"/>
      <c r="N214" s="164"/>
      <c r="O214" s="165"/>
      <c r="P214" s="165"/>
      <c r="Q214" s="165"/>
      <c r="R214" s="166"/>
      <c r="S214" s="121"/>
      <c r="T214" s="155"/>
      <c r="U214" s="100"/>
      <c r="V214" s="100"/>
      <c r="W214" s="100"/>
      <c r="X214" s="100"/>
      <c r="Y214" s="100"/>
      <c r="Z214" s="100"/>
      <c r="AA214" s="100"/>
      <c r="AB214" s="100"/>
      <c r="AC214" s="100"/>
      <c r="AD214" s="100"/>
      <c r="AE214" s="100"/>
      <c r="AF214" s="100"/>
      <c r="AG214" s="100"/>
      <c r="AH214" s="100"/>
      <c r="AI214" s="100"/>
      <c r="AJ214" s="100"/>
    </row>
    <row r="215" spans="1:36" ht="19.5" customHeight="1" x14ac:dyDescent="0.3">
      <c r="A215" s="100"/>
      <c r="B215" s="173"/>
      <c r="C215" s="174"/>
      <c r="D215" s="186"/>
      <c r="E215" s="175"/>
      <c r="F215" s="116"/>
      <c r="G215" s="116"/>
      <c r="H215" s="163"/>
      <c r="I215" s="151"/>
      <c r="J215" s="118"/>
      <c r="K215" s="162"/>
      <c r="L215" s="162"/>
      <c r="M215" s="162"/>
      <c r="N215" s="164"/>
      <c r="O215" s="165"/>
      <c r="P215" s="165"/>
      <c r="Q215" s="165"/>
      <c r="R215" s="166"/>
      <c r="S215" s="121"/>
      <c r="T215" s="155"/>
      <c r="U215" s="100"/>
      <c r="V215" s="100"/>
      <c r="W215" s="100"/>
      <c r="X215" s="100"/>
      <c r="Y215" s="100"/>
      <c r="Z215" s="100"/>
      <c r="AA215" s="100"/>
      <c r="AB215" s="100"/>
      <c r="AC215" s="100"/>
      <c r="AD215" s="100"/>
      <c r="AE215" s="100"/>
      <c r="AF215" s="100"/>
      <c r="AG215" s="100"/>
      <c r="AH215" s="100"/>
      <c r="AI215" s="100"/>
      <c r="AJ215" s="100"/>
    </row>
    <row r="216" spans="1:36" ht="19.5" customHeight="1" x14ac:dyDescent="0.3">
      <c r="A216" s="100"/>
      <c r="B216" s="173"/>
      <c r="C216" s="174"/>
      <c r="D216" s="186"/>
      <c r="E216" s="175"/>
      <c r="F216" s="116"/>
      <c r="G216" s="116"/>
      <c r="H216" s="163"/>
      <c r="I216" s="151"/>
      <c r="J216" s="118"/>
      <c r="K216" s="162"/>
      <c r="L216" s="162"/>
      <c r="M216" s="162"/>
      <c r="N216" s="164"/>
      <c r="O216" s="165"/>
      <c r="P216" s="165"/>
      <c r="Q216" s="165"/>
      <c r="R216" s="166"/>
      <c r="S216" s="121"/>
      <c r="T216" s="155"/>
      <c r="U216" s="100"/>
      <c r="V216" s="100"/>
      <c r="W216" s="100"/>
      <c r="X216" s="100"/>
      <c r="Y216" s="100"/>
      <c r="Z216" s="100"/>
      <c r="AA216" s="100"/>
      <c r="AB216" s="100"/>
      <c r="AC216" s="100"/>
      <c r="AD216" s="100"/>
      <c r="AE216" s="100"/>
      <c r="AF216" s="100"/>
      <c r="AG216" s="100"/>
      <c r="AH216" s="100"/>
      <c r="AI216" s="100"/>
      <c r="AJ216" s="100"/>
    </row>
    <row r="217" spans="1:36" ht="19.5" customHeight="1" x14ac:dyDescent="0.3">
      <c r="A217" s="100"/>
      <c r="B217" s="173"/>
      <c r="C217" s="174"/>
      <c r="D217" s="186"/>
      <c r="E217" s="175"/>
      <c r="F217" s="116"/>
      <c r="G217" s="116"/>
      <c r="H217" s="163"/>
      <c r="I217" s="151"/>
      <c r="J217" s="118"/>
      <c r="K217" s="162"/>
      <c r="L217" s="162"/>
      <c r="M217" s="162"/>
      <c r="N217" s="164"/>
      <c r="O217" s="165"/>
      <c r="P217" s="165"/>
      <c r="Q217" s="165"/>
      <c r="R217" s="166"/>
      <c r="S217" s="121"/>
      <c r="T217" s="155"/>
      <c r="U217" s="100"/>
      <c r="V217" s="100"/>
      <c r="W217" s="100"/>
      <c r="X217" s="100"/>
      <c r="Y217" s="100"/>
      <c r="Z217" s="100"/>
      <c r="AA217" s="100"/>
      <c r="AB217" s="100"/>
      <c r="AC217" s="100"/>
      <c r="AD217" s="100"/>
      <c r="AE217" s="100"/>
      <c r="AF217" s="100"/>
      <c r="AG217" s="100"/>
      <c r="AH217" s="100"/>
      <c r="AI217" s="100"/>
      <c r="AJ217" s="100"/>
    </row>
    <row r="218" spans="1:36" ht="19.5" customHeight="1" x14ac:dyDescent="0.3">
      <c r="A218" s="100"/>
      <c r="B218" s="173"/>
      <c r="C218" s="174"/>
      <c r="D218" s="186"/>
      <c r="E218" s="175"/>
      <c r="F218" s="116"/>
      <c r="G218" s="163"/>
      <c r="H218" s="163"/>
      <c r="I218" s="151"/>
      <c r="J218" s="118"/>
      <c r="K218" s="162"/>
      <c r="L218" s="162"/>
      <c r="M218" s="162"/>
      <c r="N218" s="164"/>
      <c r="O218" s="165"/>
      <c r="P218" s="165"/>
      <c r="Q218" s="165"/>
      <c r="R218" s="166"/>
      <c r="S218" s="121"/>
      <c r="T218" s="155"/>
      <c r="U218" s="76"/>
      <c r="V218" s="100"/>
      <c r="W218" s="100"/>
      <c r="X218" s="100"/>
      <c r="Y218" s="100"/>
      <c r="Z218" s="100"/>
      <c r="AA218" s="100"/>
      <c r="AB218" s="100"/>
      <c r="AC218" s="100"/>
      <c r="AD218" s="100"/>
      <c r="AE218" s="100"/>
      <c r="AF218" s="100"/>
      <c r="AG218" s="100"/>
      <c r="AH218" s="100"/>
      <c r="AI218" s="100"/>
      <c r="AJ218" s="100"/>
    </row>
    <row r="219" spans="1:36" ht="19.5" customHeight="1" x14ac:dyDescent="0.3">
      <c r="A219" s="100"/>
      <c r="B219" s="177"/>
      <c r="C219" s="178"/>
      <c r="D219" s="197"/>
      <c r="E219" s="178"/>
      <c r="F219" s="180"/>
      <c r="G219" s="163"/>
      <c r="H219" s="163"/>
      <c r="I219" s="151"/>
      <c r="J219" s="118"/>
      <c r="K219" s="162"/>
      <c r="L219" s="162"/>
      <c r="M219" s="162"/>
      <c r="N219" s="164"/>
      <c r="O219" s="165"/>
      <c r="P219" s="165"/>
      <c r="Q219" s="165"/>
      <c r="R219" s="166"/>
      <c r="S219" s="121"/>
      <c r="T219" s="155"/>
      <c r="U219" s="76"/>
      <c r="V219" s="100"/>
      <c r="W219" s="100"/>
      <c r="X219" s="100"/>
      <c r="Y219" s="100"/>
      <c r="Z219" s="100"/>
      <c r="AA219" s="100"/>
      <c r="AB219" s="100"/>
      <c r="AC219" s="100"/>
      <c r="AD219" s="100"/>
      <c r="AE219" s="100"/>
      <c r="AF219" s="100"/>
      <c r="AG219" s="100"/>
      <c r="AH219" s="100"/>
      <c r="AI219" s="100"/>
      <c r="AJ219" s="100"/>
    </row>
    <row r="220" spans="1:36" ht="19.5" customHeight="1" x14ac:dyDescent="0.3">
      <c r="A220" s="100"/>
      <c r="B220" s="177"/>
      <c r="C220" s="178"/>
      <c r="D220" s="197"/>
      <c r="E220" s="178"/>
      <c r="F220" s="180"/>
      <c r="G220" s="163"/>
      <c r="H220" s="163"/>
      <c r="I220" s="151"/>
      <c r="J220" s="118"/>
      <c r="K220" s="162"/>
      <c r="L220" s="162"/>
      <c r="M220" s="162"/>
      <c r="N220" s="164"/>
      <c r="O220" s="165"/>
      <c r="P220" s="165"/>
      <c r="Q220" s="165"/>
      <c r="R220" s="166"/>
      <c r="S220" s="121"/>
      <c r="T220" s="155"/>
      <c r="U220" s="76"/>
      <c r="V220" s="100"/>
      <c r="W220" s="100"/>
      <c r="X220" s="100"/>
      <c r="Y220" s="100"/>
      <c r="Z220" s="100"/>
      <c r="AA220" s="100"/>
      <c r="AB220" s="100"/>
      <c r="AC220" s="100"/>
      <c r="AD220" s="100"/>
      <c r="AE220" s="100"/>
      <c r="AF220" s="100"/>
      <c r="AG220" s="100"/>
      <c r="AH220" s="100"/>
      <c r="AI220" s="100"/>
      <c r="AJ220" s="100"/>
    </row>
    <row r="221" spans="1:36" ht="19.5" customHeight="1" x14ac:dyDescent="0.3">
      <c r="A221" s="100"/>
      <c r="B221" s="173"/>
      <c r="C221" s="173"/>
      <c r="D221" s="186"/>
      <c r="E221" s="175"/>
      <c r="F221" s="116"/>
      <c r="G221" s="163"/>
      <c r="H221" s="163"/>
      <c r="I221" s="151"/>
      <c r="J221" s="118"/>
      <c r="K221" s="162"/>
      <c r="L221" s="162"/>
      <c r="M221" s="162"/>
      <c r="N221" s="164"/>
      <c r="O221" s="165"/>
      <c r="P221" s="165"/>
      <c r="Q221" s="165"/>
      <c r="R221" s="166"/>
      <c r="S221" s="121"/>
      <c r="T221" s="155"/>
      <c r="U221" s="100"/>
      <c r="V221" s="100"/>
      <c r="W221" s="100"/>
      <c r="X221" s="100"/>
      <c r="Y221" s="100"/>
      <c r="Z221" s="100"/>
      <c r="AA221" s="100"/>
      <c r="AB221" s="100"/>
      <c r="AC221" s="100"/>
      <c r="AD221" s="100"/>
      <c r="AE221" s="100"/>
      <c r="AF221" s="100"/>
      <c r="AG221" s="100"/>
      <c r="AH221" s="100"/>
      <c r="AI221" s="100"/>
      <c r="AJ221" s="100"/>
    </row>
    <row r="222" spans="1:36" ht="19.5" customHeight="1" x14ac:dyDescent="0.3">
      <c r="A222" s="100"/>
      <c r="B222" s="173"/>
      <c r="C222" s="174"/>
      <c r="D222" s="186"/>
      <c r="E222" s="175"/>
      <c r="F222" s="116"/>
      <c r="G222" s="163"/>
      <c r="H222" s="163"/>
      <c r="I222" s="151"/>
      <c r="J222" s="118"/>
      <c r="K222" s="162"/>
      <c r="L222" s="162"/>
      <c r="M222" s="162"/>
      <c r="N222" s="164"/>
      <c r="O222" s="165"/>
      <c r="P222" s="165"/>
      <c r="Q222" s="165"/>
      <c r="R222" s="166"/>
      <c r="S222" s="121"/>
      <c r="T222" s="155"/>
      <c r="U222" s="100"/>
      <c r="V222" s="100"/>
      <c r="W222" s="100"/>
      <c r="X222" s="100"/>
      <c r="Y222" s="100"/>
      <c r="Z222" s="100"/>
      <c r="AA222" s="100"/>
      <c r="AB222" s="100"/>
      <c r="AC222" s="100"/>
      <c r="AD222" s="100"/>
      <c r="AE222" s="100"/>
      <c r="AF222" s="100"/>
      <c r="AG222" s="100"/>
      <c r="AH222" s="100"/>
      <c r="AI222" s="100"/>
      <c r="AJ222" s="100"/>
    </row>
    <row r="223" spans="1:36" ht="19.5" customHeight="1" x14ac:dyDescent="0.3">
      <c r="A223" s="100"/>
      <c r="B223" s="173"/>
      <c r="C223" s="174"/>
      <c r="D223" s="186"/>
      <c r="E223" s="175"/>
      <c r="F223" s="116"/>
      <c r="G223" s="163"/>
      <c r="H223" s="163"/>
      <c r="I223" s="151"/>
      <c r="J223" s="118"/>
      <c r="K223" s="162"/>
      <c r="L223" s="162"/>
      <c r="M223" s="162"/>
      <c r="N223" s="164"/>
      <c r="O223" s="165"/>
      <c r="P223" s="165"/>
      <c r="Q223" s="165"/>
      <c r="R223" s="166"/>
      <c r="S223" s="121"/>
      <c r="T223" s="155"/>
      <c r="U223" s="100"/>
      <c r="V223" s="100"/>
      <c r="W223" s="100"/>
      <c r="X223" s="100"/>
      <c r="Y223" s="100"/>
      <c r="Z223" s="100"/>
      <c r="AA223" s="100"/>
      <c r="AB223" s="100"/>
      <c r="AC223" s="100"/>
      <c r="AD223" s="100"/>
      <c r="AE223" s="100"/>
      <c r="AF223" s="100"/>
      <c r="AG223" s="100"/>
      <c r="AH223" s="100"/>
      <c r="AI223" s="100"/>
      <c r="AJ223" s="100"/>
    </row>
    <row r="224" spans="1:36" s="148" customFormat="1" ht="19.5" customHeight="1" x14ac:dyDescent="0.3">
      <c r="A224" s="138"/>
      <c r="B224" s="139"/>
      <c r="C224" s="139"/>
      <c r="D224" s="143"/>
      <c r="E224" s="158"/>
      <c r="F224" s="158"/>
      <c r="G224" s="158"/>
      <c r="H224" s="158"/>
      <c r="I224" s="142"/>
      <c r="J224" s="143"/>
      <c r="K224" s="143"/>
      <c r="L224" s="143"/>
      <c r="M224" s="143"/>
      <c r="N224" s="159"/>
      <c r="O224" s="145"/>
      <c r="P224" s="145"/>
      <c r="Q224" s="145"/>
      <c r="R224" s="146"/>
      <c r="S224" s="147"/>
      <c r="T224" s="155"/>
      <c r="U224" s="138"/>
      <c r="V224" s="138"/>
      <c r="W224" s="138"/>
      <c r="X224" s="138"/>
      <c r="Y224" s="138"/>
      <c r="Z224" s="138"/>
      <c r="AA224" s="138"/>
      <c r="AB224" s="138"/>
      <c r="AC224" s="138"/>
      <c r="AD224" s="138"/>
      <c r="AE224" s="138"/>
      <c r="AF224" s="138"/>
      <c r="AG224" s="138"/>
      <c r="AH224" s="138"/>
      <c r="AI224" s="138"/>
      <c r="AJ224" s="138"/>
    </row>
    <row r="225" spans="1:36" ht="19.5" customHeight="1" x14ac:dyDescent="0.3">
      <c r="A225" s="100"/>
      <c r="B225" s="173"/>
      <c r="C225" s="174"/>
      <c r="D225" s="186"/>
      <c r="E225" s="175"/>
      <c r="F225" s="116"/>
      <c r="G225" s="163"/>
      <c r="H225" s="163"/>
      <c r="I225" s="151"/>
      <c r="J225" s="118"/>
      <c r="K225" s="162"/>
      <c r="L225" s="162"/>
      <c r="M225" s="162"/>
      <c r="N225" s="164"/>
      <c r="O225" s="165"/>
      <c r="P225" s="165"/>
      <c r="Q225" s="165"/>
      <c r="R225" s="166"/>
      <c r="S225" s="121"/>
      <c r="T225" s="155"/>
      <c r="U225" s="100"/>
      <c r="V225" s="100"/>
      <c r="W225" s="100"/>
      <c r="X225" s="100"/>
      <c r="Y225" s="100"/>
      <c r="Z225" s="100"/>
      <c r="AA225" s="100"/>
      <c r="AB225" s="100"/>
      <c r="AC225" s="100"/>
      <c r="AD225" s="100"/>
      <c r="AE225" s="100"/>
      <c r="AF225" s="100"/>
      <c r="AG225" s="100"/>
      <c r="AH225" s="100"/>
      <c r="AI225" s="100"/>
      <c r="AJ225" s="100"/>
    </row>
    <row r="226" spans="1:36" ht="19.5" customHeight="1" x14ac:dyDescent="0.3">
      <c r="A226" s="100"/>
      <c r="B226" s="173"/>
      <c r="C226" s="174"/>
      <c r="D226" s="186"/>
      <c r="E226" s="175"/>
      <c r="F226" s="116"/>
      <c r="G226" s="163"/>
      <c r="H226" s="163"/>
      <c r="I226" s="151"/>
      <c r="J226" s="118"/>
      <c r="K226" s="162"/>
      <c r="L226" s="162"/>
      <c r="M226" s="162"/>
      <c r="N226" s="164"/>
      <c r="O226" s="165"/>
      <c r="P226" s="165"/>
      <c r="Q226" s="165"/>
      <c r="R226" s="166"/>
      <c r="S226" s="121"/>
      <c r="T226" s="155"/>
      <c r="U226" s="100"/>
      <c r="V226" s="100"/>
      <c r="W226" s="100"/>
      <c r="X226" s="100"/>
      <c r="Y226" s="100"/>
      <c r="Z226" s="100"/>
      <c r="AA226" s="100"/>
      <c r="AB226" s="100"/>
      <c r="AC226" s="100"/>
      <c r="AD226" s="100"/>
      <c r="AE226" s="100"/>
      <c r="AF226" s="100"/>
      <c r="AG226" s="100"/>
      <c r="AH226" s="100"/>
      <c r="AI226" s="100"/>
      <c r="AJ226" s="100"/>
    </row>
    <row r="227" spans="1:36" ht="19.5" customHeight="1" x14ac:dyDescent="0.3">
      <c r="A227" s="100"/>
      <c r="B227" s="173"/>
      <c r="C227" s="174"/>
      <c r="D227" s="186"/>
      <c r="E227" s="175"/>
      <c r="F227" s="116"/>
      <c r="G227" s="163"/>
      <c r="H227" s="163"/>
      <c r="I227" s="151"/>
      <c r="J227" s="118"/>
      <c r="K227" s="162"/>
      <c r="L227" s="162"/>
      <c r="M227" s="162"/>
      <c r="N227" s="164"/>
      <c r="O227" s="165"/>
      <c r="P227" s="165"/>
      <c r="Q227" s="165"/>
      <c r="R227" s="166"/>
      <c r="S227" s="121"/>
      <c r="T227" s="155"/>
      <c r="U227" s="100"/>
      <c r="V227" s="100"/>
      <c r="W227" s="100"/>
      <c r="X227" s="100"/>
      <c r="Y227" s="100"/>
      <c r="Z227" s="100"/>
      <c r="AA227" s="100"/>
      <c r="AB227" s="100"/>
      <c r="AC227" s="100"/>
      <c r="AD227" s="100"/>
      <c r="AE227" s="100"/>
      <c r="AF227" s="100"/>
      <c r="AG227" s="100"/>
      <c r="AH227" s="100"/>
      <c r="AI227" s="100"/>
      <c r="AJ227" s="100"/>
    </row>
    <row r="228" spans="1:36" ht="19.5" customHeight="1" x14ac:dyDescent="0.3">
      <c r="A228" s="100"/>
      <c r="B228" s="173"/>
      <c r="C228" s="174"/>
      <c r="D228" s="186"/>
      <c r="E228" s="175"/>
      <c r="F228" s="116"/>
      <c r="G228" s="163"/>
      <c r="H228" s="163"/>
      <c r="I228" s="151"/>
      <c r="J228" s="118"/>
      <c r="K228" s="162"/>
      <c r="L228" s="162"/>
      <c r="M228" s="162"/>
      <c r="N228" s="164"/>
      <c r="O228" s="165"/>
      <c r="P228" s="165"/>
      <c r="Q228" s="165"/>
      <c r="R228" s="166"/>
      <c r="S228" s="121"/>
      <c r="T228" s="155"/>
      <c r="U228" s="100"/>
      <c r="V228" s="100"/>
      <c r="W228" s="100"/>
      <c r="X228" s="100"/>
      <c r="Y228" s="100"/>
      <c r="Z228" s="100"/>
      <c r="AA228" s="100"/>
      <c r="AB228" s="100"/>
      <c r="AC228" s="100"/>
      <c r="AD228" s="100"/>
      <c r="AE228" s="100"/>
      <c r="AF228" s="100"/>
      <c r="AG228" s="100"/>
      <c r="AH228" s="100"/>
      <c r="AI228" s="100"/>
      <c r="AJ228" s="100"/>
    </row>
    <row r="229" spans="1:36" ht="19.5" customHeight="1" x14ac:dyDescent="0.3">
      <c r="A229" s="100"/>
      <c r="B229" s="173"/>
      <c r="C229" s="174"/>
      <c r="D229" s="186"/>
      <c r="E229" s="175"/>
      <c r="F229" s="116"/>
      <c r="G229" s="163"/>
      <c r="H229" s="163"/>
      <c r="I229" s="151"/>
      <c r="J229" s="118"/>
      <c r="K229" s="162"/>
      <c r="L229" s="162"/>
      <c r="M229" s="162"/>
      <c r="N229" s="164"/>
      <c r="O229" s="165"/>
      <c r="P229" s="165"/>
      <c r="Q229" s="165"/>
      <c r="R229" s="166"/>
      <c r="S229" s="121"/>
      <c r="T229" s="155"/>
      <c r="U229" s="100"/>
      <c r="V229" s="100"/>
      <c r="W229" s="100"/>
      <c r="X229" s="100"/>
      <c r="Y229" s="100"/>
      <c r="Z229" s="100"/>
      <c r="AA229" s="100"/>
      <c r="AB229" s="100"/>
      <c r="AC229" s="100"/>
      <c r="AD229" s="100"/>
      <c r="AE229" s="100"/>
      <c r="AF229" s="100"/>
      <c r="AG229" s="100"/>
      <c r="AH229" s="100"/>
      <c r="AI229" s="100"/>
      <c r="AJ229" s="100"/>
    </row>
    <row r="230" spans="1:36" ht="19.5" customHeight="1" x14ac:dyDescent="0.3">
      <c r="A230" s="100"/>
      <c r="B230" s="173"/>
      <c r="C230" s="174"/>
      <c r="D230" s="186"/>
      <c r="E230" s="175"/>
      <c r="F230" s="116"/>
      <c r="G230" s="198"/>
      <c r="H230" s="163"/>
      <c r="I230" s="151"/>
      <c r="J230" s="118"/>
      <c r="K230" s="162"/>
      <c r="L230" s="162"/>
      <c r="M230" s="162"/>
      <c r="N230" s="164"/>
      <c r="O230" s="165"/>
      <c r="P230" s="165"/>
      <c r="Q230" s="165"/>
      <c r="R230" s="166"/>
      <c r="S230" s="121"/>
      <c r="T230" s="155"/>
      <c r="U230" s="100"/>
      <c r="V230" s="100"/>
      <c r="W230" s="100"/>
      <c r="X230" s="100"/>
      <c r="Y230" s="100"/>
      <c r="Z230" s="100"/>
      <c r="AA230" s="100"/>
      <c r="AB230" s="100"/>
      <c r="AC230" s="100"/>
      <c r="AD230" s="100"/>
      <c r="AE230" s="100"/>
      <c r="AF230" s="100"/>
      <c r="AG230" s="100"/>
      <c r="AH230" s="100"/>
      <c r="AI230" s="100"/>
      <c r="AJ230" s="100"/>
    </row>
    <row r="231" spans="1:36" ht="19.5" customHeight="1" x14ac:dyDescent="0.3">
      <c r="A231" s="100"/>
      <c r="B231" s="173"/>
      <c r="C231" s="174"/>
      <c r="D231" s="186"/>
      <c r="E231" s="175"/>
      <c r="F231" s="116"/>
      <c r="G231" s="163"/>
      <c r="H231" s="163"/>
      <c r="I231" s="151"/>
      <c r="J231" s="118"/>
      <c r="K231" s="162"/>
      <c r="L231" s="162"/>
      <c r="M231" s="162"/>
      <c r="N231" s="164"/>
      <c r="O231" s="165"/>
      <c r="P231" s="165"/>
      <c r="Q231" s="165"/>
      <c r="R231" s="166"/>
      <c r="S231" s="121"/>
      <c r="T231" s="155"/>
      <c r="U231" s="100"/>
      <c r="V231" s="100"/>
      <c r="W231" s="100"/>
      <c r="X231" s="100"/>
      <c r="Y231" s="100"/>
      <c r="Z231" s="100"/>
      <c r="AA231" s="100"/>
      <c r="AB231" s="100"/>
      <c r="AC231" s="100"/>
      <c r="AD231" s="100"/>
      <c r="AE231" s="100"/>
      <c r="AF231" s="100"/>
      <c r="AG231" s="100"/>
      <c r="AH231" s="100"/>
      <c r="AI231" s="100"/>
      <c r="AJ231" s="100"/>
    </row>
    <row r="232" spans="1:36" ht="19.5" customHeight="1" x14ac:dyDescent="0.3">
      <c r="A232" s="100"/>
      <c r="B232" s="173"/>
      <c r="C232" s="174"/>
      <c r="D232" s="186"/>
      <c r="E232" s="175"/>
      <c r="F232" s="116"/>
      <c r="G232" s="198"/>
      <c r="H232" s="163"/>
      <c r="I232" s="151"/>
      <c r="J232" s="118"/>
      <c r="K232" s="162"/>
      <c r="L232" s="162"/>
      <c r="M232" s="162"/>
      <c r="N232" s="164"/>
      <c r="O232" s="165"/>
      <c r="P232" s="165"/>
      <c r="Q232" s="165"/>
      <c r="R232" s="166"/>
      <c r="S232" s="121"/>
      <c r="T232" s="155"/>
      <c r="U232" s="100"/>
      <c r="V232" s="100"/>
      <c r="W232" s="100"/>
      <c r="X232" s="100"/>
      <c r="Y232" s="100"/>
      <c r="Z232" s="100"/>
      <c r="AA232" s="100"/>
      <c r="AB232" s="100"/>
      <c r="AC232" s="100"/>
      <c r="AD232" s="100"/>
      <c r="AE232" s="100"/>
      <c r="AF232" s="100"/>
      <c r="AG232" s="100"/>
      <c r="AH232" s="100"/>
      <c r="AI232" s="100"/>
      <c r="AJ232" s="100"/>
    </row>
    <row r="233" spans="1:36" ht="19.5" customHeight="1" x14ac:dyDescent="0.3">
      <c r="A233" s="100"/>
      <c r="B233" s="173"/>
      <c r="C233" s="174"/>
      <c r="D233" s="186"/>
      <c r="E233" s="175"/>
      <c r="F233" s="116"/>
      <c r="G233" s="163"/>
      <c r="H233" s="163"/>
      <c r="I233" s="151"/>
      <c r="J233" s="118"/>
      <c r="K233" s="162"/>
      <c r="L233" s="162"/>
      <c r="M233" s="162"/>
      <c r="N233" s="164"/>
      <c r="O233" s="165"/>
      <c r="P233" s="165"/>
      <c r="Q233" s="165"/>
      <c r="R233" s="166"/>
      <c r="S233" s="121"/>
      <c r="T233" s="155"/>
      <c r="U233" s="100"/>
      <c r="V233" s="100"/>
      <c r="W233" s="100"/>
      <c r="X233" s="100"/>
      <c r="Y233" s="100"/>
      <c r="Z233" s="100"/>
      <c r="AA233" s="100"/>
      <c r="AB233" s="100"/>
      <c r="AC233" s="100"/>
      <c r="AD233" s="100"/>
      <c r="AE233" s="100"/>
      <c r="AF233" s="100"/>
      <c r="AG233" s="100"/>
      <c r="AH233" s="100"/>
      <c r="AI233" s="100"/>
      <c r="AJ233" s="100"/>
    </row>
    <row r="234" spans="1:36" ht="19.5" customHeight="1" x14ac:dyDescent="0.3">
      <c r="A234" s="100"/>
      <c r="B234" s="173"/>
      <c r="C234" s="174"/>
      <c r="D234" s="186"/>
      <c r="E234" s="175"/>
      <c r="F234" s="116"/>
      <c r="G234" s="198"/>
      <c r="H234" s="163"/>
      <c r="I234" s="151"/>
      <c r="J234" s="118"/>
      <c r="K234" s="162"/>
      <c r="L234" s="162"/>
      <c r="M234" s="162"/>
      <c r="N234" s="164"/>
      <c r="O234" s="165"/>
      <c r="P234" s="165"/>
      <c r="Q234" s="165"/>
      <c r="R234" s="166"/>
      <c r="S234" s="121"/>
      <c r="T234" s="155"/>
      <c r="U234" s="100"/>
      <c r="V234" s="100"/>
      <c r="W234" s="100"/>
      <c r="X234" s="100"/>
      <c r="Y234" s="100"/>
      <c r="Z234" s="100"/>
      <c r="AA234" s="100"/>
      <c r="AB234" s="100"/>
      <c r="AC234" s="100"/>
      <c r="AD234" s="100"/>
      <c r="AE234" s="100"/>
      <c r="AF234" s="100"/>
      <c r="AG234" s="100"/>
      <c r="AH234" s="100"/>
      <c r="AI234" s="100"/>
      <c r="AJ234" s="100"/>
    </row>
    <row r="235" spans="1:36" ht="19.5" customHeight="1" x14ac:dyDescent="0.3">
      <c r="A235" s="100"/>
      <c r="B235" s="173"/>
      <c r="C235" s="174"/>
      <c r="D235" s="186"/>
      <c r="E235" s="175"/>
      <c r="F235" s="116"/>
      <c r="G235" s="163"/>
      <c r="H235" s="163"/>
      <c r="I235" s="151"/>
      <c r="J235" s="118"/>
      <c r="K235" s="162"/>
      <c r="L235" s="162"/>
      <c r="M235" s="162"/>
      <c r="N235" s="164"/>
      <c r="O235" s="165"/>
      <c r="P235" s="165"/>
      <c r="Q235" s="165"/>
      <c r="R235" s="166"/>
      <c r="S235" s="121"/>
      <c r="T235" s="155"/>
      <c r="U235" s="100"/>
      <c r="V235" s="100"/>
      <c r="W235" s="100"/>
      <c r="X235" s="100"/>
      <c r="Y235" s="100"/>
      <c r="Z235" s="100"/>
      <c r="AA235" s="100"/>
      <c r="AB235" s="100"/>
      <c r="AC235" s="100"/>
      <c r="AD235" s="100"/>
      <c r="AE235" s="100"/>
      <c r="AF235" s="100"/>
      <c r="AG235" s="100"/>
      <c r="AH235" s="100"/>
      <c r="AI235" s="100"/>
      <c r="AJ235" s="100"/>
    </row>
    <row r="236" spans="1:36" ht="19.5" customHeight="1" x14ac:dyDescent="0.3">
      <c r="A236" s="100"/>
      <c r="B236" s="173"/>
      <c r="C236" s="174"/>
      <c r="D236" s="186"/>
      <c r="E236" s="175"/>
      <c r="F236" s="116"/>
      <c r="G236" s="163"/>
      <c r="H236" s="163"/>
      <c r="I236" s="151"/>
      <c r="J236" s="118"/>
      <c r="K236" s="162"/>
      <c r="L236" s="162"/>
      <c r="M236" s="162"/>
      <c r="N236" s="164"/>
      <c r="O236" s="165"/>
      <c r="P236" s="165"/>
      <c r="Q236" s="165"/>
      <c r="R236" s="166"/>
      <c r="S236" s="121"/>
      <c r="T236" s="155"/>
      <c r="U236" s="100"/>
      <c r="V236" s="100"/>
      <c r="W236" s="100"/>
      <c r="X236" s="100"/>
      <c r="Y236" s="100"/>
      <c r="Z236" s="100"/>
      <c r="AA236" s="100"/>
      <c r="AB236" s="100"/>
      <c r="AC236" s="100"/>
      <c r="AD236" s="100"/>
      <c r="AE236" s="100"/>
      <c r="AF236" s="100"/>
      <c r="AG236" s="100"/>
      <c r="AH236" s="100"/>
      <c r="AI236" s="100"/>
      <c r="AJ236" s="100"/>
    </row>
    <row r="237" spans="1:36" ht="19.5" customHeight="1" x14ac:dyDescent="0.3">
      <c r="A237" s="100"/>
      <c r="B237" s="173"/>
      <c r="C237" s="174"/>
      <c r="D237" s="186"/>
      <c r="E237" s="175"/>
      <c r="F237" s="116"/>
      <c r="G237" s="163"/>
      <c r="H237" s="163"/>
      <c r="I237" s="151"/>
      <c r="J237" s="118"/>
      <c r="K237" s="162"/>
      <c r="L237" s="162"/>
      <c r="M237" s="162"/>
      <c r="N237" s="164"/>
      <c r="O237" s="165"/>
      <c r="P237" s="165"/>
      <c r="Q237" s="165"/>
      <c r="R237" s="166"/>
      <c r="S237" s="121"/>
      <c r="T237" s="155"/>
      <c r="U237" s="100"/>
      <c r="V237" s="100"/>
      <c r="W237" s="100"/>
      <c r="X237" s="100"/>
      <c r="Y237" s="100"/>
      <c r="Z237" s="100"/>
      <c r="AA237" s="100"/>
      <c r="AB237" s="100"/>
      <c r="AC237" s="100"/>
      <c r="AD237" s="100"/>
      <c r="AE237" s="100"/>
      <c r="AF237" s="100"/>
      <c r="AG237" s="100"/>
      <c r="AH237" s="100"/>
      <c r="AI237" s="100"/>
      <c r="AJ237" s="100"/>
    </row>
    <row r="238" spans="1:36" ht="19.5" customHeight="1" x14ac:dyDescent="0.3">
      <c r="A238" s="100"/>
      <c r="B238" s="173"/>
      <c r="C238" s="174"/>
      <c r="D238" s="186"/>
      <c r="E238" s="175"/>
      <c r="F238" s="116"/>
      <c r="G238" s="163"/>
      <c r="H238" s="163"/>
      <c r="I238" s="151"/>
      <c r="J238" s="118"/>
      <c r="K238" s="162"/>
      <c r="L238" s="162"/>
      <c r="M238" s="162"/>
      <c r="N238" s="164"/>
      <c r="O238" s="165"/>
      <c r="P238" s="165"/>
      <c r="Q238" s="165"/>
      <c r="R238" s="166"/>
      <c r="S238" s="121"/>
      <c r="T238" s="155"/>
      <c r="U238" s="100"/>
      <c r="V238" s="100"/>
      <c r="W238" s="100"/>
      <c r="X238" s="100"/>
      <c r="Y238" s="100"/>
      <c r="Z238" s="100"/>
      <c r="AA238" s="100"/>
      <c r="AB238" s="100"/>
      <c r="AC238" s="100"/>
      <c r="AD238" s="100"/>
      <c r="AE238" s="100"/>
      <c r="AF238" s="100"/>
      <c r="AG238" s="100"/>
      <c r="AH238" s="100"/>
      <c r="AI238" s="100"/>
      <c r="AJ238" s="100"/>
    </row>
    <row r="239" spans="1:36" ht="19.5" customHeight="1" x14ac:dyDescent="0.3">
      <c r="A239" s="100"/>
      <c r="B239" s="173"/>
      <c r="C239" s="174"/>
      <c r="D239" s="186"/>
      <c r="E239" s="175"/>
      <c r="F239" s="116"/>
      <c r="G239" s="163"/>
      <c r="H239" s="163"/>
      <c r="I239" s="151"/>
      <c r="J239" s="118"/>
      <c r="K239" s="162"/>
      <c r="L239" s="162"/>
      <c r="M239" s="162"/>
      <c r="N239" s="164"/>
      <c r="O239" s="165"/>
      <c r="P239" s="165"/>
      <c r="Q239" s="165"/>
      <c r="R239" s="166"/>
      <c r="S239" s="121"/>
      <c r="T239" s="155"/>
      <c r="U239" s="100"/>
      <c r="V239" s="100"/>
      <c r="W239" s="100"/>
      <c r="X239" s="100"/>
      <c r="Y239" s="100"/>
      <c r="Z239" s="100"/>
      <c r="AA239" s="100"/>
      <c r="AB239" s="100"/>
      <c r="AC239" s="100"/>
      <c r="AD239" s="100"/>
      <c r="AE239" s="100"/>
      <c r="AF239" s="100"/>
      <c r="AG239" s="100"/>
      <c r="AH239" s="100"/>
      <c r="AI239" s="100"/>
      <c r="AJ239" s="100"/>
    </row>
    <row r="240" spans="1:36" ht="19.5" customHeight="1" x14ac:dyDescent="0.3">
      <c r="A240" s="100"/>
      <c r="B240" s="173"/>
      <c r="C240" s="174"/>
      <c r="D240" s="186"/>
      <c r="E240" s="175"/>
      <c r="F240" s="116"/>
      <c r="G240" s="163"/>
      <c r="H240" s="163"/>
      <c r="I240" s="151"/>
      <c r="J240" s="118"/>
      <c r="K240" s="162"/>
      <c r="L240" s="162"/>
      <c r="M240" s="162"/>
      <c r="N240" s="164"/>
      <c r="O240" s="165"/>
      <c r="P240" s="165"/>
      <c r="Q240" s="165"/>
      <c r="R240" s="166"/>
      <c r="S240" s="121"/>
      <c r="T240" s="155"/>
      <c r="U240" s="100"/>
      <c r="V240" s="100"/>
      <c r="W240" s="100"/>
      <c r="X240" s="100"/>
      <c r="Y240" s="100"/>
      <c r="Z240" s="100"/>
      <c r="AA240" s="100"/>
      <c r="AB240" s="100"/>
      <c r="AC240" s="100"/>
      <c r="AD240" s="100"/>
      <c r="AE240" s="100"/>
      <c r="AF240" s="100"/>
      <c r="AG240" s="100"/>
      <c r="AH240" s="100"/>
      <c r="AI240" s="100"/>
      <c r="AJ240" s="100"/>
    </row>
    <row r="241" spans="1:36" s="189" customFormat="1" ht="19.5" customHeight="1" x14ac:dyDescent="0.3">
      <c r="A241" s="100"/>
      <c r="B241" s="199"/>
      <c r="C241" s="199"/>
      <c r="D241" s="199"/>
      <c r="E241" s="200"/>
      <c r="F241" s="200"/>
      <c r="G241" s="200"/>
      <c r="H241" s="200"/>
      <c r="I241" s="201"/>
      <c r="J241" s="202"/>
      <c r="K241" s="202"/>
      <c r="L241" s="202"/>
      <c r="M241" s="202"/>
      <c r="N241" s="203"/>
      <c r="O241" s="204"/>
      <c r="P241" s="204"/>
      <c r="Q241" s="204"/>
      <c r="R241" s="205"/>
      <c r="S241" s="206"/>
      <c r="T241" s="207"/>
      <c r="U241" s="100"/>
      <c r="V241" s="100"/>
      <c r="W241" s="100"/>
      <c r="X241" s="100"/>
      <c r="Y241" s="100"/>
      <c r="Z241" s="100"/>
      <c r="AA241" s="100"/>
      <c r="AB241" s="100"/>
      <c r="AC241" s="100"/>
      <c r="AD241" s="100"/>
      <c r="AE241" s="100"/>
      <c r="AF241" s="100"/>
      <c r="AG241" s="100"/>
      <c r="AH241" s="100"/>
      <c r="AI241" s="100"/>
      <c r="AJ241" s="100"/>
    </row>
    <row r="242" spans="1:36" s="148" customFormat="1" ht="19.5" customHeight="1" x14ac:dyDescent="0.3">
      <c r="A242" s="138"/>
      <c r="B242" s="139"/>
      <c r="C242" s="140"/>
      <c r="D242" s="140"/>
      <c r="E242" s="141"/>
      <c r="F242" s="141"/>
      <c r="G242" s="141"/>
      <c r="H242" s="141"/>
      <c r="I242" s="142"/>
      <c r="J242" s="143"/>
      <c r="K242" s="140"/>
      <c r="L242" s="140"/>
      <c r="M242" s="140"/>
      <c r="N242" s="159"/>
      <c r="O242" s="160"/>
      <c r="P242" s="160"/>
      <c r="Q242" s="160"/>
      <c r="R242" s="161"/>
      <c r="S242" s="147"/>
      <c r="T242" s="155"/>
      <c r="U242" s="138"/>
      <c r="V242" s="138"/>
      <c r="W242" s="138"/>
      <c r="X242" s="138"/>
      <c r="Y242" s="138"/>
      <c r="Z242" s="138"/>
      <c r="AA242" s="138"/>
      <c r="AB242" s="138"/>
      <c r="AC242" s="138"/>
      <c r="AD242" s="138"/>
      <c r="AE242" s="138"/>
      <c r="AF242" s="138"/>
      <c r="AG242" s="138"/>
      <c r="AH242" s="138"/>
      <c r="AI242" s="138"/>
      <c r="AJ242" s="138"/>
    </row>
    <row r="243" spans="1:36" ht="19.5" customHeight="1" x14ac:dyDescent="0.3">
      <c r="A243" s="76"/>
      <c r="B243" s="170"/>
      <c r="C243" s="171"/>
      <c r="D243" s="162"/>
      <c r="E243" s="171"/>
      <c r="F243" s="116"/>
      <c r="G243" s="116"/>
      <c r="H243" s="163"/>
      <c r="I243" s="151"/>
      <c r="J243" s="127"/>
      <c r="K243" s="162"/>
      <c r="L243" s="162"/>
      <c r="M243" s="162"/>
      <c r="N243" s="164"/>
      <c r="O243" s="165"/>
      <c r="P243" s="165"/>
      <c r="Q243" s="165"/>
      <c r="R243" s="166"/>
      <c r="S243" s="83"/>
      <c r="T243" s="155"/>
      <c r="U243" s="76"/>
      <c r="V243" s="76"/>
      <c r="W243" s="76"/>
      <c r="X243" s="76"/>
      <c r="Y243" s="76"/>
      <c r="Z243" s="76"/>
      <c r="AA243" s="76"/>
      <c r="AB243" s="76"/>
      <c r="AC243" s="76"/>
      <c r="AD243" s="76"/>
      <c r="AE243" s="76"/>
      <c r="AF243" s="76"/>
      <c r="AG243" s="76"/>
      <c r="AH243" s="76"/>
      <c r="AI243" s="76"/>
      <c r="AJ243" s="76"/>
    </row>
    <row r="244" spans="1:36" ht="19.5" customHeight="1" x14ac:dyDescent="0.3">
      <c r="A244" s="76"/>
      <c r="B244" s="170"/>
      <c r="C244" s="171"/>
      <c r="D244" s="162"/>
      <c r="E244" s="171"/>
      <c r="F244" s="116"/>
      <c r="G244" s="116"/>
      <c r="H244" s="163"/>
      <c r="I244" s="151"/>
      <c r="J244" s="127"/>
      <c r="K244" s="162"/>
      <c r="L244" s="162"/>
      <c r="M244" s="162"/>
      <c r="N244" s="164"/>
      <c r="O244" s="165"/>
      <c r="P244" s="165"/>
      <c r="Q244" s="165"/>
      <c r="R244" s="166"/>
      <c r="S244" s="83"/>
      <c r="T244" s="155"/>
      <c r="U244" s="76"/>
      <c r="V244" s="76"/>
      <c r="W244" s="76"/>
      <c r="X244" s="76"/>
      <c r="Y244" s="76"/>
      <c r="Z244" s="76"/>
      <c r="AA244" s="76"/>
      <c r="AB244" s="76"/>
      <c r="AC244" s="76"/>
      <c r="AD244" s="76"/>
      <c r="AE244" s="76"/>
      <c r="AF244" s="76"/>
      <c r="AG244" s="76"/>
      <c r="AH244" s="76"/>
      <c r="AI244" s="76"/>
      <c r="AJ244" s="76"/>
    </row>
    <row r="245" spans="1:36" ht="32.25" customHeight="1" x14ac:dyDescent="0.3">
      <c r="A245" s="76"/>
      <c r="B245" s="170"/>
      <c r="C245" s="171"/>
      <c r="D245" s="162"/>
      <c r="E245" s="171"/>
      <c r="F245" s="116"/>
      <c r="G245" s="116"/>
      <c r="H245" s="163"/>
      <c r="I245" s="151"/>
      <c r="J245" s="127"/>
      <c r="K245" s="162"/>
      <c r="L245" s="162"/>
      <c r="M245" s="162"/>
      <c r="N245" s="164"/>
      <c r="O245" s="165"/>
      <c r="P245" s="165"/>
      <c r="Q245" s="165"/>
      <c r="R245" s="166"/>
      <c r="S245" s="83"/>
      <c r="T245" s="155"/>
      <c r="U245" s="76"/>
      <c r="V245" s="76"/>
      <c r="W245" s="76"/>
      <c r="X245" s="76"/>
      <c r="Y245" s="76"/>
      <c r="Z245" s="76"/>
      <c r="AA245" s="76"/>
      <c r="AB245" s="76"/>
      <c r="AC245" s="76"/>
      <c r="AD245" s="76"/>
      <c r="AE245" s="76"/>
      <c r="AF245" s="76"/>
      <c r="AG245" s="76"/>
      <c r="AH245" s="76"/>
      <c r="AI245" s="76"/>
      <c r="AJ245" s="76"/>
    </row>
    <row r="246" spans="1:36" ht="19.5" customHeight="1" x14ac:dyDescent="0.3">
      <c r="A246" s="76"/>
      <c r="B246" s="170"/>
      <c r="C246" s="171"/>
      <c r="D246" s="162"/>
      <c r="E246" s="171"/>
      <c r="F246" s="116"/>
      <c r="G246" s="116"/>
      <c r="H246" s="163"/>
      <c r="I246" s="151"/>
      <c r="J246" s="127"/>
      <c r="K246" s="162"/>
      <c r="L246" s="162"/>
      <c r="M246" s="162"/>
      <c r="N246" s="164"/>
      <c r="O246" s="165"/>
      <c r="P246" s="165"/>
      <c r="Q246" s="165"/>
      <c r="R246" s="166"/>
      <c r="S246" s="83"/>
      <c r="T246" s="155"/>
      <c r="U246" s="76"/>
      <c r="V246" s="76"/>
      <c r="W246" s="76"/>
      <c r="X246" s="76"/>
      <c r="Y246" s="76"/>
      <c r="Z246" s="76"/>
      <c r="AA246" s="76"/>
      <c r="AB246" s="76"/>
      <c r="AC246" s="76"/>
      <c r="AD246" s="76"/>
      <c r="AE246" s="76"/>
      <c r="AF246" s="76"/>
      <c r="AG246" s="76"/>
      <c r="AH246" s="76"/>
      <c r="AI246" s="76"/>
      <c r="AJ246" s="76"/>
    </row>
    <row r="247" spans="1:36" ht="19.5" customHeight="1" x14ac:dyDescent="0.3">
      <c r="A247" s="76"/>
      <c r="B247" s="170"/>
      <c r="C247" s="171"/>
      <c r="D247" s="162"/>
      <c r="E247" s="171"/>
      <c r="F247" s="116"/>
      <c r="G247" s="116"/>
      <c r="H247" s="163"/>
      <c r="I247" s="151"/>
      <c r="J247" s="127"/>
      <c r="K247" s="162"/>
      <c r="L247" s="162"/>
      <c r="M247" s="162"/>
      <c r="N247" s="164"/>
      <c r="O247" s="165"/>
      <c r="P247" s="165"/>
      <c r="Q247" s="165"/>
      <c r="R247" s="166"/>
      <c r="S247" s="83"/>
      <c r="T247" s="155"/>
      <c r="U247" s="76"/>
      <c r="V247" s="76"/>
      <c r="W247" s="76"/>
      <c r="X247" s="76"/>
      <c r="Y247" s="76"/>
      <c r="Z247" s="76"/>
      <c r="AA247" s="76"/>
      <c r="AB247" s="76"/>
      <c r="AC247" s="76"/>
      <c r="AD247" s="76"/>
      <c r="AE247" s="76"/>
      <c r="AF247" s="76"/>
      <c r="AG247" s="76"/>
      <c r="AH247" s="76"/>
      <c r="AI247" s="76"/>
      <c r="AJ247" s="76"/>
    </row>
    <row r="248" spans="1:36" ht="19.5" customHeight="1" x14ac:dyDescent="0.3">
      <c r="A248" s="76"/>
      <c r="B248" s="170"/>
      <c r="C248" s="171"/>
      <c r="D248" s="162"/>
      <c r="E248" s="171"/>
      <c r="F248" s="116"/>
      <c r="G248" s="116"/>
      <c r="H248" s="163"/>
      <c r="I248" s="151"/>
      <c r="J248" s="127"/>
      <c r="K248" s="162"/>
      <c r="L248" s="162"/>
      <c r="M248" s="162"/>
      <c r="N248" s="164"/>
      <c r="O248" s="165"/>
      <c r="P248" s="165"/>
      <c r="Q248" s="165"/>
      <c r="R248" s="166"/>
      <c r="S248" s="83"/>
      <c r="T248" s="155"/>
      <c r="U248" s="76"/>
      <c r="V248" s="76"/>
      <c r="W248" s="76"/>
      <c r="X248" s="76"/>
      <c r="Y248" s="76"/>
      <c r="Z248" s="76"/>
      <c r="AA248" s="76"/>
      <c r="AB248" s="76"/>
      <c r="AC248" s="76"/>
      <c r="AD248" s="76"/>
      <c r="AE248" s="76"/>
      <c r="AF248" s="76"/>
      <c r="AG248" s="76"/>
      <c r="AH248" s="76"/>
      <c r="AI248" s="76"/>
      <c r="AJ248" s="76"/>
    </row>
    <row r="249" spans="1:36" ht="19.5" customHeight="1" x14ac:dyDescent="0.3">
      <c r="A249" s="76"/>
      <c r="B249" s="170"/>
      <c r="C249" s="171"/>
      <c r="D249" s="162"/>
      <c r="E249" s="171"/>
      <c r="F249" s="116"/>
      <c r="G249" s="116"/>
      <c r="H249" s="163"/>
      <c r="I249" s="151"/>
      <c r="J249" s="127"/>
      <c r="K249" s="162"/>
      <c r="L249" s="162"/>
      <c r="M249" s="162"/>
      <c r="N249" s="164"/>
      <c r="O249" s="165"/>
      <c r="P249" s="165"/>
      <c r="Q249" s="165"/>
      <c r="R249" s="166"/>
      <c r="S249" s="83"/>
      <c r="T249" s="155"/>
      <c r="U249" s="76"/>
      <c r="V249" s="76"/>
      <c r="W249" s="76"/>
      <c r="X249" s="76"/>
      <c r="Y249" s="76"/>
      <c r="Z249" s="76"/>
      <c r="AA249" s="76"/>
      <c r="AB249" s="76"/>
      <c r="AC249" s="76"/>
      <c r="AD249" s="76"/>
      <c r="AE249" s="76"/>
      <c r="AF249" s="76"/>
      <c r="AG249" s="76"/>
      <c r="AH249" s="76"/>
      <c r="AI249" s="76"/>
      <c r="AJ249" s="76"/>
    </row>
    <row r="250" spans="1:36" ht="19.5" customHeight="1" x14ac:dyDescent="0.3">
      <c r="A250" s="76"/>
      <c r="B250" s="162"/>
      <c r="C250" s="162"/>
      <c r="D250" s="162"/>
      <c r="E250" s="163"/>
      <c r="F250" s="116"/>
      <c r="G250" s="163"/>
      <c r="H250" s="163"/>
      <c r="I250" s="151"/>
      <c r="J250" s="127"/>
      <c r="K250" s="162"/>
      <c r="L250" s="162"/>
      <c r="M250" s="162"/>
      <c r="N250" s="164"/>
      <c r="O250" s="165"/>
      <c r="P250" s="165"/>
      <c r="Q250" s="165"/>
      <c r="R250" s="166"/>
      <c r="S250" s="83"/>
      <c r="T250" s="155"/>
      <c r="U250" s="76"/>
      <c r="V250" s="76"/>
      <c r="W250" s="76"/>
      <c r="X250" s="76"/>
      <c r="Y250" s="76"/>
      <c r="Z250" s="76"/>
      <c r="AA250" s="76"/>
      <c r="AB250" s="76"/>
      <c r="AC250" s="76"/>
      <c r="AD250" s="76"/>
      <c r="AE250" s="76"/>
      <c r="AF250" s="76"/>
      <c r="AG250" s="76"/>
      <c r="AH250" s="76"/>
      <c r="AI250" s="76"/>
      <c r="AJ250" s="76"/>
    </row>
    <row r="251" spans="1:36" s="148" customFormat="1" ht="19.5" customHeight="1" x14ac:dyDescent="0.3">
      <c r="A251" s="138"/>
      <c r="B251" s="139"/>
      <c r="C251" s="140"/>
      <c r="D251" s="140"/>
      <c r="E251" s="141"/>
      <c r="F251" s="141"/>
      <c r="G251" s="141"/>
      <c r="H251" s="141"/>
      <c r="I251" s="142"/>
      <c r="J251" s="143"/>
      <c r="K251" s="140"/>
      <c r="L251" s="140"/>
      <c r="M251" s="140"/>
      <c r="N251" s="159"/>
      <c r="O251" s="160"/>
      <c r="P251" s="160"/>
      <c r="Q251" s="160"/>
      <c r="R251" s="161"/>
      <c r="S251" s="147"/>
      <c r="T251" s="155"/>
      <c r="U251" s="138"/>
      <c r="V251" s="138"/>
      <c r="W251" s="138"/>
      <c r="X251" s="138"/>
      <c r="Y251" s="138"/>
      <c r="Z251" s="138"/>
      <c r="AA251" s="138"/>
      <c r="AB251" s="138"/>
      <c r="AC251" s="138"/>
      <c r="AD251" s="138"/>
      <c r="AE251" s="138"/>
      <c r="AF251" s="138"/>
      <c r="AG251" s="138"/>
      <c r="AH251" s="138"/>
      <c r="AI251" s="138"/>
      <c r="AJ251" s="138"/>
    </row>
    <row r="252" spans="1:36" ht="19.5" customHeight="1" x14ac:dyDescent="0.3">
      <c r="A252" s="76"/>
      <c r="B252" s="170"/>
      <c r="C252" s="171"/>
      <c r="D252" s="162"/>
      <c r="E252" s="208"/>
      <c r="F252" s="116"/>
      <c r="G252" s="116"/>
      <c r="H252" s="163"/>
      <c r="I252" s="151"/>
      <c r="J252" s="127"/>
      <c r="K252" s="162"/>
      <c r="L252" s="162"/>
      <c r="M252" s="162"/>
      <c r="N252" s="164"/>
      <c r="O252" s="165"/>
      <c r="P252" s="165"/>
      <c r="Q252" s="165"/>
      <c r="R252" s="166"/>
      <c r="S252" s="83"/>
      <c r="T252" s="155"/>
      <c r="U252" s="76"/>
      <c r="V252" s="76"/>
      <c r="W252" s="76"/>
      <c r="X252" s="76"/>
      <c r="Y252" s="76"/>
      <c r="Z252" s="76"/>
      <c r="AA252" s="76"/>
      <c r="AB252" s="76"/>
      <c r="AC252" s="76"/>
      <c r="AD252" s="76"/>
      <c r="AE252" s="76"/>
      <c r="AF252" s="76"/>
      <c r="AG252" s="76"/>
      <c r="AH252" s="76"/>
      <c r="AI252" s="76"/>
      <c r="AJ252" s="76"/>
    </row>
    <row r="253" spans="1:36" ht="19.5" customHeight="1" x14ac:dyDescent="0.3">
      <c r="A253" s="76"/>
      <c r="B253" s="170"/>
      <c r="C253" s="171"/>
      <c r="D253" s="162"/>
      <c r="E253" s="208"/>
      <c r="F253" s="116"/>
      <c r="G253" s="116"/>
      <c r="H253" s="163"/>
      <c r="I253" s="151"/>
      <c r="J253" s="127"/>
      <c r="K253" s="162"/>
      <c r="L253" s="162"/>
      <c r="M253" s="162"/>
      <c r="N253" s="164"/>
      <c r="O253" s="165"/>
      <c r="P253" s="165"/>
      <c r="Q253" s="165"/>
      <c r="R253" s="166"/>
      <c r="S253" s="83"/>
      <c r="T253" s="155"/>
      <c r="U253" s="76"/>
      <c r="V253" s="76"/>
      <c r="W253" s="76"/>
      <c r="X253" s="76"/>
      <c r="Y253" s="76"/>
      <c r="Z253" s="76"/>
      <c r="AA253" s="76"/>
      <c r="AB253" s="76"/>
      <c r="AC253" s="76"/>
      <c r="AD253" s="76"/>
      <c r="AE253" s="76"/>
      <c r="AF253" s="76"/>
      <c r="AG253" s="76"/>
      <c r="AH253" s="76"/>
      <c r="AI253" s="76"/>
      <c r="AJ253" s="76"/>
    </row>
    <row r="254" spans="1:36" ht="19.5" customHeight="1" x14ac:dyDescent="0.3">
      <c r="A254" s="76"/>
      <c r="B254" s="170"/>
      <c r="C254" s="171"/>
      <c r="D254" s="162"/>
      <c r="E254" s="208"/>
      <c r="F254" s="116"/>
      <c r="G254" s="116"/>
      <c r="H254" s="163"/>
      <c r="I254" s="151"/>
      <c r="J254" s="127"/>
      <c r="K254" s="162"/>
      <c r="L254" s="162"/>
      <c r="M254" s="162"/>
      <c r="N254" s="164"/>
      <c r="O254" s="165"/>
      <c r="P254" s="165"/>
      <c r="Q254" s="165"/>
      <c r="R254" s="166"/>
      <c r="S254" s="83"/>
      <c r="T254" s="155"/>
      <c r="U254" s="76"/>
      <c r="V254" s="76"/>
      <c r="W254" s="76"/>
      <c r="X254" s="76"/>
      <c r="Y254" s="76"/>
      <c r="Z254" s="76"/>
      <c r="AA254" s="76"/>
      <c r="AB254" s="76"/>
      <c r="AC254" s="76"/>
      <c r="AD254" s="76"/>
      <c r="AE254" s="76"/>
      <c r="AF254" s="76"/>
      <c r="AG254" s="76"/>
      <c r="AH254" s="76"/>
      <c r="AI254" s="76"/>
      <c r="AJ254" s="76"/>
    </row>
    <row r="255" spans="1:36" ht="19.5" customHeight="1" x14ac:dyDescent="0.3">
      <c r="A255" s="76"/>
      <c r="B255" s="170"/>
      <c r="C255" s="171"/>
      <c r="D255" s="162"/>
      <c r="E255" s="208"/>
      <c r="F255" s="116"/>
      <c r="G255" s="116"/>
      <c r="H255" s="163"/>
      <c r="I255" s="151"/>
      <c r="J255" s="127"/>
      <c r="K255" s="162"/>
      <c r="L255" s="162"/>
      <c r="M255" s="162"/>
      <c r="N255" s="164"/>
      <c r="O255" s="165"/>
      <c r="P255" s="165"/>
      <c r="Q255" s="165"/>
      <c r="R255" s="166"/>
      <c r="S255" s="83"/>
      <c r="T255" s="155"/>
      <c r="U255" s="76"/>
      <c r="V255" s="76"/>
      <c r="W255" s="76"/>
      <c r="X255" s="76"/>
      <c r="Y255" s="76"/>
      <c r="Z255" s="76"/>
      <c r="AA255" s="76"/>
      <c r="AB255" s="76"/>
      <c r="AC255" s="76"/>
      <c r="AD255" s="76"/>
      <c r="AE255" s="76"/>
      <c r="AF255" s="76"/>
      <c r="AG255" s="76"/>
      <c r="AH255" s="76"/>
      <c r="AI255" s="76"/>
      <c r="AJ255" s="76"/>
    </row>
    <row r="256" spans="1:36" ht="19.5" customHeight="1" x14ac:dyDescent="0.3">
      <c r="A256" s="76"/>
      <c r="B256" s="170"/>
      <c r="C256" s="171"/>
      <c r="D256" s="162"/>
      <c r="E256" s="208"/>
      <c r="F256" s="116"/>
      <c r="G256" s="116"/>
      <c r="H256" s="163"/>
      <c r="I256" s="151"/>
      <c r="J256" s="127"/>
      <c r="K256" s="162"/>
      <c r="L256" s="162"/>
      <c r="M256" s="162"/>
      <c r="N256" s="164"/>
      <c r="O256" s="165"/>
      <c r="P256" s="165"/>
      <c r="Q256" s="165"/>
      <c r="R256" s="166"/>
      <c r="S256" s="83"/>
      <c r="T256" s="155"/>
      <c r="U256" s="76"/>
      <c r="V256" s="76"/>
      <c r="W256" s="76"/>
      <c r="X256" s="76"/>
      <c r="Y256" s="76"/>
      <c r="Z256" s="76"/>
      <c r="AA256" s="76"/>
      <c r="AB256" s="76"/>
      <c r="AC256" s="76"/>
      <c r="AD256" s="76"/>
      <c r="AE256" s="76"/>
      <c r="AF256" s="76"/>
      <c r="AG256" s="76"/>
      <c r="AH256" s="76"/>
      <c r="AI256" s="76"/>
      <c r="AJ256" s="76"/>
    </row>
    <row r="257" spans="1:36" ht="19.5" customHeight="1" x14ac:dyDescent="0.3">
      <c r="A257" s="76"/>
      <c r="B257" s="170"/>
      <c r="C257" s="171"/>
      <c r="D257" s="162"/>
      <c r="E257" s="208"/>
      <c r="F257" s="116"/>
      <c r="G257" s="116"/>
      <c r="H257" s="163"/>
      <c r="I257" s="151"/>
      <c r="J257" s="127"/>
      <c r="K257" s="162"/>
      <c r="L257" s="162"/>
      <c r="M257" s="162"/>
      <c r="N257" s="164"/>
      <c r="O257" s="165"/>
      <c r="P257" s="165"/>
      <c r="Q257" s="165"/>
      <c r="R257" s="166"/>
      <c r="S257" s="83"/>
      <c r="T257" s="155"/>
      <c r="U257" s="76"/>
      <c r="V257" s="76"/>
      <c r="W257" s="76"/>
      <c r="X257" s="76"/>
      <c r="Y257" s="76"/>
      <c r="Z257" s="76"/>
      <c r="AA257" s="76"/>
      <c r="AB257" s="76"/>
      <c r="AC257" s="76"/>
      <c r="AD257" s="76"/>
      <c r="AE257" s="76"/>
      <c r="AF257" s="76"/>
      <c r="AG257" s="76"/>
      <c r="AH257" s="76"/>
      <c r="AI257" s="76"/>
      <c r="AJ257" s="76"/>
    </row>
    <row r="258" spans="1:36" ht="19.5" customHeight="1" x14ac:dyDescent="0.3">
      <c r="A258" s="76"/>
      <c r="B258" s="170"/>
      <c r="C258" s="171"/>
      <c r="D258" s="162"/>
      <c r="E258" s="208"/>
      <c r="F258" s="116"/>
      <c r="G258" s="116"/>
      <c r="H258" s="163"/>
      <c r="I258" s="151"/>
      <c r="J258" s="127"/>
      <c r="K258" s="162"/>
      <c r="L258" s="162"/>
      <c r="M258" s="162"/>
      <c r="N258" s="164"/>
      <c r="O258" s="165"/>
      <c r="P258" s="165"/>
      <c r="Q258" s="165"/>
      <c r="R258" s="166"/>
      <c r="S258" s="83"/>
      <c r="T258" s="155"/>
      <c r="U258" s="76"/>
      <c r="V258" s="76"/>
      <c r="W258" s="76"/>
      <c r="X258" s="76"/>
      <c r="Y258" s="76"/>
      <c r="Z258" s="76"/>
      <c r="AA258" s="76"/>
      <c r="AB258" s="76"/>
      <c r="AC258" s="76"/>
      <c r="AD258" s="76"/>
      <c r="AE258" s="76"/>
      <c r="AF258" s="76"/>
      <c r="AG258" s="76"/>
      <c r="AH258" s="76"/>
      <c r="AI258" s="76"/>
      <c r="AJ258" s="76"/>
    </row>
    <row r="259" spans="1:36" ht="19.5" customHeight="1" x14ac:dyDescent="0.3">
      <c r="A259" s="76"/>
      <c r="B259" s="170"/>
      <c r="C259" s="171"/>
      <c r="D259" s="162"/>
      <c r="E259" s="208"/>
      <c r="F259" s="116"/>
      <c r="G259" s="116"/>
      <c r="H259" s="163"/>
      <c r="I259" s="151"/>
      <c r="J259" s="127"/>
      <c r="K259" s="162"/>
      <c r="L259" s="162"/>
      <c r="M259" s="162"/>
      <c r="N259" s="164"/>
      <c r="O259" s="165"/>
      <c r="P259" s="165"/>
      <c r="Q259" s="165"/>
      <c r="R259" s="166"/>
      <c r="S259" s="83"/>
      <c r="T259" s="155"/>
      <c r="U259" s="76"/>
      <c r="V259" s="76"/>
      <c r="W259" s="76"/>
      <c r="X259" s="76"/>
      <c r="Y259" s="76"/>
      <c r="Z259" s="76"/>
      <c r="AA259" s="76"/>
      <c r="AB259" s="76"/>
      <c r="AC259" s="76"/>
      <c r="AD259" s="76"/>
      <c r="AE259" s="76"/>
      <c r="AF259" s="76"/>
      <c r="AG259" s="76"/>
      <c r="AH259" s="76"/>
      <c r="AI259" s="76"/>
      <c r="AJ259" s="76"/>
    </row>
    <row r="260" spans="1:36" ht="19.5" customHeight="1" x14ac:dyDescent="0.3">
      <c r="A260" s="76"/>
      <c r="B260" s="170"/>
      <c r="C260" s="171"/>
      <c r="D260" s="162"/>
      <c r="E260" s="208"/>
      <c r="F260" s="116"/>
      <c r="G260" s="116"/>
      <c r="H260" s="163"/>
      <c r="I260" s="151"/>
      <c r="J260" s="127"/>
      <c r="K260" s="162"/>
      <c r="L260" s="162"/>
      <c r="M260" s="162"/>
      <c r="N260" s="164"/>
      <c r="O260" s="165"/>
      <c r="P260" s="165"/>
      <c r="Q260" s="165"/>
      <c r="R260" s="166"/>
      <c r="S260" s="83"/>
      <c r="T260" s="155"/>
      <c r="U260" s="76"/>
      <c r="V260" s="76"/>
      <c r="W260" s="76"/>
      <c r="X260" s="76"/>
      <c r="Y260" s="76"/>
      <c r="Z260" s="76"/>
      <c r="AA260" s="76"/>
      <c r="AB260" s="76"/>
      <c r="AC260" s="76"/>
      <c r="AD260" s="76"/>
      <c r="AE260" s="76"/>
      <c r="AF260" s="76"/>
      <c r="AG260" s="76"/>
      <c r="AH260" s="76"/>
      <c r="AI260" s="76"/>
      <c r="AJ260" s="76"/>
    </row>
    <row r="261" spans="1:36" ht="19.5" customHeight="1" x14ac:dyDescent="0.3">
      <c r="A261" s="76"/>
      <c r="B261" s="170"/>
      <c r="C261" s="171"/>
      <c r="D261" s="162"/>
      <c r="E261" s="208"/>
      <c r="F261" s="116"/>
      <c r="G261" s="116"/>
      <c r="H261" s="163"/>
      <c r="I261" s="151"/>
      <c r="J261" s="127"/>
      <c r="K261" s="162"/>
      <c r="L261" s="162"/>
      <c r="M261" s="162"/>
      <c r="N261" s="164"/>
      <c r="O261" s="165"/>
      <c r="P261" s="165"/>
      <c r="Q261" s="165"/>
      <c r="R261" s="166"/>
      <c r="S261" s="83"/>
      <c r="T261" s="155"/>
      <c r="U261" s="76"/>
      <c r="V261" s="76"/>
      <c r="W261" s="76"/>
      <c r="X261" s="76"/>
      <c r="Y261" s="76"/>
      <c r="Z261" s="76"/>
      <c r="AA261" s="76"/>
      <c r="AB261" s="76"/>
      <c r="AC261" s="76"/>
      <c r="AD261" s="76"/>
      <c r="AE261" s="76"/>
      <c r="AF261" s="76"/>
      <c r="AG261" s="76"/>
      <c r="AH261" s="76"/>
      <c r="AI261" s="76"/>
      <c r="AJ261" s="76"/>
    </row>
    <row r="262" spans="1:36" ht="19.5" customHeight="1" x14ac:dyDescent="0.3">
      <c r="A262" s="76"/>
      <c r="B262" s="170"/>
      <c r="C262" s="171"/>
      <c r="D262" s="162"/>
      <c r="E262" s="208"/>
      <c r="F262" s="116"/>
      <c r="G262" s="116"/>
      <c r="H262" s="163"/>
      <c r="I262" s="151"/>
      <c r="J262" s="127"/>
      <c r="K262" s="162"/>
      <c r="L262" s="162"/>
      <c r="M262" s="162"/>
      <c r="N262" s="164"/>
      <c r="O262" s="165"/>
      <c r="P262" s="165"/>
      <c r="Q262" s="165"/>
      <c r="R262" s="166"/>
      <c r="S262" s="83"/>
      <c r="T262" s="155"/>
      <c r="U262" s="76"/>
      <c r="V262" s="76"/>
      <c r="W262" s="76"/>
      <c r="X262" s="76"/>
      <c r="Y262" s="76"/>
      <c r="Z262" s="76"/>
      <c r="AA262" s="76"/>
      <c r="AB262" s="76"/>
      <c r="AC262" s="76"/>
      <c r="AD262" s="76"/>
      <c r="AE262" s="76"/>
      <c r="AF262" s="76"/>
      <c r="AG262" s="76"/>
      <c r="AH262" s="76"/>
      <c r="AI262" s="76"/>
      <c r="AJ262" s="76"/>
    </row>
    <row r="263" spans="1:36" ht="19.5" customHeight="1" x14ac:dyDescent="0.3">
      <c r="A263" s="76"/>
      <c r="B263" s="170"/>
      <c r="C263" s="171"/>
      <c r="D263" s="162"/>
      <c r="E263" s="208"/>
      <c r="F263" s="116"/>
      <c r="G263" s="116"/>
      <c r="H263" s="163"/>
      <c r="I263" s="151"/>
      <c r="J263" s="127"/>
      <c r="K263" s="162"/>
      <c r="L263" s="162"/>
      <c r="M263" s="162"/>
      <c r="N263" s="164"/>
      <c r="O263" s="165"/>
      <c r="P263" s="165"/>
      <c r="Q263" s="165"/>
      <c r="R263" s="166"/>
      <c r="S263" s="83"/>
      <c r="T263" s="155"/>
      <c r="U263" s="76"/>
      <c r="V263" s="76"/>
      <c r="W263" s="76"/>
      <c r="X263" s="76"/>
      <c r="Y263" s="76"/>
      <c r="Z263" s="76"/>
      <c r="AA263" s="76"/>
      <c r="AB263" s="76"/>
      <c r="AC263" s="76"/>
      <c r="AD263" s="76"/>
      <c r="AE263" s="76"/>
      <c r="AF263" s="76"/>
      <c r="AG263" s="76"/>
      <c r="AH263" s="76"/>
      <c r="AI263" s="76"/>
      <c r="AJ263" s="76"/>
    </row>
    <row r="264" spans="1:36" ht="19.5" customHeight="1" x14ac:dyDescent="0.3">
      <c r="A264" s="76"/>
      <c r="B264" s="170"/>
      <c r="C264" s="171"/>
      <c r="D264" s="162"/>
      <c r="E264" s="208"/>
      <c r="F264" s="116"/>
      <c r="G264" s="116"/>
      <c r="H264" s="163"/>
      <c r="I264" s="151"/>
      <c r="J264" s="127"/>
      <c r="K264" s="162"/>
      <c r="L264" s="162"/>
      <c r="M264" s="162"/>
      <c r="N264" s="164"/>
      <c r="O264" s="165"/>
      <c r="P264" s="165"/>
      <c r="Q264" s="165"/>
      <c r="R264" s="166"/>
      <c r="S264" s="83"/>
      <c r="T264" s="155"/>
      <c r="U264" s="76"/>
      <c r="V264" s="76"/>
      <c r="W264" s="76"/>
      <c r="X264" s="76"/>
      <c r="Y264" s="76"/>
      <c r="Z264" s="76"/>
      <c r="AA264" s="76"/>
      <c r="AB264" s="76"/>
      <c r="AC264" s="76"/>
      <c r="AD264" s="76"/>
      <c r="AE264" s="76"/>
      <c r="AF264" s="76"/>
      <c r="AG264" s="76"/>
      <c r="AH264" s="76"/>
      <c r="AI264" s="76"/>
      <c r="AJ264" s="76"/>
    </row>
    <row r="265" spans="1:36" ht="19.5" customHeight="1" x14ac:dyDescent="0.3">
      <c r="A265" s="76"/>
      <c r="B265" s="170"/>
      <c r="C265" s="171"/>
      <c r="D265" s="162"/>
      <c r="E265" s="208"/>
      <c r="F265" s="116"/>
      <c r="G265" s="116"/>
      <c r="H265" s="163"/>
      <c r="I265" s="151"/>
      <c r="J265" s="127"/>
      <c r="K265" s="162"/>
      <c r="L265" s="162"/>
      <c r="M265" s="162"/>
      <c r="N265" s="164"/>
      <c r="O265" s="165"/>
      <c r="P265" s="165"/>
      <c r="Q265" s="165"/>
      <c r="R265" s="166"/>
      <c r="S265" s="83"/>
      <c r="T265" s="155"/>
      <c r="U265" s="76"/>
      <c r="V265" s="76"/>
      <c r="W265" s="76"/>
      <c r="X265" s="76"/>
      <c r="Y265" s="76"/>
      <c r="Z265" s="76"/>
      <c r="AA265" s="76"/>
      <c r="AB265" s="76"/>
      <c r="AC265" s="76"/>
      <c r="AD265" s="76"/>
      <c r="AE265" s="76"/>
      <c r="AF265" s="76"/>
      <c r="AG265" s="76"/>
      <c r="AH265" s="76"/>
      <c r="AI265" s="76"/>
      <c r="AJ265" s="76"/>
    </row>
    <row r="266" spans="1:36" ht="19.5" customHeight="1" x14ac:dyDescent="0.3">
      <c r="A266" s="76"/>
      <c r="B266" s="170"/>
      <c r="C266" s="171"/>
      <c r="D266" s="162"/>
      <c r="E266" s="208"/>
      <c r="F266" s="116"/>
      <c r="G266" s="116"/>
      <c r="H266" s="163"/>
      <c r="I266" s="151"/>
      <c r="J266" s="127"/>
      <c r="K266" s="162"/>
      <c r="L266" s="162"/>
      <c r="M266" s="162"/>
      <c r="N266" s="164"/>
      <c r="O266" s="165"/>
      <c r="P266" s="165"/>
      <c r="Q266" s="165"/>
      <c r="R266" s="166"/>
      <c r="S266" s="83"/>
      <c r="T266" s="155"/>
      <c r="U266" s="76"/>
      <c r="V266" s="76"/>
      <c r="W266" s="76"/>
      <c r="X266" s="76"/>
      <c r="Y266" s="76"/>
      <c r="Z266" s="76"/>
      <c r="AA266" s="76"/>
      <c r="AB266" s="76"/>
      <c r="AC266" s="76"/>
      <c r="AD266" s="76"/>
      <c r="AE266" s="76"/>
      <c r="AF266" s="76"/>
      <c r="AG266" s="76"/>
      <c r="AH266" s="76"/>
      <c r="AI266" s="76"/>
      <c r="AJ266" s="76"/>
    </row>
    <row r="267" spans="1:36" ht="19.5" customHeight="1" x14ac:dyDescent="0.3">
      <c r="A267" s="76"/>
      <c r="B267" s="170"/>
      <c r="C267" s="171"/>
      <c r="D267" s="162"/>
      <c r="E267" s="208"/>
      <c r="F267" s="116"/>
      <c r="G267" s="116"/>
      <c r="H267" s="163"/>
      <c r="I267" s="151"/>
      <c r="J267" s="127"/>
      <c r="K267" s="162"/>
      <c r="L267" s="162"/>
      <c r="M267" s="162"/>
      <c r="N267" s="164"/>
      <c r="O267" s="165"/>
      <c r="P267" s="165"/>
      <c r="Q267" s="165"/>
      <c r="R267" s="166"/>
      <c r="S267" s="83"/>
      <c r="T267" s="155"/>
      <c r="U267" s="76"/>
      <c r="V267" s="76"/>
      <c r="W267" s="76"/>
      <c r="X267" s="76"/>
      <c r="Y267" s="76"/>
      <c r="Z267" s="76"/>
      <c r="AA267" s="76"/>
      <c r="AB267" s="76"/>
      <c r="AC267" s="76"/>
      <c r="AD267" s="76"/>
      <c r="AE267" s="76"/>
      <c r="AF267" s="76"/>
      <c r="AG267" s="76"/>
      <c r="AH267" s="76"/>
      <c r="AI267" s="76"/>
      <c r="AJ267" s="76"/>
    </row>
    <row r="268" spans="1:36" ht="19.5" customHeight="1" x14ac:dyDescent="0.3">
      <c r="A268" s="76"/>
      <c r="B268" s="170"/>
      <c r="C268" s="171"/>
      <c r="D268" s="162"/>
      <c r="E268" s="208"/>
      <c r="F268" s="170"/>
      <c r="G268" s="116"/>
      <c r="H268" s="163"/>
      <c r="I268" s="151"/>
      <c r="J268" s="127"/>
      <c r="K268" s="162"/>
      <c r="L268" s="162"/>
      <c r="M268" s="162"/>
      <c r="N268" s="164"/>
      <c r="O268" s="165"/>
      <c r="P268" s="165"/>
      <c r="Q268" s="165"/>
      <c r="R268" s="166"/>
      <c r="S268" s="83"/>
      <c r="T268" s="155"/>
      <c r="U268" s="76"/>
      <c r="V268" s="76"/>
      <c r="W268" s="76"/>
      <c r="X268" s="76"/>
      <c r="Y268" s="76"/>
      <c r="Z268" s="76"/>
      <c r="AA268" s="76"/>
      <c r="AB268" s="76"/>
      <c r="AC268" s="76"/>
      <c r="AD268" s="76"/>
      <c r="AE268" s="76"/>
      <c r="AF268" s="76"/>
      <c r="AG268" s="76"/>
      <c r="AH268" s="76"/>
      <c r="AI268" s="76"/>
      <c r="AJ268" s="76"/>
    </row>
    <row r="269" spans="1:36" s="148" customFormat="1" ht="19.5" customHeight="1" x14ac:dyDescent="0.3">
      <c r="A269" s="138"/>
      <c r="B269" s="139"/>
      <c r="C269" s="140"/>
      <c r="D269" s="140"/>
      <c r="E269" s="141"/>
      <c r="F269" s="141"/>
      <c r="G269" s="141"/>
      <c r="H269" s="141"/>
      <c r="I269" s="142"/>
      <c r="J269" s="143"/>
      <c r="K269" s="140"/>
      <c r="L269" s="140"/>
      <c r="M269" s="140"/>
      <c r="N269" s="144"/>
      <c r="O269" s="145"/>
      <c r="P269" s="145"/>
      <c r="Q269" s="145"/>
      <c r="R269" s="146"/>
      <c r="S269" s="147"/>
      <c r="T269" s="155"/>
      <c r="U269" s="138"/>
      <c r="V269" s="138"/>
      <c r="W269" s="138"/>
      <c r="X269" s="138"/>
      <c r="Y269" s="138"/>
      <c r="Z269" s="138"/>
      <c r="AA269" s="138"/>
      <c r="AB269" s="138"/>
      <c r="AC269" s="138"/>
      <c r="AD269" s="138"/>
      <c r="AE269" s="138"/>
      <c r="AF269" s="138"/>
      <c r="AG269" s="138"/>
      <c r="AH269" s="138"/>
      <c r="AI269" s="138"/>
      <c r="AJ269" s="138"/>
    </row>
    <row r="270" spans="1:36" ht="19.5" customHeight="1" x14ac:dyDescent="0.3">
      <c r="A270" s="76"/>
      <c r="B270" s="170"/>
      <c r="C270" s="171"/>
      <c r="D270" s="162"/>
      <c r="E270" s="171"/>
      <c r="F270" s="116"/>
      <c r="G270" s="116"/>
      <c r="H270" s="163"/>
      <c r="I270" s="151"/>
      <c r="J270" s="127"/>
      <c r="K270" s="162"/>
      <c r="L270" s="162"/>
      <c r="M270" s="162"/>
      <c r="N270" s="164"/>
      <c r="O270" s="165"/>
      <c r="P270" s="165"/>
      <c r="Q270" s="165"/>
      <c r="R270" s="166"/>
      <c r="S270" s="83"/>
      <c r="T270" s="155"/>
      <c r="U270" s="76"/>
      <c r="V270" s="76"/>
      <c r="W270" s="76"/>
      <c r="X270" s="76"/>
      <c r="Y270" s="76"/>
      <c r="Z270" s="76"/>
      <c r="AA270" s="76"/>
      <c r="AB270" s="76"/>
      <c r="AC270" s="76"/>
      <c r="AD270" s="76"/>
      <c r="AE270" s="76"/>
      <c r="AF270" s="76"/>
      <c r="AG270" s="76"/>
      <c r="AH270" s="76"/>
      <c r="AI270" s="76"/>
      <c r="AJ270" s="76"/>
    </row>
    <row r="271" spans="1:36" ht="19.5" customHeight="1" x14ac:dyDescent="0.3">
      <c r="A271" s="76"/>
      <c r="B271" s="170"/>
      <c r="C271" s="171"/>
      <c r="D271" s="162"/>
      <c r="E271" s="171"/>
      <c r="F271" s="116"/>
      <c r="G271" s="116"/>
      <c r="H271" s="163"/>
      <c r="I271" s="151"/>
      <c r="J271" s="127"/>
      <c r="K271" s="162"/>
      <c r="L271" s="162"/>
      <c r="M271" s="162"/>
      <c r="N271" s="164"/>
      <c r="O271" s="165"/>
      <c r="P271" s="165"/>
      <c r="Q271" s="165"/>
      <c r="R271" s="166"/>
      <c r="S271" s="83"/>
      <c r="T271" s="155"/>
      <c r="U271" s="76"/>
      <c r="V271" s="76"/>
      <c r="W271" s="76"/>
      <c r="X271" s="76"/>
      <c r="Y271" s="76"/>
      <c r="Z271" s="76"/>
      <c r="AA271" s="76"/>
      <c r="AB271" s="76"/>
      <c r="AC271" s="76"/>
      <c r="AD271" s="76"/>
      <c r="AE271" s="76"/>
      <c r="AF271" s="76"/>
      <c r="AG271" s="76"/>
      <c r="AH271" s="76"/>
      <c r="AI271" s="76"/>
      <c r="AJ271" s="76"/>
    </row>
    <row r="272" spans="1:36" ht="19.5" customHeight="1" x14ac:dyDescent="0.3">
      <c r="A272" s="76"/>
      <c r="B272" s="170"/>
      <c r="C272" s="171"/>
      <c r="D272" s="162"/>
      <c r="E272" s="171"/>
      <c r="F272" s="116"/>
      <c r="G272" s="116"/>
      <c r="H272" s="163"/>
      <c r="I272" s="151"/>
      <c r="J272" s="127"/>
      <c r="K272" s="162"/>
      <c r="L272" s="162"/>
      <c r="M272" s="162"/>
      <c r="N272" s="164"/>
      <c r="O272" s="165"/>
      <c r="P272" s="165"/>
      <c r="Q272" s="165"/>
      <c r="R272" s="166"/>
      <c r="S272" s="83"/>
      <c r="T272" s="155"/>
      <c r="U272" s="76"/>
      <c r="V272" s="76"/>
      <c r="W272" s="76"/>
      <c r="X272" s="76"/>
      <c r="Y272" s="76"/>
      <c r="Z272" s="76"/>
      <c r="AA272" s="76"/>
      <c r="AB272" s="76"/>
      <c r="AC272" s="76"/>
      <c r="AD272" s="76"/>
      <c r="AE272" s="76"/>
      <c r="AF272" s="76"/>
      <c r="AG272" s="76"/>
      <c r="AH272" s="76"/>
      <c r="AI272" s="76"/>
      <c r="AJ272" s="76"/>
    </row>
    <row r="273" spans="1:36" ht="19.5" customHeight="1" x14ac:dyDescent="0.3">
      <c r="A273" s="76"/>
      <c r="B273" s="170"/>
      <c r="C273" s="171"/>
      <c r="D273" s="162"/>
      <c r="E273" s="171"/>
      <c r="F273" s="116"/>
      <c r="G273" s="116"/>
      <c r="H273" s="163"/>
      <c r="I273" s="151"/>
      <c r="J273" s="127"/>
      <c r="K273" s="162"/>
      <c r="L273" s="162"/>
      <c r="M273" s="162"/>
      <c r="N273" s="164"/>
      <c r="O273" s="165"/>
      <c r="P273" s="165"/>
      <c r="Q273" s="165"/>
      <c r="R273" s="166"/>
      <c r="S273" s="83"/>
      <c r="T273" s="155"/>
      <c r="U273" s="76"/>
      <c r="V273" s="76"/>
      <c r="W273" s="76"/>
      <c r="X273" s="76"/>
      <c r="Y273" s="76"/>
      <c r="Z273" s="76"/>
      <c r="AA273" s="76"/>
      <c r="AB273" s="76"/>
      <c r="AC273" s="76"/>
      <c r="AD273" s="76"/>
      <c r="AE273" s="76"/>
      <c r="AF273" s="76"/>
      <c r="AG273" s="76"/>
      <c r="AH273" s="76"/>
      <c r="AI273" s="76"/>
      <c r="AJ273" s="76"/>
    </row>
    <row r="274" spans="1:36" ht="19.5" customHeight="1" x14ac:dyDescent="0.3">
      <c r="A274" s="76"/>
      <c r="B274" s="170"/>
      <c r="C274" s="171"/>
      <c r="D274" s="162"/>
      <c r="E274" s="171"/>
      <c r="F274" s="116"/>
      <c r="G274" s="116"/>
      <c r="H274" s="163"/>
      <c r="I274" s="151"/>
      <c r="J274" s="127"/>
      <c r="K274" s="162"/>
      <c r="L274" s="162"/>
      <c r="M274" s="162"/>
      <c r="N274" s="164"/>
      <c r="O274" s="165"/>
      <c r="P274" s="165"/>
      <c r="Q274" s="165"/>
      <c r="R274" s="166"/>
      <c r="S274" s="83"/>
      <c r="T274" s="155"/>
      <c r="U274" s="76"/>
      <c r="V274" s="76"/>
      <c r="W274" s="76"/>
      <c r="X274" s="76"/>
      <c r="Y274" s="76"/>
      <c r="Z274" s="76"/>
      <c r="AA274" s="76"/>
      <c r="AB274" s="76"/>
      <c r="AC274" s="76"/>
      <c r="AD274" s="76"/>
      <c r="AE274" s="76"/>
      <c r="AF274" s="76"/>
      <c r="AG274" s="76"/>
      <c r="AH274" s="76"/>
      <c r="AI274" s="76"/>
      <c r="AJ274" s="76"/>
    </row>
    <row r="275" spans="1:36" ht="19.5" customHeight="1" x14ac:dyDescent="0.3">
      <c r="A275" s="76"/>
      <c r="B275" s="162"/>
      <c r="C275" s="162"/>
      <c r="D275" s="162"/>
      <c r="E275" s="163"/>
      <c r="F275" s="116"/>
      <c r="G275" s="163"/>
      <c r="H275" s="163"/>
      <c r="I275" s="151"/>
      <c r="J275" s="127"/>
      <c r="K275" s="162"/>
      <c r="L275" s="162"/>
      <c r="M275" s="162"/>
      <c r="N275" s="164"/>
      <c r="O275" s="165"/>
      <c r="P275" s="165"/>
      <c r="Q275" s="165"/>
      <c r="R275" s="166"/>
      <c r="S275" s="83"/>
      <c r="T275" s="155"/>
      <c r="U275" s="76"/>
      <c r="V275" s="76"/>
      <c r="W275" s="76"/>
      <c r="X275" s="76"/>
      <c r="Y275" s="76"/>
      <c r="Z275" s="76"/>
      <c r="AA275" s="76"/>
      <c r="AB275" s="76"/>
      <c r="AC275" s="76"/>
      <c r="AD275" s="76"/>
      <c r="AE275" s="76"/>
      <c r="AF275" s="76"/>
      <c r="AG275" s="76"/>
      <c r="AH275" s="76"/>
      <c r="AI275" s="76"/>
      <c r="AJ275" s="76"/>
    </row>
    <row r="276" spans="1:36" s="148" customFormat="1" ht="19.5" customHeight="1" x14ac:dyDescent="0.3">
      <c r="A276" s="138"/>
      <c r="B276" s="139"/>
      <c r="C276" s="140"/>
      <c r="D276" s="140"/>
      <c r="E276" s="141"/>
      <c r="F276" s="141"/>
      <c r="G276" s="141"/>
      <c r="H276" s="141"/>
      <c r="I276" s="142"/>
      <c r="J276" s="143"/>
      <c r="K276" s="140"/>
      <c r="L276" s="140"/>
      <c r="M276" s="140"/>
      <c r="N276" s="144"/>
      <c r="O276" s="145"/>
      <c r="P276" s="145"/>
      <c r="Q276" s="145"/>
      <c r="R276" s="146"/>
      <c r="S276" s="147"/>
      <c r="T276" s="155"/>
      <c r="U276" s="138"/>
      <c r="V276" s="138"/>
      <c r="W276" s="138"/>
      <c r="X276" s="138"/>
      <c r="Y276" s="138"/>
      <c r="Z276" s="138"/>
      <c r="AA276" s="138"/>
      <c r="AB276" s="138"/>
      <c r="AC276" s="138"/>
      <c r="AD276" s="138"/>
      <c r="AE276" s="138"/>
      <c r="AF276" s="138"/>
      <c r="AG276" s="138"/>
      <c r="AH276" s="138"/>
      <c r="AI276" s="138"/>
      <c r="AJ276" s="138"/>
    </row>
    <row r="277" spans="1:36" ht="19.5" customHeight="1" x14ac:dyDescent="0.3">
      <c r="A277" s="76"/>
      <c r="B277" s="170"/>
      <c r="C277" s="171"/>
      <c r="D277" s="162"/>
      <c r="E277" s="171"/>
      <c r="F277" s="116"/>
      <c r="G277" s="116"/>
      <c r="H277" s="163"/>
      <c r="I277" s="151"/>
      <c r="J277" s="127"/>
      <c r="K277" s="162"/>
      <c r="L277" s="162"/>
      <c r="M277" s="162"/>
      <c r="N277" s="164"/>
      <c r="O277" s="165"/>
      <c r="P277" s="165"/>
      <c r="Q277" s="165"/>
      <c r="R277" s="166"/>
      <c r="S277" s="83"/>
      <c r="T277" s="155"/>
      <c r="U277" s="76"/>
      <c r="V277" s="76"/>
      <c r="W277" s="76"/>
      <c r="X277" s="76"/>
      <c r="Y277" s="76"/>
      <c r="Z277" s="76"/>
      <c r="AA277" s="76"/>
      <c r="AB277" s="76"/>
      <c r="AC277" s="76"/>
      <c r="AD277" s="76"/>
      <c r="AE277" s="76"/>
      <c r="AF277" s="76"/>
      <c r="AG277" s="76"/>
      <c r="AH277" s="76"/>
      <c r="AI277" s="76"/>
      <c r="AJ277" s="76"/>
    </row>
    <row r="278" spans="1:36" ht="19.5" customHeight="1" x14ac:dyDescent="0.3">
      <c r="A278" s="76"/>
      <c r="B278" s="170"/>
      <c r="C278" s="171"/>
      <c r="D278" s="162"/>
      <c r="E278" s="171"/>
      <c r="F278" s="116"/>
      <c r="G278" s="116"/>
      <c r="H278" s="163"/>
      <c r="I278" s="151"/>
      <c r="J278" s="127"/>
      <c r="K278" s="162"/>
      <c r="L278" s="162"/>
      <c r="M278" s="162"/>
      <c r="N278" s="164"/>
      <c r="O278" s="165"/>
      <c r="P278" s="165"/>
      <c r="Q278" s="165"/>
      <c r="R278" s="166"/>
      <c r="S278" s="83"/>
      <c r="T278" s="155"/>
      <c r="U278" s="76"/>
      <c r="V278" s="76"/>
      <c r="W278" s="76"/>
      <c r="X278" s="76"/>
      <c r="Y278" s="76"/>
      <c r="Z278" s="76"/>
      <c r="AA278" s="76"/>
      <c r="AB278" s="76"/>
      <c r="AC278" s="76"/>
      <c r="AD278" s="76"/>
      <c r="AE278" s="76"/>
      <c r="AF278" s="76"/>
      <c r="AG278" s="76"/>
      <c r="AH278" s="76"/>
      <c r="AI278" s="76"/>
      <c r="AJ278" s="76"/>
    </row>
    <row r="279" spans="1:36" ht="19.5" customHeight="1" x14ac:dyDescent="0.3">
      <c r="A279" s="76"/>
      <c r="B279" s="170"/>
      <c r="C279" s="171"/>
      <c r="D279" s="162"/>
      <c r="E279" s="171"/>
      <c r="F279" s="116"/>
      <c r="G279" s="116"/>
      <c r="H279" s="163"/>
      <c r="I279" s="151"/>
      <c r="J279" s="127"/>
      <c r="K279" s="162"/>
      <c r="L279" s="162"/>
      <c r="M279" s="162"/>
      <c r="N279" s="164"/>
      <c r="O279" s="165"/>
      <c r="P279" s="165"/>
      <c r="Q279" s="165"/>
      <c r="R279" s="166"/>
      <c r="S279" s="83"/>
      <c r="T279" s="155"/>
      <c r="U279" s="76"/>
      <c r="V279" s="76"/>
      <c r="W279" s="76"/>
      <c r="X279" s="76"/>
      <c r="Y279" s="76"/>
      <c r="Z279" s="76"/>
      <c r="AA279" s="76"/>
      <c r="AB279" s="76"/>
      <c r="AC279" s="76"/>
      <c r="AD279" s="76"/>
      <c r="AE279" s="76"/>
      <c r="AF279" s="76"/>
      <c r="AG279" s="76"/>
      <c r="AH279" s="76"/>
      <c r="AI279" s="76"/>
      <c r="AJ279" s="76"/>
    </row>
    <row r="280" spans="1:36" ht="19.5" customHeight="1" x14ac:dyDescent="0.3">
      <c r="A280" s="76"/>
      <c r="B280" s="170"/>
      <c r="C280" s="171"/>
      <c r="D280" s="162"/>
      <c r="E280" s="171"/>
      <c r="F280" s="116"/>
      <c r="G280" s="116"/>
      <c r="H280" s="163"/>
      <c r="I280" s="151"/>
      <c r="J280" s="127"/>
      <c r="K280" s="162"/>
      <c r="L280" s="162"/>
      <c r="M280" s="162"/>
      <c r="N280" s="164"/>
      <c r="O280" s="165"/>
      <c r="P280" s="165"/>
      <c r="Q280" s="165"/>
      <c r="R280" s="166"/>
      <c r="S280" s="83"/>
      <c r="T280" s="155"/>
      <c r="U280" s="76"/>
      <c r="V280" s="76"/>
      <c r="W280" s="76"/>
      <c r="X280" s="76"/>
      <c r="Y280" s="76"/>
      <c r="Z280" s="76"/>
      <c r="AA280" s="76"/>
      <c r="AB280" s="76"/>
      <c r="AC280" s="76"/>
      <c r="AD280" s="76"/>
      <c r="AE280" s="76"/>
      <c r="AF280" s="76"/>
      <c r="AG280" s="76"/>
      <c r="AH280" s="76"/>
      <c r="AI280" s="76"/>
      <c r="AJ280" s="76"/>
    </row>
    <row r="281" spans="1:36" ht="19.5" customHeight="1" x14ac:dyDescent="0.3">
      <c r="A281" s="76"/>
      <c r="B281" s="170"/>
      <c r="C281" s="171"/>
      <c r="D281" s="162"/>
      <c r="E281" s="171"/>
      <c r="F281" s="116"/>
      <c r="G281" s="116"/>
      <c r="H281" s="163"/>
      <c r="I281" s="151"/>
      <c r="J281" s="127"/>
      <c r="K281" s="162"/>
      <c r="L281" s="162"/>
      <c r="M281" s="162"/>
      <c r="N281" s="164"/>
      <c r="O281" s="165"/>
      <c r="P281" s="165"/>
      <c r="Q281" s="165"/>
      <c r="R281" s="166"/>
      <c r="S281" s="83"/>
      <c r="T281" s="155"/>
      <c r="U281" s="76"/>
      <c r="V281" s="76"/>
      <c r="W281" s="76"/>
      <c r="X281" s="76"/>
      <c r="Y281" s="76"/>
      <c r="Z281" s="76"/>
      <c r="AA281" s="76"/>
      <c r="AB281" s="76"/>
      <c r="AC281" s="76"/>
      <c r="AD281" s="76"/>
      <c r="AE281" s="76"/>
      <c r="AF281" s="76"/>
      <c r="AG281" s="76"/>
      <c r="AH281" s="76"/>
      <c r="AI281" s="76"/>
      <c r="AJ281" s="76"/>
    </row>
    <row r="282" spans="1:36" ht="19.5" customHeight="1" x14ac:dyDescent="0.3">
      <c r="A282" s="76"/>
      <c r="B282" s="170"/>
      <c r="C282" s="171"/>
      <c r="D282" s="162"/>
      <c r="E282" s="171"/>
      <c r="F282" s="116"/>
      <c r="G282" s="116"/>
      <c r="H282" s="163"/>
      <c r="I282" s="151"/>
      <c r="J282" s="127"/>
      <c r="K282" s="162"/>
      <c r="L282" s="162"/>
      <c r="M282" s="162"/>
      <c r="N282" s="164"/>
      <c r="O282" s="165"/>
      <c r="P282" s="165"/>
      <c r="Q282" s="165"/>
      <c r="R282" s="166"/>
      <c r="S282" s="83"/>
      <c r="T282" s="155"/>
      <c r="U282" s="76"/>
      <c r="V282" s="76"/>
      <c r="W282" s="76"/>
      <c r="X282" s="76"/>
      <c r="Y282" s="76"/>
      <c r="Z282" s="76"/>
      <c r="AA282" s="76"/>
      <c r="AB282" s="76"/>
      <c r="AC282" s="76"/>
      <c r="AD282" s="76"/>
      <c r="AE282" s="76"/>
      <c r="AF282" s="76"/>
      <c r="AG282" s="76"/>
      <c r="AH282" s="76"/>
      <c r="AI282" s="76"/>
      <c r="AJ282" s="76"/>
    </row>
    <row r="283" spans="1:36" ht="19.5" customHeight="1" x14ac:dyDescent="0.3">
      <c r="A283" s="76"/>
      <c r="B283" s="170"/>
      <c r="C283" s="171"/>
      <c r="D283" s="162"/>
      <c r="E283" s="171"/>
      <c r="F283" s="116"/>
      <c r="G283" s="116"/>
      <c r="H283" s="163"/>
      <c r="I283" s="151"/>
      <c r="J283" s="127"/>
      <c r="K283" s="162"/>
      <c r="L283" s="162"/>
      <c r="M283" s="162"/>
      <c r="N283" s="164"/>
      <c r="O283" s="165"/>
      <c r="P283" s="165"/>
      <c r="Q283" s="165"/>
      <c r="R283" s="166"/>
      <c r="S283" s="83"/>
      <c r="T283" s="155"/>
      <c r="U283" s="76"/>
      <c r="V283" s="76"/>
      <c r="W283" s="76"/>
      <c r="X283" s="76"/>
      <c r="Y283" s="76"/>
      <c r="Z283" s="76"/>
      <c r="AA283" s="76"/>
      <c r="AB283" s="76"/>
      <c r="AC283" s="76"/>
      <c r="AD283" s="76"/>
      <c r="AE283" s="76"/>
      <c r="AF283" s="76"/>
      <c r="AG283" s="76"/>
      <c r="AH283" s="76"/>
      <c r="AI283" s="76"/>
      <c r="AJ283" s="76"/>
    </row>
    <row r="284" spans="1:36" ht="19.5" customHeight="1" x14ac:dyDescent="0.3">
      <c r="A284" s="76"/>
      <c r="B284" s="170"/>
      <c r="C284" s="171"/>
      <c r="D284" s="162"/>
      <c r="E284" s="171"/>
      <c r="F284" s="116"/>
      <c r="G284" s="116"/>
      <c r="H284" s="163"/>
      <c r="I284" s="151"/>
      <c r="J284" s="127"/>
      <c r="K284" s="162"/>
      <c r="L284" s="162"/>
      <c r="M284" s="162"/>
      <c r="N284" s="164"/>
      <c r="O284" s="165"/>
      <c r="P284" s="165"/>
      <c r="Q284" s="165"/>
      <c r="R284" s="166"/>
      <c r="S284" s="83"/>
      <c r="T284" s="155"/>
      <c r="U284" s="76"/>
      <c r="V284" s="76"/>
      <c r="W284" s="76"/>
      <c r="X284" s="76"/>
      <c r="Y284" s="76"/>
      <c r="Z284" s="76"/>
      <c r="AA284" s="76"/>
      <c r="AB284" s="76"/>
      <c r="AC284" s="76"/>
      <c r="AD284" s="76"/>
      <c r="AE284" s="76"/>
      <c r="AF284" s="76"/>
      <c r="AG284" s="76"/>
      <c r="AH284" s="76"/>
      <c r="AI284" s="76"/>
      <c r="AJ284" s="76"/>
    </row>
    <row r="285" spans="1:36" ht="19.5" customHeight="1" x14ac:dyDescent="0.3">
      <c r="A285" s="76"/>
      <c r="B285" s="172"/>
      <c r="C285" s="209"/>
      <c r="D285" s="162"/>
      <c r="E285" s="209"/>
      <c r="F285" s="116"/>
      <c r="G285" s="116"/>
      <c r="H285" s="163"/>
      <c r="I285" s="151"/>
      <c r="J285" s="127"/>
      <c r="K285" s="162"/>
      <c r="L285" s="162"/>
      <c r="M285" s="162"/>
      <c r="N285" s="164"/>
      <c r="O285" s="165"/>
      <c r="P285" s="165"/>
      <c r="Q285" s="165"/>
      <c r="R285" s="166"/>
      <c r="S285" s="83"/>
      <c r="T285" s="155"/>
      <c r="U285" s="76"/>
      <c r="V285" s="76"/>
      <c r="W285" s="76"/>
      <c r="X285" s="76"/>
      <c r="Y285" s="76"/>
      <c r="Z285" s="76"/>
      <c r="AA285" s="76"/>
      <c r="AB285" s="76"/>
      <c r="AC285" s="76"/>
      <c r="AD285" s="76"/>
      <c r="AE285" s="76"/>
      <c r="AF285" s="76"/>
      <c r="AG285" s="76"/>
      <c r="AH285" s="76"/>
      <c r="AI285" s="76"/>
      <c r="AJ285" s="76"/>
    </row>
    <row r="286" spans="1:36" s="148" customFormat="1" ht="19.5" customHeight="1" x14ac:dyDescent="0.3">
      <c r="A286" s="138"/>
      <c r="B286" s="139"/>
      <c r="C286" s="139"/>
      <c r="D286" s="140"/>
      <c r="E286" s="141"/>
      <c r="F286" s="141"/>
      <c r="G286" s="141"/>
      <c r="H286" s="141"/>
      <c r="I286" s="142"/>
      <c r="J286" s="143"/>
      <c r="K286" s="140"/>
      <c r="L286" s="140"/>
      <c r="M286" s="140"/>
      <c r="N286" s="144"/>
      <c r="O286" s="145"/>
      <c r="P286" s="145"/>
      <c r="Q286" s="145"/>
      <c r="R286" s="146"/>
      <c r="S286" s="147"/>
      <c r="T286" s="155"/>
      <c r="U286" s="138"/>
      <c r="V286" s="138"/>
      <c r="W286" s="138"/>
      <c r="X286" s="138"/>
      <c r="Y286" s="138"/>
      <c r="Z286" s="138"/>
      <c r="AA286" s="138"/>
      <c r="AB286" s="138"/>
      <c r="AC286" s="138"/>
      <c r="AD286" s="138"/>
      <c r="AE286" s="138"/>
      <c r="AF286" s="138"/>
      <c r="AG286" s="138"/>
      <c r="AH286" s="138"/>
      <c r="AI286" s="138"/>
      <c r="AJ286" s="138"/>
    </row>
    <row r="287" spans="1:36" ht="19.5" customHeight="1" x14ac:dyDescent="0.3">
      <c r="A287" s="76"/>
      <c r="B287" s="184"/>
      <c r="C287" s="185"/>
      <c r="D287" s="162"/>
      <c r="E287" s="185"/>
      <c r="F287" s="116"/>
      <c r="G287" s="116"/>
      <c r="H287" s="163"/>
      <c r="I287" s="151"/>
      <c r="J287" s="127"/>
      <c r="K287" s="162"/>
      <c r="L287" s="162"/>
      <c r="M287" s="162"/>
      <c r="N287" s="164"/>
      <c r="O287" s="165"/>
      <c r="P287" s="165"/>
      <c r="Q287" s="165"/>
      <c r="R287" s="166"/>
      <c r="S287" s="83"/>
      <c r="T287" s="155"/>
      <c r="U287" s="76"/>
      <c r="V287" s="76"/>
      <c r="W287" s="76"/>
      <c r="X287" s="76"/>
      <c r="Y287" s="76"/>
      <c r="Z287" s="76"/>
      <c r="AA287" s="76"/>
      <c r="AB287" s="76"/>
      <c r="AC287" s="76"/>
      <c r="AD287" s="76"/>
      <c r="AE287" s="76"/>
      <c r="AF287" s="76"/>
      <c r="AG287" s="76"/>
      <c r="AH287" s="76"/>
      <c r="AI287" s="76"/>
      <c r="AJ287" s="76"/>
    </row>
    <row r="288" spans="1:36" ht="19.5" customHeight="1" x14ac:dyDescent="0.3">
      <c r="A288" s="76"/>
      <c r="B288" s="184"/>
      <c r="C288" s="185"/>
      <c r="D288" s="162"/>
      <c r="E288" s="185"/>
      <c r="F288" s="116"/>
      <c r="G288" s="116"/>
      <c r="H288" s="163"/>
      <c r="I288" s="151"/>
      <c r="J288" s="127"/>
      <c r="K288" s="162"/>
      <c r="L288" s="162"/>
      <c r="M288" s="162"/>
      <c r="N288" s="164"/>
      <c r="O288" s="165"/>
      <c r="P288" s="165"/>
      <c r="Q288" s="165"/>
      <c r="R288" s="166"/>
      <c r="S288" s="83"/>
      <c r="T288" s="155"/>
      <c r="U288" s="76"/>
      <c r="V288" s="76"/>
      <c r="W288" s="76"/>
      <c r="X288" s="76"/>
      <c r="Y288" s="76"/>
      <c r="Z288" s="76"/>
      <c r="AA288" s="76"/>
      <c r="AB288" s="76"/>
      <c r="AC288" s="76"/>
      <c r="AD288" s="76"/>
      <c r="AE288" s="76"/>
      <c r="AF288" s="76"/>
      <c r="AG288" s="76"/>
      <c r="AH288" s="76"/>
      <c r="AI288" s="76"/>
      <c r="AJ288" s="76"/>
    </row>
    <row r="289" spans="1:36" ht="19.5" customHeight="1" x14ac:dyDescent="0.3">
      <c r="A289" s="76"/>
      <c r="B289" s="184"/>
      <c r="C289" s="185"/>
      <c r="D289" s="162"/>
      <c r="E289" s="185"/>
      <c r="F289" s="116"/>
      <c r="G289" s="116"/>
      <c r="H289" s="163"/>
      <c r="I289" s="151"/>
      <c r="J289" s="127"/>
      <c r="K289" s="162"/>
      <c r="L289" s="162"/>
      <c r="M289" s="162"/>
      <c r="N289" s="164"/>
      <c r="O289" s="165"/>
      <c r="P289" s="165"/>
      <c r="Q289" s="165"/>
      <c r="R289" s="166"/>
      <c r="S289" s="83"/>
      <c r="T289" s="155"/>
      <c r="U289" s="76"/>
      <c r="V289" s="76"/>
      <c r="W289" s="76"/>
      <c r="X289" s="76"/>
      <c r="Y289" s="76"/>
      <c r="Z289" s="76"/>
      <c r="AA289" s="76"/>
      <c r="AB289" s="76"/>
      <c r="AC289" s="76"/>
      <c r="AD289" s="76"/>
      <c r="AE289" s="76"/>
      <c r="AF289" s="76"/>
      <c r="AG289" s="76"/>
      <c r="AH289" s="76"/>
      <c r="AI289" s="76"/>
      <c r="AJ289" s="76"/>
    </row>
    <row r="290" spans="1:36" ht="19.5" customHeight="1" x14ac:dyDescent="0.3">
      <c r="A290" s="76"/>
      <c r="B290" s="184"/>
      <c r="C290" s="185"/>
      <c r="D290" s="162"/>
      <c r="E290" s="185"/>
      <c r="F290" s="116"/>
      <c r="G290" s="116"/>
      <c r="H290" s="163"/>
      <c r="I290" s="151"/>
      <c r="J290" s="127"/>
      <c r="K290" s="162"/>
      <c r="L290" s="162"/>
      <c r="M290" s="162"/>
      <c r="N290" s="164"/>
      <c r="O290" s="165"/>
      <c r="P290" s="165"/>
      <c r="Q290" s="165"/>
      <c r="R290" s="166"/>
      <c r="S290" s="83"/>
      <c r="T290" s="155"/>
      <c r="U290" s="76"/>
      <c r="V290" s="76"/>
      <c r="W290" s="76"/>
      <c r="X290" s="76"/>
      <c r="Y290" s="76"/>
      <c r="Z290" s="76"/>
      <c r="AA290" s="76"/>
      <c r="AB290" s="76"/>
      <c r="AC290" s="76"/>
      <c r="AD290" s="76"/>
      <c r="AE290" s="76"/>
      <c r="AF290" s="76"/>
      <c r="AG290" s="76"/>
      <c r="AH290" s="76"/>
      <c r="AI290" s="76"/>
      <c r="AJ290" s="76"/>
    </row>
    <row r="291" spans="1:36" ht="19.5" customHeight="1" x14ac:dyDescent="0.3">
      <c r="A291" s="76"/>
      <c r="B291" s="184"/>
      <c r="C291" s="185"/>
      <c r="D291" s="162"/>
      <c r="E291" s="185"/>
      <c r="F291" s="116"/>
      <c r="G291" s="116"/>
      <c r="H291" s="163"/>
      <c r="I291" s="151"/>
      <c r="J291" s="127"/>
      <c r="K291" s="162"/>
      <c r="L291" s="162"/>
      <c r="M291" s="162"/>
      <c r="N291" s="164"/>
      <c r="O291" s="165"/>
      <c r="P291" s="165"/>
      <c r="Q291" s="165"/>
      <c r="R291" s="166"/>
      <c r="S291" s="83"/>
      <c r="T291" s="155"/>
      <c r="U291" s="76"/>
      <c r="V291" s="76"/>
      <c r="W291" s="76"/>
      <c r="X291" s="76"/>
      <c r="Y291" s="76"/>
      <c r="Z291" s="76"/>
      <c r="AA291" s="76"/>
      <c r="AB291" s="76"/>
      <c r="AC291" s="76"/>
      <c r="AD291" s="76"/>
      <c r="AE291" s="76"/>
      <c r="AF291" s="76"/>
      <c r="AG291" s="76"/>
      <c r="AH291" s="76"/>
      <c r="AI291" s="76"/>
      <c r="AJ291" s="76"/>
    </row>
    <row r="292" spans="1:36" ht="19.5" customHeight="1" x14ac:dyDescent="0.3">
      <c r="A292" s="76"/>
      <c r="B292" s="184"/>
      <c r="C292" s="185"/>
      <c r="D292" s="162"/>
      <c r="E292" s="185"/>
      <c r="F292" s="116"/>
      <c r="G292" s="116"/>
      <c r="H292" s="163"/>
      <c r="I292" s="151"/>
      <c r="J292" s="127"/>
      <c r="K292" s="162"/>
      <c r="L292" s="162"/>
      <c r="M292" s="162"/>
      <c r="N292" s="164"/>
      <c r="O292" s="165"/>
      <c r="P292" s="165"/>
      <c r="Q292" s="165"/>
      <c r="R292" s="166"/>
      <c r="S292" s="83"/>
      <c r="T292" s="155"/>
      <c r="U292" s="76"/>
      <c r="V292" s="76"/>
      <c r="W292" s="76"/>
      <c r="X292" s="76"/>
      <c r="Y292" s="76"/>
      <c r="Z292" s="76"/>
      <c r="AA292" s="76"/>
      <c r="AB292" s="76"/>
      <c r="AC292" s="76"/>
      <c r="AD292" s="76"/>
      <c r="AE292" s="76"/>
      <c r="AF292" s="76"/>
      <c r="AG292" s="76"/>
      <c r="AH292" s="76"/>
      <c r="AI292" s="76"/>
      <c r="AJ292" s="76"/>
    </row>
    <row r="293" spans="1:36" ht="19.5" customHeight="1" x14ac:dyDescent="0.3">
      <c r="A293" s="76"/>
      <c r="B293" s="184"/>
      <c r="C293" s="185"/>
      <c r="D293" s="162"/>
      <c r="E293" s="185"/>
      <c r="F293" s="116"/>
      <c r="G293" s="116"/>
      <c r="H293" s="163"/>
      <c r="I293" s="151"/>
      <c r="J293" s="127"/>
      <c r="K293" s="162"/>
      <c r="L293" s="162"/>
      <c r="M293" s="162"/>
      <c r="N293" s="164"/>
      <c r="O293" s="165"/>
      <c r="P293" s="165"/>
      <c r="Q293" s="165"/>
      <c r="R293" s="166"/>
      <c r="S293" s="83"/>
      <c r="T293" s="155"/>
      <c r="U293" s="76"/>
      <c r="V293" s="76"/>
      <c r="W293" s="76"/>
      <c r="X293" s="76"/>
      <c r="Y293" s="76"/>
      <c r="Z293" s="76"/>
      <c r="AA293" s="76"/>
      <c r="AB293" s="76"/>
      <c r="AC293" s="76"/>
      <c r="AD293" s="76"/>
      <c r="AE293" s="76"/>
      <c r="AF293" s="76"/>
      <c r="AG293" s="76"/>
      <c r="AH293" s="76"/>
      <c r="AI293" s="76"/>
      <c r="AJ293" s="76"/>
    </row>
    <row r="294" spans="1:36" ht="19.5" customHeight="1" x14ac:dyDescent="0.3">
      <c r="A294" s="76"/>
      <c r="B294" s="184"/>
      <c r="C294" s="185"/>
      <c r="D294" s="162"/>
      <c r="E294" s="185"/>
      <c r="F294" s="116"/>
      <c r="G294" s="116"/>
      <c r="H294" s="163"/>
      <c r="I294" s="151"/>
      <c r="J294" s="127"/>
      <c r="K294" s="162"/>
      <c r="L294" s="162"/>
      <c r="M294" s="162"/>
      <c r="N294" s="164"/>
      <c r="O294" s="165"/>
      <c r="P294" s="165"/>
      <c r="Q294" s="165"/>
      <c r="R294" s="166"/>
      <c r="S294" s="83"/>
      <c r="T294" s="155"/>
      <c r="U294" s="76"/>
      <c r="V294" s="76"/>
      <c r="W294" s="76"/>
      <c r="X294" s="76"/>
      <c r="Y294" s="76"/>
      <c r="Z294" s="76"/>
      <c r="AA294" s="76"/>
      <c r="AB294" s="76"/>
      <c r="AC294" s="76"/>
      <c r="AD294" s="76"/>
      <c r="AE294" s="76"/>
      <c r="AF294" s="76"/>
      <c r="AG294" s="76"/>
      <c r="AH294" s="76"/>
      <c r="AI294" s="76"/>
      <c r="AJ294" s="76"/>
    </row>
    <row r="295" spans="1:36" ht="19.5" customHeight="1" x14ac:dyDescent="0.3">
      <c r="A295" s="76"/>
      <c r="B295" s="184"/>
      <c r="C295" s="185"/>
      <c r="D295" s="162"/>
      <c r="E295" s="185"/>
      <c r="F295" s="116"/>
      <c r="G295" s="116"/>
      <c r="H295" s="163"/>
      <c r="I295" s="151"/>
      <c r="J295" s="127"/>
      <c r="K295" s="162"/>
      <c r="L295" s="162"/>
      <c r="M295" s="162"/>
      <c r="N295" s="164"/>
      <c r="O295" s="165"/>
      <c r="P295" s="165"/>
      <c r="Q295" s="165"/>
      <c r="R295" s="166"/>
      <c r="S295" s="83"/>
      <c r="T295" s="155"/>
      <c r="U295" s="76"/>
      <c r="V295" s="76"/>
      <c r="W295" s="76"/>
      <c r="X295" s="76"/>
      <c r="Y295" s="76"/>
      <c r="Z295" s="76"/>
      <c r="AA295" s="76"/>
      <c r="AB295" s="76"/>
      <c r="AC295" s="76"/>
      <c r="AD295" s="76"/>
      <c r="AE295" s="76"/>
      <c r="AF295" s="76"/>
      <c r="AG295" s="76"/>
      <c r="AH295" s="76"/>
      <c r="AI295" s="76"/>
      <c r="AJ295" s="76"/>
    </row>
    <row r="296" spans="1:36" ht="19.5" customHeight="1" x14ac:dyDescent="0.3">
      <c r="A296" s="76"/>
      <c r="B296" s="184"/>
      <c r="C296" s="185"/>
      <c r="D296" s="162"/>
      <c r="E296" s="185"/>
      <c r="F296" s="116"/>
      <c r="G296" s="116"/>
      <c r="H296" s="163"/>
      <c r="I296" s="151"/>
      <c r="J296" s="127"/>
      <c r="K296" s="162"/>
      <c r="L296" s="162"/>
      <c r="M296" s="162"/>
      <c r="N296" s="164"/>
      <c r="O296" s="165"/>
      <c r="P296" s="165"/>
      <c r="Q296" s="165"/>
      <c r="R296" s="166"/>
      <c r="S296" s="83"/>
      <c r="T296" s="155"/>
      <c r="U296" s="76"/>
      <c r="V296" s="76"/>
      <c r="W296" s="76"/>
      <c r="X296" s="76"/>
      <c r="Y296" s="76"/>
      <c r="Z296" s="76"/>
      <c r="AA296" s="76"/>
      <c r="AB296" s="76"/>
      <c r="AC296" s="76"/>
      <c r="AD296" s="76"/>
      <c r="AE296" s="76"/>
      <c r="AF296" s="76"/>
      <c r="AG296" s="76"/>
      <c r="AH296" s="76"/>
      <c r="AI296" s="76"/>
      <c r="AJ296" s="76"/>
    </row>
    <row r="297" spans="1:36" ht="19.5" customHeight="1" x14ac:dyDescent="0.3">
      <c r="A297" s="76"/>
      <c r="B297" s="184"/>
      <c r="C297" s="185"/>
      <c r="D297" s="162"/>
      <c r="E297" s="185"/>
      <c r="F297" s="116"/>
      <c r="G297" s="116"/>
      <c r="H297" s="163"/>
      <c r="I297" s="151"/>
      <c r="J297" s="127"/>
      <c r="K297" s="162"/>
      <c r="L297" s="162"/>
      <c r="M297" s="162"/>
      <c r="N297" s="164"/>
      <c r="O297" s="165"/>
      <c r="P297" s="165"/>
      <c r="Q297" s="165"/>
      <c r="R297" s="166"/>
      <c r="S297" s="83"/>
      <c r="T297" s="155"/>
      <c r="U297" s="76"/>
      <c r="V297" s="76"/>
      <c r="W297" s="76"/>
      <c r="X297" s="76"/>
      <c r="Y297" s="76"/>
      <c r="Z297" s="76"/>
      <c r="AA297" s="76"/>
      <c r="AB297" s="76"/>
      <c r="AC297" s="76"/>
      <c r="AD297" s="76"/>
      <c r="AE297" s="76"/>
      <c r="AF297" s="76"/>
      <c r="AG297" s="76"/>
      <c r="AH297" s="76"/>
      <c r="AI297" s="76"/>
      <c r="AJ297" s="76"/>
    </row>
    <row r="298" spans="1:36" ht="19.5" customHeight="1" x14ac:dyDescent="0.3">
      <c r="A298" s="76"/>
      <c r="B298" s="184"/>
      <c r="C298" s="185"/>
      <c r="D298" s="162"/>
      <c r="E298" s="185"/>
      <c r="F298" s="116"/>
      <c r="G298" s="116"/>
      <c r="H298" s="163"/>
      <c r="I298" s="151"/>
      <c r="J298" s="127"/>
      <c r="K298" s="162"/>
      <c r="L298" s="162"/>
      <c r="M298" s="162"/>
      <c r="N298" s="164"/>
      <c r="O298" s="165"/>
      <c r="P298" s="165"/>
      <c r="Q298" s="165"/>
      <c r="R298" s="166"/>
      <c r="S298" s="83"/>
      <c r="T298" s="155"/>
      <c r="U298" s="76"/>
      <c r="V298" s="76"/>
      <c r="W298" s="76"/>
      <c r="X298" s="76"/>
      <c r="Y298" s="76"/>
      <c r="Z298" s="76"/>
      <c r="AA298" s="76"/>
      <c r="AB298" s="76"/>
      <c r="AC298" s="76"/>
      <c r="AD298" s="76"/>
      <c r="AE298" s="76"/>
      <c r="AF298" s="76"/>
      <c r="AG298" s="76"/>
      <c r="AH298" s="76"/>
      <c r="AI298" s="76"/>
      <c r="AJ298" s="76"/>
    </row>
    <row r="299" spans="1:36" s="148" customFormat="1" ht="19.5" customHeight="1" x14ac:dyDescent="0.3">
      <c r="A299" s="138"/>
      <c r="B299" s="139"/>
      <c r="C299" s="139"/>
      <c r="D299" s="210"/>
      <c r="E299" s="211"/>
      <c r="F299" s="211"/>
      <c r="G299" s="211"/>
      <c r="H299" s="211"/>
      <c r="I299" s="142"/>
      <c r="J299" s="143"/>
      <c r="K299" s="140"/>
      <c r="L299" s="140"/>
      <c r="M299" s="140"/>
      <c r="N299" s="144"/>
      <c r="O299" s="145"/>
      <c r="P299" s="145"/>
      <c r="Q299" s="145"/>
      <c r="R299" s="146"/>
      <c r="S299" s="147"/>
      <c r="T299" s="155"/>
      <c r="U299" s="138"/>
      <c r="V299" s="138"/>
      <c r="W299" s="138"/>
      <c r="X299" s="138"/>
      <c r="Y299" s="138"/>
      <c r="Z299" s="138"/>
      <c r="AA299" s="138"/>
      <c r="AB299" s="138"/>
      <c r="AC299" s="138"/>
      <c r="AD299" s="138"/>
      <c r="AE299" s="138"/>
      <c r="AF299" s="138"/>
      <c r="AG299" s="138"/>
      <c r="AH299" s="138"/>
      <c r="AI299" s="138"/>
      <c r="AJ299" s="138"/>
    </row>
    <row r="300" spans="1:36" ht="19.5" customHeight="1" x14ac:dyDescent="0.3">
      <c r="A300" s="76"/>
      <c r="B300" s="184"/>
      <c r="C300" s="185"/>
      <c r="D300" s="162"/>
      <c r="E300" s="185"/>
      <c r="F300" s="116"/>
      <c r="G300" s="116"/>
      <c r="H300" s="163"/>
      <c r="I300" s="151"/>
      <c r="J300" s="127"/>
      <c r="K300" s="162"/>
      <c r="L300" s="162"/>
      <c r="M300" s="162"/>
      <c r="N300" s="164"/>
      <c r="O300" s="165"/>
      <c r="P300" s="165"/>
      <c r="Q300" s="165"/>
      <c r="R300" s="166"/>
      <c r="S300" s="83"/>
      <c r="T300" s="155"/>
      <c r="U300" s="76"/>
      <c r="V300" s="76"/>
      <c r="W300" s="76"/>
      <c r="X300" s="76"/>
      <c r="Y300" s="76"/>
      <c r="Z300" s="76"/>
      <c r="AA300" s="76"/>
      <c r="AB300" s="76"/>
      <c r="AC300" s="76"/>
      <c r="AD300" s="76"/>
      <c r="AE300" s="76"/>
      <c r="AF300" s="76"/>
      <c r="AG300" s="76"/>
      <c r="AH300" s="76"/>
      <c r="AI300" s="76"/>
      <c r="AJ300" s="76"/>
    </row>
    <row r="301" spans="1:36" ht="19.5" customHeight="1" x14ac:dyDescent="0.3">
      <c r="A301" s="76"/>
      <c r="B301" s="184"/>
      <c r="C301" s="185"/>
      <c r="D301" s="162"/>
      <c r="E301" s="185"/>
      <c r="F301" s="116"/>
      <c r="G301" s="116"/>
      <c r="H301" s="163"/>
      <c r="I301" s="151"/>
      <c r="J301" s="127"/>
      <c r="K301" s="162"/>
      <c r="L301" s="162"/>
      <c r="M301" s="162"/>
      <c r="N301" s="164"/>
      <c r="O301" s="165"/>
      <c r="P301" s="165"/>
      <c r="Q301" s="165"/>
      <c r="R301" s="166"/>
      <c r="S301" s="83"/>
      <c r="T301" s="155"/>
      <c r="U301" s="76"/>
      <c r="V301" s="76"/>
      <c r="W301" s="76"/>
      <c r="X301" s="76"/>
      <c r="Y301" s="76"/>
      <c r="Z301" s="76"/>
      <c r="AA301" s="76"/>
      <c r="AB301" s="76"/>
      <c r="AC301" s="76"/>
      <c r="AD301" s="76"/>
      <c r="AE301" s="76"/>
      <c r="AF301" s="76"/>
      <c r="AG301" s="76"/>
      <c r="AH301" s="76"/>
      <c r="AI301" s="76"/>
      <c r="AJ301" s="76"/>
    </row>
    <row r="302" spans="1:36" ht="19.5" customHeight="1" x14ac:dyDescent="0.3">
      <c r="A302" s="76"/>
      <c r="B302" s="184"/>
      <c r="C302" s="185"/>
      <c r="D302" s="162"/>
      <c r="E302" s="185"/>
      <c r="F302" s="116"/>
      <c r="G302" s="116"/>
      <c r="H302" s="163"/>
      <c r="I302" s="151"/>
      <c r="J302" s="127"/>
      <c r="K302" s="162"/>
      <c r="L302" s="162"/>
      <c r="M302" s="162"/>
      <c r="N302" s="164"/>
      <c r="O302" s="165"/>
      <c r="P302" s="165"/>
      <c r="Q302" s="165"/>
      <c r="R302" s="166"/>
      <c r="S302" s="83"/>
      <c r="T302" s="155"/>
      <c r="U302" s="76"/>
      <c r="V302" s="76"/>
      <c r="W302" s="76"/>
      <c r="X302" s="76"/>
      <c r="Y302" s="76"/>
      <c r="Z302" s="76"/>
      <c r="AA302" s="76"/>
      <c r="AB302" s="76"/>
      <c r="AC302" s="76"/>
      <c r="AD302" s="76"/>
      <c r="AE302" s="76"/>
      <c r="AF302" s="76"/>
      <c r="AG302" s="76"/>
      <c r="AH302" s="76"/>
      <c r="AI302" s="76"/>
      <c r="AJ302" s="76"/>
    </row>
    <row r="303" spans="1:36" ht="12.75" customHeight="1" x14ac:dyDescent="0.3">
      <c r="A303" s="76"/>
      <c r="B303" s="184"/>
      <c r="C303" s="185"/>
      <c r="D303" s="162"/>
      <c r="E303" s="185"/>
      <c r="F303" s="116"/>
      <c r="G303" s="116"/>
      <c r="H303" s="163"/>
      <c r="I303" s="151"/>
      <c r="J303" s="127"/>
      <c r="K303" s="162"/>
      <c r="L303" s="162"/>
      <c r="M303" s="162"/>
      <c r="N303" s="164"/>
      <c r="O303" s="165"/>
      <c r="P303" s="165"/>
      <c r="Q303" s="165"/>
      <c r="R303" s="166"/>
      <c r="S303" s="83"/>
      <c r="T303" s="155"/>
      <c r="U303" s="76"/>
      <c r="V303" s="76"/>
      <c r="W303" s="76"/>
      <c r="X303" s="76"/>
      <c r="Y303" s="76"/>
      <c r="Z303" s="76"/>
      <c r="AA303" s="76"/>
      <c r="AB303" s="76"/>
      <c r="AC303" s="76"/>
      <c r="AD303" s="76"/>
      <c r="AE303" s="76"/>
      <c r="AF303" s="76"/>
      <c r="AG303" s="76"/>
      <c r="AH303" s="76"/>
      <c r="AI303" s="76"/>
      <c r="AJ303" s="76"/>
    </row>
    <row r="304" spans="1:36" ht="12.75" customHeight="1" x14ac:dyDescent="0.3">
      <c r="A304" s="76"/>
      <c r="B304" s="184"/>
      <c r="C304" s="185"/>
      <c r="D304" s="162"/>
      <c r="E304" s="185"/>
      <c r="F304" s="116"/>
      <c r="G304" s="116"/>
      <c r="H304" s="163"/>
      <c r="I304" s="151"/>
      <c r="J304" s="127"/>
      <c r="K304" s="162"/>
      <c r="L304" s="162"/>
      <c r="M304" s="162"/>
      <c r="N304" s="164"/>
      <c r="O304" s="165"/>
      <c r="P304" s="165"/>
      <c r="Q304" s="165"/>
      <c r="R304" s="166"/>
      <c r="S304" s="83"/>
      <c r="T304" s="155"/>
      <c r="U304" s="76"/>
      <c r="V304" s="76"/>
      <c r="W304" s="76"/>
      <c r="X304" s="76"/>
      <c r="Y304" s="76"/>
      <c r="Z304" s="76"/>
      <c r="AA304" s="76"/>
      <c r="AB304" s="76"/>
      <c r="AC304" s="76"/>
      <c r="AD304" s="76"/>
      <c r="AE304" s="76"/>
      <c r="AF304" s="76"/>
      <c r="AG304" s="76"/>
      <c r="AH304" s="76"/>
      <c r="AI304" s="76"/>
      <c r="AJ304" s="76"/>
    </row>
    <row r="305" spans="2:20" ht="15" customHeight="1" x14ac:dyDescent="0.3">
      <c r="B305" s="184"/>
      <c r="C305" s="185"/>
      <c r="D305" s="212"/>
      <c r="E305" s="185"/>
      <c r="F305" s="116"/>
      <c r="G305" s="116"/>
      <c r="H305" s="163"/>
      <c r="I305" s="151"/>
      <c r="J305" s="183"/>
      <c r="K305" s="162"/>
      <c r="L305" s="162"/>
      <c r="M305" s="162"/>
      <c r="N305" s="164"/>
      <c r="O305" s="165"/>
      <c r="P305" s="165"/>
      <c r="Q305" s="165"/>
      <c r="R305" s="166"/>
      <c r="T305" s="155"/>
    </row>
  </sheetData>
  <mergeCells count="18">
    <mergeCell ref="R7:R8"/>
    <mergeCell ref="B7:B8"/>
    <mergeCell ref="C7:C8"/>
    <mergeCell ref="D7:D8"/>
    <mergeCell ref="E7:E8"/>
    <mergeCell ref="K7:K8"/>
    <mergeCell ref="L7:L8"/>
    <mergeCell ref="M7:M8"/>
    <mergeCell ref="N7:N8"/>
    <mergeCell ref="O7:O8"/>
    <mergeCell ref="P7:P8"/>
    <mergeCell ref="Q7:Q8"/>
    <mergeCell ref="C4:D4"/>
    <mergeCell ref="L4:M4"/>
    <mergeCell ref="N4:O4"/>
    <mergeCell ref="C5:D5"/>
    <mergeCell ref="L5:M5"/>
    <mergeCell ref="N5:O5"/>
  </mergeCells>
  <conditionalFormatting sqref="J2:J3 J6:J304">
    <cfRule type="cellIs" dxfId="222" priority="1" operator="equal">
      <formula>"Disc"</formula>
    </cfRule>
  </conditionalFormatting>
  <conditionalFormatting sqref="T15:T17 T20:T28 T103:T132">
    <cfRule type="expression" dxfId="221" priority="15">
      <formula>T15:T246&gt;30%</formula>
    </cfRule>
  </conditionalFormatting>
  <conditionalFormatting sqref="T18:T19 T94:T100">
    <cfRule type="expression" dxfId="220" priority="13">
      <formula>T18:T250&gt;30%</formula>
    </cfRule>
  </conditionalFormatting>
  <conditionalFormatting sqref="T29:T35 T66:T81">
    <cfRule type="expression" dxfId="219" priority="2">
      <formula>T29:T268&gt;30%</formula>
    </cfRule>
  </conditionalFormatting>
  <conditionalFormatting sqref="T36:T42">
    <cfRule type="expression" dxfId="218" priority="17">
      <formula>T36:T274&gt;30%</formula>
    </cfRule>
  </conditionalFormatting>
  <conditionalFormatting sqref="T43:T49 T60:T63">
    <cfRule type="expression" dxfId="217" priority="18">
      <formula>T43:T285&gt;30%</formula>
    </cfRule>
  </conditionalFormatting>
  <conditionalFormatting sqref="T50:T54">
    <cfRule type="expression" dxfId="216" priority="3">
      <formula>T50:T286&gt;30%</formula>
    </cfRule>
  </conditionalFormatting>
  <conditionalFormatting sqref="T55:T58">
    <cfRule type="expression" dxfId="215" priority="14">
      <formula>T55:T299&gt;30%</formula>
    </cfRule>
  </conditionalFormatting>
  <conditionalFormatting sqref="T59">
    <cfRule type="expression" dxfId="214" priority="6">
      <formula>T59:T302&gt;30%</formula>
    </cfRule>
  </conditionalFormatting>
  <conditionalFormatting sqref="T64:T65">
    <cfRule type="expression" dxfId="213" priority="11">
      <formula>T64:T305&gt;30%</formula>
    </cfRule>
  </conditionalFormatting>
  <conditionalFormatting sqref="T82:T93 T101:T102">
    <cfRule type="expression" dxfId="212" priority="12">
      <formula>T82:T315&gt;30%</formula>
    </cfRule>
  </conditionalFormatting>
  <conditionalFormatting sqref="T133:T134 T143:T168">
    <cfRule type="expression" dxfId="211" priority="21">
      <formula>T133:T363&gt;30%</formula>
    </cfRule>
  </conditionalFormatting>
  <conditionalFormatting sqref="T135">
    <cfRule type="expression" dxfId="210" priority="5">
      <formula>T135:T369&gt;30%</formula>
    </cfRule>
  </conditionalFormatting>
  <conditionalFormatting sqref="T136:T142">
    <cfRule type="expression" dxfId="209" priority="7">
      <formula>T136:T371&gt;30%</formula>
    </cfRule>
  </conditionalFormatting>
  <conditionalFormatting sqref="T169:T189">
    <cfRule type="expression" dxfId="208" priority="22">
      <formula>T169:T398&gt;30%</formula>
    </cfRule>
  </conditionalFormatting>
  <conditionalFormatting sqref="T190">
    <cfRule type="expression" dxfId="207" priority="4">
      <formula>T190:T412&gt;30%</formula>
    </cfRule>
  </conditionalFormatting>
  <conditionalFormatting sqref="T191:T239">
    <cfRule type="expression" dxfId="206" priority="23">
      <formula>T191:T405&gt;30%</formula>
    </cfRule>
  </conditionalFormatting>
  <conditionalFormatting sqref="T240">
    <cfRule type="expression" dxfId="205" priority="9">
      <formula>T240:T455&gt;30%</formula>
    </cfRule>
  </conditionalFormatting>
  <conditionalFormatting sqref="T241:T267">
    <cfRule type="expression" dxfId="204" priority="19">
      <formula>T241:T438&gt;30%</formula>
    </cfRule>
  </conditionalFormatting>
  <conditionalFormatting sqref="T268">
    <cfRule type="expression" dxfId="203" priority="16">
      <formula>T268:T463&gt;30%</formula>
    </cfRule>
  </conditionalFormatting>
  <conditionalFormatting sqref="T269:T285">
    <cfRule type="expression" dxfId="202" priority="20">
      <formula>T269:T458&gt;30%</formula>
    </cfRule>
  </conditionalFormatting>
  <conditionalFormatting sqref="T286:T298">
    <cfRule type="expression" dxfId="201" priority="10">
      <formula>T286:T477&gt;30%</formula>
    </cfRule>
  </conditionalFormatting>
  <conditionalFormatting sqref="T299:T305">
    <cfRule type="expression" dxfId="200" priority="8">
      <formula>T299:T482&gt;30%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05"/>
  <sheetViews>
    <sheetView zoomScale="85" zoomScaleNormal="85" workbookViewId="0">
      <selection activeCell="L24" sqref="L24"/>
    </sheetView>
  </sheetViews>
  <sheetFormatPr defaultColWidth="12.54296875" defaultRowHeight="13" outlineLevelCol="1" x14ac:dyDescent="0.3"/>
  <cols>
    <col min="1" max="1" width="1.453125" style="84" customWidth="1"/>
    <col min="2" max="2" width="19.81640625" style="84" customWidth="1"/>
    <col min="3" max="3" width="48.1796875" style="84" customWidth="1"/>
    <col min="4" max="4" width="14.26953125" style="84" customWidth="1"/>
    <col min="5" max="5" width="7.81640625" style="84" customWidth="1"/>
    <col min="6" max="6" width="15.26953125" style="84" customWidth="1"/>
    <col min="7" max="7" width="11.81640625" style="84" customWidth="1"/>
    <col min="8" max="8" width="14" style="84" customWidth="1"/>
    <col min="9" max="9" width="13.81640625" style="84" customWidth="1"/>
    <col min="10" max="10" width="5.453125" style="84" customWidth="1"/>
    <col min="11" max="11" width="19.81640625" style="84" customWidth="1" outlineLevel="1"/>
    <col min="12" max="12" width="20" style="84" customWidth="1" outlineLevel="1"/>
    <col min="13" max="13" width="21.54296875" style="84" customWidth="1" outlineLevel="1"/>
    <col min="14" max="14" width="14" style="84" customWidth="1" outlineLevel="1"/>
    <col min="15" max="15" width="18.26953125" style="84" customWidth="1" outlineLevel="1"/>
    <col min="16" max="16" width="12" style="84" customWidth="1" outlineLevel="1"/>
    <col min="17" max="17" width="18.54296875" style="84" bestFit="1" customWidth="1" outlineLevel="1"/>
    <col min="18" max="18" width="19" style="84" customWidth="1" outlineLevel="1"/>
    <col min="19" max="19" width="1.453125" style="84" customWidth="1"/>
    <col min="20" max="20" width="13.7265625" style="84" customWidth="1"/>
    <col min="21" max="36" width="7.54296875" style="84" customWidth="1"/>
    <col min="37" max="16384" width="12.54296875" style="84"/>
  </cols>
  <sheetData>
    <row r="1" spans="1:36" ht="4.5" customHeight="1" x14ac:dyDescent="0.3">
      <c r="A1" s="76"/>
      <c r="B1" s="76"/>
      <c r="C1" s="76"/>
      <c r="D1" s="76"/>
      <c r="E1" s="77"/>
      <c r="F1" s="78"/>
      <c r="G1" s="77"/>
      <c r="H1" s="77"/>
      <c r="I1" s="79"/>
      <c r="J1" s="76"/>
      <c r="K1" s="76"/>
      <c r="L1" s="76"/>
      <c r="M1" s="76"/>
      <c r="N1" s="80"/>
      <c r="O1" s="81"/>
      <c r="P1" s="81"/>
      <c r="Q1" s="81"/>
      <c r="R1" s="82"/>
      <c r="S1" s="83"/>
      <c r="T1" s="76"/>
      <c r="U1" s="76"/>
      <c r="V1" s="76"/>
      <c r="W1" s="76"/>
      <c r="X1" s="76"/>
      <c r="Y1" s="76"/>
      <c r="Z1" s="76"/>
      <c r="AA1" s="76"/>
      <c r="AB1" s="76"/>
      <c r="AC1" s="76"/>
      <c r="AD1" s="76"/>
      <c r="AE1" s="76"/>
      <c r="AF1" s="76"/>
      <c r="AG1" s="76"/>
      <c r="AH1" s="76"/>
      <c r="AI1" s="76"/>
      <c r="AJ1" s="76"/>
    </row>
    <row r="2" spans="1:36" ht="24.75" customHeight="1" x14ac:dyDescent="0.3">
      <c r="A2" s="85"/>
      <c r="B2" s="86"/>
      <c r="C2" s="85"/>
      <c r="D2" s="85"/>
      <c r="E2" s="87"/>
      <c r="F2" s="88"/>
      <c r="G2" s="89"/>
      <c r="H2" s="89"/>
      <c r="I2" s="90"/>
      <c r="J2" s="85"/>
      <c r="K2" s="91"/>
      <c r="L2" s="91"/>
      <c r="M2" s="91"/>
      <c r="N2" s="92"/>
      <c r="O2" s="93"/>
      <c r="P2" s="93"/>
      <c r="Q2" s="81"/>
      <c r="R2" s="82"/>
      <c r="S2" s="94"/>
      <c r="T2" s="85"/>
      <c r="U2" s="85"/>
      <c r="V2" s="85"/>
      <c r="W2" s="85"/>
      <c r="X2" s="85"/>
      <c r="Y2" s="85"/>
      <c r="Z2" s="85"/>
      <c r="AA2" s="85"/>
      <c r="AB2" s="85"/>
      <c r="AC2" s="85"/>
      <c r="AD2" s="85"/>
      <c r="AE2" s="85"/>
      <c r="AF2" s="85"/>
      <c r="AG2" s="85"/>
      <c r="AH2" s="85"/>
      <c r="AI2" s="85"/>
      <c r="AJ2" s="85"/>
    </row>
    <row r="3" spans="1:36" ht="34.5" customHeight="1" x14ac:dyDescent="0.3">
      <c r="A3" s="76"/>
      <c r="B3" s="86"/>
      <c r="C3" s="76"/>
      <c r="D3" s="76"/>
      <c r="E3" s="77"/>
      <c r="F3" s="78"/>
      <c r="G3" s="77"/>
      <c r="H3" s="77"/>
      <c r="I3" s="79"/>
      <c r="J3" s="76"/>
      <c r="K3" s="95"/>
      <c r="L3" s="96"/>
      <c r="M3" s="4"/>
      <c r="N3" s="97"/>
      <c r="O3" s="98"/>
      <c r="P3" s="93"/>
      <c r="Q3" s="81"/>
      <c r="R3" s="82"/>
      <c r="S3" s="83"/>
      <c r="T3" s="76"/>
      <c r="U3" s="76"/>
      <c r="V3" s="76"/>
      <c r="W3" s="76"/>
      <c r="X3" s="76"/>
      <c r="Y3" s="76"/>
      <c r="Z3" s="76"/>
      <c r="AA3" s="76"/>
      <c r="AB3" s="76"/>
      <c r="AC3" s="76"/>
      <c r="AD3" s="76"/>
      <c r="AE3" s="76"/>
      <c r="AF3" s="76"/>
      <c r="AG3" s="76"/>
      <c r="AH3" s="76"/>
      <c r="AI3" s="76"/>
      <c r="AJ3" s="76"/>
    </row>
    <row r="4" spans="1:36" ht="30" customHeight="1" thickBot="1" x14ac:dyDescent="0.35">
      <c r="A4" s="76"/>
      <c r="B4" s="99"/>
      <c r="C4" s="701"/>
      <c r="D4" s="702"/>
      <c r="E4" s="100"/>
      <c r="F4" s="78"/>
      <c r="G4" s="77"/>
      <c r="H4" s="77"/>
      <c r="I4" s="79"/>
      <c r="J4" s="76"/>
      <c r="K4" s="101"/>
      <c r="L4" s="703"/>
      <c r="M4" s="703"/>
      <c r="N4" s="703"/>
      <c r="O4" s="703"/>
      <c r="P4" s="102"/>
      <c r="Q4" s="2"/>
      <c r="R4" s="103"/>
      <c r="S4" s="83"/>
      <c r="T4" s="76"/>
      <c r="U4" s="76"/>
      <c r="V4" s="76"/>
      <c r="W4" s="76"/>
      <c r="X4" s="76"/>
      <c r="Y4" s="76"/>
      <c r="Z4" s="76"/>
      <c r="AA4" s="76"/>
      <c r="AB4" s="76"/>
      <c r="AC4" s="76"/>
      <c r="AD4" s="76"/>
      <c r="AE4" s="76"/>
      <c r="AF4" s="76"/>
      <c r="AG4" s="76"/>
      <c r="AH4" s="76"/>
      <c r="AI4" s="76"/>
      <c r="AJ4" s="76"/>
    </row>
    <row r="5" spans="1:36" ht="30" customHeight="1" thickBot="1" x14ac:dyDescent="0.35">
      <c r="A5" s="76"/>
      <c r="B5" s="99"/>
      <c r="C5" s="701"/>
      <c r="D5" s="702"/>
      <c r="E5" s="100"/>
      <c r="F5" s="78"/>
      <c r="G5" s="77"/>
      <c r="H5" s="77"/>
      <c r="I5" s="79"/>
      <c r="J5" s="76"/>
      <c r="K5" s="104"/>
      <c r="L5" s="704"/>
      <c r="M5" s="704"/>
      <c r="N5" s="654"/>
      <c r="O5" s="654"/>
      <c r="P5" s="105"/>
      <c r="Q5" s="81"/>
      <c r="R5" s="82"/>
      <c r="S5" s="83"/>
      <c r="T5" s="76"/>
      <c r="U5" s="76"/>
      <c r="V5" s="76"/>
      <c r="W5" s="76"/>
      <c r="X5" s="76"/>
      <c r="Y5" s="76"/>
      <c r="Z5" s="76"/>
      <c r="AA5" s="76"/>
      <c r="AB5" s="76"/>
      <c r="AC5" s="76"/>
      <c r="AD5" s="76"/>
      <c r="AE5" s="76"/>
      <c r="AF5" s="76"/>
      <c r="AG5" s="76"/>
      <c r="AH5" s="76"/>
      <c r="AI5" s="76"/>
      <c r="AJ5" s="76"/>
    </row>
    <row r="6" spans="1:36" ht="4.5" customHeight="1" x14ac:dyDescent="0.3">
      <c r="A6" s="76"/>
      <c r="B6" s="76"/>
      <c r="C6" s="76"/>
      <c r="D6" s="76"/>
      <c r="E6" s="77"/>
      <c r="F6" s="78"/>
      <c r="G6" s="77"/>
      <c r="H6" s="77"/>
      <c r="I6" s="79"/>
      <c r="J6" s="100"/>
      <c r="K6" s="76"/>
      <c r="L6" s="76"/>
      <c r="M6" s="76"/>
      <c r="N6" s="80"/>
      <c r="O6" s="81"/>
      <c r="P6" s="81"/>
      <c r="Q6" s="81"/>
      <c r="R6" s="82"/>
      <c r="S6" s="83"/>
      <c r="T6" s="76"/>
      <c r="U6" s="76"/>
      <c r="V6" s="76"/>
      <c r="W6" s="76"/>
      <c r="X6" s="76"/>
      <c r="Y6" s="76"/>
      <c r="Z6" s="76"/>
      <c r="AA6" s="76"/>
      <c r="AB6" s="76"/>
      <c r="AC6" s="76"/>
      <c r="AD6" s="76"/>
      <c r="AE6" s="76"/>
      <c r="AF6" s="76"/>
      <c r="AG6" s="76"/>
      <c r="AH6" s="76"/>
      <c r="AI6" s="76"/>
      <c r="AJ6" s="76"/>
    </row>
    <row r="7" spans="1:36" ht="19.5" customHeight="1" x14ac:dyDescent="0.3">
      <c r="A7" s="100"/>
      <c r="B7" s="707"/>
      <c r="C7" s="709"/>
      <c r="D7" s="709"/>
      <c r="E7" s="711"/>
      <c r="F7" s="106"/>
      <c r="G7" s="106"/>
      <c r="H7" s="106"/>
      <c r="I7" s="108"/>
      <c r="J7" s="106"/>
      <c r="K7" s="709"/>
      <c r="L7" s="709"/>
      <c r="M7" s="709"/>
      <c r="N7" s="713"/>
      <c r="O7" s="715"/>
      <c r="P7" s="715"/>
      <c r="Q7" s="715"/>
      <c r="R7" s="705"/>
      <c r="S7" s="110"/>
      <c r="T7" s="100"/>
      <c r="U7" s="100"/>
      <c r="V7" s="100"/>
      <c r="W7" s="100"/>
      <c r="X7" s="100"/>
      <c r="Y7" s="100"/>
      <c r="Z7" s="100"/>
      <c r="AA7" s="100"/>
      <c r="AB7" s="100"/>
      <c r="AC7" s="100"/>
      <c r="AD7" s="100"/>
      <c r="AE7" s="100"/>
      <c r="AF7" s="100"/>
      <c r="AG7" s="100"/>
      <c r="AH7" s="100"/>
      <c r="AI7" s="100"/>
      <c r="AJ7" s="100"/>
    </row>
    <row r="8" spans="1:36" ht="30" customHeight="1" x14ac:dyDescent="0.3">
      <c r="A8" s="111"/>
      <c r="B8" s="708"/>
      <c r="C8" s="710"/>
      <c r="D8" s="710"/>
      <c r="E8" s="712"/>
      <c r="F8" s="107"/>
      <c r="G8" s="107"/>
      <c r="H8" s="107"/>
      <c r="I8" s="112"/>
      <c r="J8" s="113"/>
      <c r="K8" s="710"/>
      <c r="L8" s="710"/>
      <c r="M8" s="710"/>
      <c r="N8" s="714"/>
      <c r="O8" s="716"/>
      <c r="P8" s="716"/>
      <c r="Q8" s="716"/>
      <c r="R8" s="706"/>
      <c r="S8" s="114"/>
      <c r="T8" s="115"/>
      <c r="U8" s="115"/>
      <c r="V8" s="115"/>
      <c r="W8" s="115"/>
      <c r="X8" s="115"/>
      <c r="Y8" s="115"/>
      <c r="Z8" s="115"/>
      <c r="AA8" s="115"/>
      <c r="AB8" s="115"/>
      <c r="AC8" s="115"/>
      <c r="AD8" s="115"/>
      <c r="AE8" s="115"/>
      <c r="AF8" s="115"/>
      <c r="AG8" s="115"/>
      <c r="AH8" s="115"/>
      <c r="AI8" s="115"/>
      <c r="AJ8" s="115"/>
    </row>
    <row r="9" spans="1:36" ht="11.25" customHeight="1" x14ac:dyDescent="0.3">
      <c r="A9" s="100"/>
      <c r="B9" s="106"/>
      <c r="C9" s="116"/>
      <c r="D9" s="106"/>
      <c r="E9" s="106"/>
      <c r="F9" s="106"/>
      <c r="G9" s="106"/>
      <c r="H9" s="106"/>
      <c r="I9" s="117"/>
      <c r="J9" s="118"/>
      <c r="K9" s="118"/>
      <c r="L9" s="118"/>
      <c r="M9" s="118"/>
      <c r="N9" s="109"/>
      <c r="O9" s="119"/>
      <c r="P9" s="119"/>
      <c r="Q9" s="119"/>
      <c r="R9" s="120"/>
      <c r="S9" s="121"/>
      <c r="T9" s="100"/>
      <c r="U9" s="100"/>
      <c r="V9" s="100"/>
      <c r="W9" s="100"/>
      <c r="X9" s="100"/>
      <c r="Y9" s="100"/>
      <c r="Z9" s="100"/>
      <c r="AA9" s="100"/>
      <c r="AB9" s="100"/>
      <c r="AC9" s="100"/>
      <c r="AD9" s="100"/>
      <c r="AE9" s="100"/>
      <c r="AF9" s="100"/>
      <c r="AG9" s="100"/>
      <c r="AH9" s="100"/>
      <c r="AI9" s="100"/>
      <c r="AJ9" s="100"/>
    </row>
    <row r="10" spans="1:36" ht="12" customHeight="1" x14ac:dyDescent="0.3">
      <c r="A10" s="100"/>
      <c r="B10" s="122"/>
      <c r="C10" s="123"/>
      <c r="D10" s="122"/>
      <c r="E10" s="124"/>
      <c r="F10" s="123"/>
      <c r="G10" s="125"/>
      <c r="H10" s="125"/>
      <c r="I10" s="126"/>
      <c r="J10" s="118"/>
      <c r="K10" s="118"/>
      <c r="L10" s="118"/>
      <c r="M10" s="118"/>
      <c r="N10" s="109"/>
      <c r="O10" s="119"/>
      <c r="P10" s="119"/>
      <c r="Q10" s="119"/>
      <c r="R10" s="120"/>
      <c r="S10" s="121"/>
      <c r="T10" s="121"/>
      <c r="U10" s="121"/>
      <c r="V10" s="121"/>
      <c r="W10" s="121"/>
      <c r="X10" s="121"/>
      <c r="Y10" s="121"/>
      <c r="Z10" s="121"/>
      <c r="AA10" s="121"/>
      <c r="AB10" s="121"/>
      <c r="AC10" s="121"/>
      <c r="AD10" s="121"/>
      <c r="AE10" s="121"/>
      <c r="AF10" s="121"/>
      <c r="AG10" s="121"/>
      <c r="AH10" s="121"/>
      <c r="AI10" s="121"/>
      <c r="AJ10" s="121"/>
    </row>
    <row r="11" spans="1:36" ht="12" customHeight="1" x14ac:dyDescent="0.3">
      <c r="A11" s="100"/>
      <c r="B11" s="118"/>
      <c r="C11" s="127"/>
      <c r="D11" s="118"/>
      <c r="E11" s="106"/>
      <c r="F11" s="127"/>
      <c r="G11" s="128"/>
      <c r="H11" s="128"/>
      <c r="I11" s="129"/>
      <c r="J11" s="118"/>
      <c r="K11" s="118"/>
      <c r="L11" s="118"/>
      <c r="M11" s="118"/>
      <c r="N11" s="109"/>
      <c r="O11" s="119"/>
      <c r="P11" s="119"/>
      <c r="Q11" s="119"/>
      <c r="R11" s="120"/>
      <c r="S11" s="121"/>
      <c r="T11" s="121"/>
      <c r="U11" s="121"/>
      <c r="V11" s="121"/>
      <c r="W11" s="121"/>
      <c r="X11" s="121"/>
      <c r="Y11" s="121"/>
      <c r="Z11" s="121"/>
      <c r="AA11" s="121"/>
      <c r="AB11" s="121"/>
      <c r="AC11" s="121"/>
      <c r="AD11" s="121"/>
      <c r="AE11" s="121"/>
      <c r="AF11" s="121"/>
      <c r="AG11" s="121"/>
      <c r="AH11" s="121"/>
      <c r="AI11" s="121"/>
      <c r="AJ11" s="121"/>
    </row>
    <row r="12" spans="1:36" ht="16.5" customHeight="1" x14ac:dyDescent="0.3">
      <c r="A12" s="100"/>
      <c r="B12" s="130"/>
      <c r="C12" s="131"/>
      <c r="D12" s="131"/>
      <c r="E12" s="132"/>
      <c r="F12" s="132"/>
      <c r="G12" s="133"/>
      <c r="H12" s="132"/>
      <c r="I12" s="126"/>
      <c r="J12" s="134"/>
      <c r="K12" s="134"/>
      <c r="L12" s="134"/>
      <c r="M12" s="134"/>
      <c r="N12" s="135"/>
      <c r="O12" s="136"/>
      <c r="P12" s="136"/>
      <c r="Q12" s="136"/>
      <c r="R12" s="137"/>
      <c r="S12" s="121"/>
      <c r="T12" s="100"/>
      <c r="U12" s="100"/>
      <c r="V12" s="100"/>
      <c r="W12" s="100"/>
      <c r="X12" s="100"/>
      <c r="Y12" s="100"/>
      <c r="Z12" s="100"/>
      <c r="AA12" s="100"/>
      <c r="AB12" s="100"/>
      <c r="AC12" s="100"/>
      <c r="AD12" s="100"/>
      <c r="AE12" s="100"/>
      <c r="AF12" s="100"/>
      <c r="AG12" s="100"/>
      <c r="AH12" s="100"/>
      <c r="AI12" s="100"/>
      <c r="AJ12" s="100"/>
    </row>
    <row r="13" spans="1:36" ht="12" customHeight="1" x14ac:dyDescent="0.3">
      <c r="A13" s="100"/>
      <c r="B13" s="118"/>
      <c r="C13" s="127"/>
      <c r="D13" s="118"/>
      <c r="E13" s="106"/>
      <c r="F13" s="127"/>
      <c r="G13" s="128"/>
      <c r="H13" s="128"/>
      <c r="I13" s="129"/>
      <c r="J13" s="118"/>
      <c r="K13" s="118"/>
      <c r="L13" s="118"/>
      <c r="M13" s="118"/>
      <c r="N13" s="109"/>
      <c r="O13" s="119"/>
      <c r="P13" s="119"/>
      <c r="Q13" s="119"/>
      <c r="R13" s="120"/>
      <c r="S13" s="121"/>
      <c r="T13" s="121"/>
      <c r="U13" s="121"/>
      <c r="V13" s="121"/>
      <c r="W13" s="121"/>
      <c r="X13" s="121"/>
      <c r="Y13" s="121"/>
      <c r="Z13" s="121"/>
      <c r="AA13" s="121"/>
      <c r="AB13" s="121"/>
      <c r="AC13" s="121"/>
      <c r="AD13" s="121"/>
      <c r="AE13" s="121"/>
      <c r="AF13" s="121"/>
      <c r="AG13" s="121"/>
      <c r="AH13" s="121"/>
      <c r="AI13" s="121"/>
      <c r="AJ13" s="121"/>
    </row>
    <row r="14" spans="1:36" s="148" customFormat="1" ht="12" customHeight="1" x14ac:dyDescent="0.3">
      <c r="A14" s="138"/>
      <c r="B14" s="139"/>
      <c r="C14" s="140"/>
      <c r="D14" s="140"/>
      <c r="E14" s="141"/>
      <c r="F14" s="141"/>
      <c r="G14" s="141"/>
      <c r="H14" s="141"/>
      <c r="I14" s="142"/>
      <c r="J14" s="143"/>
      <c r="K14" s="140"/>
      <c r="L14" s="140"/>
      <c r="M14" s="140"/>
      <c r="N14" s="144"/>
      <c r="O14" s="145"/>
      <c r="P14" s="145"/>
      <c r="Q14" s="145"/>
      <c r="R14" s="146"/>
      <c r="S14" s="147"/>
      <c r="T14" s="138"/>
      <c r="U14" s="138"/>
      <c r="V14" s="138"/>
      <c r="W14" s="138"/>
      <c r="X14" s="138"/>
      <c r="Y14" s="138"/>
      <c r="Z14" s="138"/>
      <c r="AA14" s="138"/>
      <c r="AB14" s="138"/>
      <c r="AC14" s="138"/>
      <c r="AD14" s="138"/>
      <c r="AE14" s="138"/>
      <c r="AF14" s="138"/>
      <c r="AG14" s="138"/>
      <c r="AH14" s="138"/>
      <c r="AI14" s="138"/>
      <c r="AJ14" s="138"/>
    </row>
    <row r="15" spans="1:36" ht="19.5" customHeight="1" x14ac:dyDescent="0.3">
      <c r="A15" s="76"/>
      <c r="B15" s="149"/>
      <c r="C15" s="150"/>
      <c r="D15" s="150"/>
      <c r="E15" s="150"/>
      <c r="F15" s="116"/>
      <c r="G15" s="116"/>
      <c r="H15" s="116"/>
      <c r="I15" s="151"/>
      <c r="J15" s="127"/>
      <c r="K15" s="127"/>
      <c r="L15" s="127"/>
      <c r="M15" s="127"/>
      <c r="N15" s="152"/>
      <c r="O15" s="153"/>
      <c r="P15" s="153"/>
      <c r="Q15" s="153"/>
      <c r="R15" s="154"/>
      <c r="S15" s="83"/>
      <c r="T15" s="155"/>
      <c r="U15" s="76"/>
      <c r="V15" s="76"/>
      <c r="W15" s="76"/>
      <c r="X15" s="76"/>
      <c r="Y15" s="76"/>
      <c r="Z15" s="76"/>
      <c r="AA15" s="76"/>
      <c r="AB15" s="76"/>
      <c r="AC15" s="76"/>
      <c r="AD15" s="76"/>
      <c r="AE15" s="76"/>
      <c r="AF15" s="76"/>
      <c r="AG15" s="76"/>
      <c r="AH15" s="76"/>
      <c r="AI15" s="76"/>
      <c r="AJ15" s="76"/>
    </row>
    <row r="16" spans="1:36" ht="19.5" customHeight="1" x14ac:dyDescent="0.3">
      <c r="A16" s="76"/>
      <c r="B16" s="149"/>
      <c r="C16" s="150"/>
      <c r="D16" s="150"/>
      <c r="E16" s="150"/>
      <c r="F16" s="116"/>
      <c r="G16" s="116"/>
      <c r="H16" s="116"/>
      <c r="I16" s="151"/>
      <c r="J16" s="127"/>
      <c r="K16" s="127"/>
      <c r="L16" s="127"/>
      <c r="M16" s="127"/>
      <c r="N16" s="152"/>
      <c r="O16" s="153"/>
      <c r="P16" s="153"/>
      <c r="Q16" s="153"/>
      <c r="R16" s="154"/>
      <c r="S16" s="83"/>
      <c r="T16" s="155"/>
      <c r="U16" s="76"/>
      <c r="V16" s="76"/>
      <c r="W16" s="76"/>
      <c r="X16" s="76"/>
      <c r="Y16" s="76"/>
      <c r="Z16" s="76"/>
      <c r="AA16" s="76"/>
      <c r="AB16" s="76"/>
      <c r="AC16" s="76"/>
      <c r="AD16" s="76"/>
      <c r="AE16" s="76"/>
      <c r="AF16" s="76"/>
      <c r="AG16" s="76"/>
      <c r="AH16" s="76"/>
      <c r="AI16" s="76"/>
      <c r="AJ16" s="76"/>
    </row>
    <row r="17" spans="1:36" ht="19.5" customHeight="1" x14ac:dyDescent="0.3">
      <c r="A17" s="76"/>
      <c r="B17" s="149"/>
      <c r="C17" s="150"/>
      <c r="D17" s="150"/>
      <c r="E17" s="150"/>
      <c r="F17" s="116"/>
      <c r="G17" s="116"/>
      <c r="H17" s="116"/>
      <c r="I17" s="151"/>
      <c r="J17" s="127"/>
      <c r="K17" s="127"/>
      <c r="L17" s="127"/>
      <c r="M17" s="127"/>
      <c r="N17" s="152"/>
      <c r="O17" s="153"/>
      <c r="P17" s="153"/>
      <c r="Q17" s="153"/>
      <c r="R17" s="154"/>
      <c r="S17" s="83"/>
      <c r="T17" s="155"/>
      <c r="U17" s="76"/>
      <c r="V17" s="76"/>
      <c r="W17" s="76"/>
      <c r="X17" s="76"/>
      <c r="Y17" s="76"/>
      <c r="Z17" s="76"/>
      <c r="AA17" s="76"/>
      <c r="AB17" s="76"/>
      <c r="AC17" s="76"/>
      <c r="AD17" s="76"/>
      <c r="AE17" s="76"/>
      <c r="AF17" s="76"/>
      <c r="AG17" s="76"/>
      <c r="AH17" s="76"/>
      <c r="AI17" s="76"/>
      <c r="AJ17" s="76"/>
    </row>
    <row r="18" spans="1:36" ht="19.5" customHeight="1" x14ac:dyDescent="0.3">
      <c r="A18" s="76"/>
      <c r="B18" s="149"/>
      <c r="C18" s="150"/>
      <c r="D18" s="150"/>
      <c r="E18" s="150"/>
      <c r="F18" s="116"/>
      <c r="G18" s="116"/>
      <c r="H18" s="116"/>
      <c r="I18" s="151"/>
      <c r="J18" s="127"/>
      <c r="K18" s="127"/>
      <c r="L18" s="127"/>
      <c r="M18" s="127"/>
      <c r="N18" s="152"/>
      <c r="O18" s="153"/>
      <c r="P18" s="153"/>
      <c r="Q18" s="153"/>
      <c r="R18" s="154"/>
      <c r="S18" s="83"/>
      <c r="T18" s="155"/>
      <c r="U18" s="76"/>
      <c r="V18" s="76"/>
      <c r="W18" s="76"/>
      <c r="X18" s="76"/>
      <c r="Y18" s="76"/>
      <c r="Z18" s="76"/>
      <c r="AA18" s="76"/>
      <c r="AB18" s="76"/>
      <c r="AC18" s="76"/>
      <c r="AD18" s="76"/>
      <c r="AE18" s="76"/>
      <c r="AF18" s="76"/>
      <c r="AG18" s="76"/>
      <c r="AH18" s="76"/>
      <c r="AI18" s="76"/>
      <c r="AJ18" s="76"/>
    </row>
    <row r="19" spans="1:36" ht="19.5" customHeight="1" x14ac:dyDescent="0.3">
      <c r="A19" s="76"/>
      <c r="B19" s="156"/>
      <c r="C19" s="157"/>
      <c r="D19" s="157"/>
      <c r="E19" s="157"/>
      <c r="F19" s="116"/>
      <c r="G19" s="116"/>
      <c r="H19" s="116"/>
      <c r="I19" s="151"/>
      <c r="J19" s="127"/>
      <c r="K19" s="127"/>
      <c r="L19" s="127"/>
      <c r="M19" s="127"/>
      <c r="N19" s="152"/>
      <c r="O19" s="153"/>
      <c r="P19" s="153"/>
      <c r="Q19" s="153"/>
      <c r="R19" s="154"/>
      <c r="S19" s="83"/>
      <c r="T19" s="155"/>
      <c r="U19" s="76"/>
      <c r="V19" s="76"/>
      <c r="W19" s="76"/>
      <c r="X19" s="76"/>
      <c r="Y19" s="76"/>
      <c r="Z19" s="76"/>
      <c r="AA19" s="76"/>
      <c r="AB19" s="76"/>
      <c r="AC19" s="76"/>
      <c r="AD19" s="76"/>
      <c r="AE19" s="76"/>
      <c r="AF19" s="76"/>
      <c r="AG19" s="76"/>
      <c r="AH19" s="76"/>
      <c r="AI19" s="76"/>
      <c r="AJ19" s="76"/>
    </row>
    <row r="20" spans="1:36" ht="19.5" customHeight="1" x14ac:dyDescent="0.3">
      <c r="A20" s="76"/>
      <c r="B20" s="127"/>
      <c r="C20" s="127"/>
      <c r="D20" s="127"/>
      <c r="E20" s="116"/>
      <c r="F20" s="116"/>
      <c r="G20" s="116"/>
      <c r="H20" s="116"/>
      <c r="I20" s="151"/>
      <c r="J20" s="127"/>
      <c r="K20" s="127"/>
      <c r="L20" s="127"/>
      <c r="M20" s="127"/>
      <c r="N20" s="152"/>
      <c r="O20" s="153"/>
      <c r="P20" s="153"/>
      <c r="Q20" s="153"/>
      <c r="R20" s="154"/>
      <c r="S20" s="83"/>
      <c r="T20" s="155"/>
      <c r="U20" s="76"/>
      <c r="V20" s="76"/>
      <c r="W20" s="76"/>
      <c r="X20" s="76"/>
      <c r="Y20" s="76"/>
      <c r="Z20" s="76"/>
      <c r="AA20" s="76"/>
      <c r="AB20" s="76"/>
      <c r="AC20" s="76"/>
      <c r="AD20" s="76"/>
      <c r="AE20" s="76"/>
      <c r="AF20" s="76"/>
      <c r="AG20" s="76"/>
      <c r="AH20" s="76"/>
      <c r="AI20" s="76"/>
      <c r="AJ20" s="76"/>
    </row>
    <row r="21" spans="1:36" s="148" customFormat="1" ht="19.5" customHeight="1" x14ac:dyDescent="0.3">
      <c r="A21" s="138"/>
      <c r="B21" s="139"/>
      <c r="C21" s="143"/>
      <c r="D21" s="143"/>
      <c r="E21" s="158"/>
      <c r="F21" s="158"/>
      <c r="G21" s="158"/>
      <c r="H21" s="158"/>
      <c r="I21" s="142"/>
      <c r="J21" s="143"/>
      <c r="K21" s="140"/>
      <c r="L21" s="140"/>
      <c r="M21" s="140"/>
      <c r="N21" s="159"/>
      <c r="O21" s="160"/>
      <c r="P21" s="160"/>
      <c r="Q21" s="160"/>
      <c r="R21" s="161"/>
      <c r="S21" s="147"/>
      <c r="T21" s="155"/>
      <c r="U21" s="138"/>
      <c r="V21" s="138"/>
      <c r="W21" s="138"/>
      <c r="X21" s="138"/>
      <c r="Y21" s="138"/>
      <c r="Z21" s="138"/>
      <c r="AA21" s="138"/>
      <c r="AB21" s="138"/>
      <c r="AC21" s="138"/>
      <c r="AD21" s="138"/>
      <c r="AE21" s="138"/>
      <c r="AF21" s="138"/>
      <c r="AG21" s="138"/>
      <c r="AH21" s="138"/>
      <c r="AI21" s="138"/>
      <c r="AJ21" s="138"/>
    </row>
    <row r="22" spans="1:36" ht="19.5" customHeight="1" x14ac:dyDescent="0.3">
      <c r="A22" s="76"/>
      <c r="B22" s="149"/>
      <c r="C22" s="150"/>
      <c r="D22" s="162"/>
      <c r="E22" s="150"/>
      <c r="F22" s="116"/>
      <c r="G22" s="116"/>
      <c r="H22" s="163"/>
      <c r="I22" s="151"/>
      <c r="J22" s="127"/>
      <c r="K22" s="162"/>
      <c r="L22" s="162"/>
      <c r="M22" s="162"/>
      <c r="N22" s="164"/>
      <c r="O22" s="165"/>
      <c r="P22" s="165"/>
      <c r="Q22" s="165"/>
      <c r="R22" s="166"/>
      <c r="S22" s="83"/>
      <c r="T22" s="155"/>
      <c r="U22" s="76"/>
      <c r="V22" s="76"/>
      <c r="W22" s="76"/>
      <c r="X22" s="76"/>
      <c r="Y22" s="76"/>
      <c r="Z22" s="76"/>
      <c r="AA22" s="76"/>
      <c r="AB22" s="76"/>
      <c r="AC22" s="76"/>
      <c r="AD22" s="76"/>
      <c r="AE22" s="76"/>
      <c r="AF22" s="76"/>
      <c r="AG22" s="76"/>
      <c r="AH22" s="76"/>
      <c r="AI22" s="76"/>
      <c r="AJ22" s="76"/>
    </row>
    <row r="23" spans="1:36" ht="19.5" customHeight="1" x14ac:dyDescent="0.3">
      <c r="A23" s="76"/>
      <c r="B23" s="149"/>
      <c r="C23" s="150"/>
      <c r="D23" s="162"/>
      <c r="E23" s="150"/>
      <c r="F23" s="116"/>
      <c r="G23" s="116"/>
      <c r="H23" s="163"/>
      <c r="I23" s="151"/>
      <c r="J23" s="127"/>
      <c r="K23" s="162"/>
      <c r="L23" s="162"/>
      <c r="M23" s="162"/>
      <c r="N23" s="164"/>
      <c r="O23" s="165"/>
      <c r="P23" s="165"/>
      <c r="Q23" s="165"/>
      <c r="R23" s="166"/>
      <c r="S23" s="83"/>
      <c r="T23" s="155"/>
      <c r="U23" s="76"/>
      <c r="V23" s="76"/>
      <c r="W23" s="76"/>
      <c r="X23" s="76"/>
      <c r="Y23" s="76"/>
      <c r="Z23" s="76"/>
      <c r="AA23" s="76"/>
      <c r="AB23" s="76"/>
      <c r="AC23" s="76"/>
      <c r="AD23" s="76"/>
      <c r="AE23" s="76"/>
      <c r="AF23" s="76"/>
      <c r="AG23" s="76"/>
      <c r="AH23" s="76"/>
      <c r="AI23" s="76"/>
      <c r="AJ23" s="76"/>
    </row>
    <row r="24" spans="1:36" ht="19.5" customHeight="1" x14ac:dyDescent="0.3">
      <c r="A24" s="76"/>
      <c r="B24" s="149"/>
      <c r="C24" s="150"/>
      <c r="D24" s="162"/>
      <c r="E24" s="150"/>
      <c r="F24" s="116"/>
      <c r="G24" s="116"/>
      <c r="H24" s="163"/>
      <c r="I24" s="151"/>
      <c r="J24" s="127"/>
      <c r="K24" s="162"/>
      <c r="L24" s="162"/>
      <c r="M24" s="162"/>
      <c r="N24" s="164"/>
      <c r="O24" s="165"/>
      <c r="P24" s="165"/>
      <c r="Q24" s="165"/>
      <c r="R24" s="166"/>
      <c r="S24" s="83"/>
      <c r="T24" s="155"/>
      <c r="U24" s="76"/>
      <c r="V24" s="76"/>
      <c r="W24" s="76"/>
      <c r="X24" s="76"/>
      <c r="Y24" s="76"/>
      <c r="Z24" s="76"/>
      <c r="AA24" s="76"/>
      <c r="AB24" s="76"/>
      <c r="AC24" s="76"/>
      <c r="AD24" s="76"/>
      <c r="AE24" s="76"/>
      <c r="AF24" s="76"/>
      <c r="AG24" s="76"/>
      <c r="AH24" s="76"/>
      <c r="AI24" s="76"/>
      <c r="AJ24" s="76"/>
    </row>
    <row r="25" spans="1:36" ht="19.5" customHeight="1" x14ac:dyDescent="0.3">
      <c r="A25" s="76"/>
      <c r="B25" s="149"/>
      <c r="C25" s="150"/>
      <c r="D25" s="162"/>
      <c r="E25" s="150"/>
      <c r="F25" s="116"/>
      <c r="G25" s="116"/>
      <c r="H25" s="163"/>
      <c r="I25" s="151"/>
      <c r="J25" s="127"/>
      <c r="K25" s="162"/>
      <c r="L25" s="162"/>
      <c r="M25" s="162"/>
      <c r="N25" s="164"/>
      <c r="O25" s="165"/>
      <c r="P25" s="165"/>
      <c r="Q25" s="165"/>
      <c r="R25" s="166"/>
      <c r="S25" s="83"/>
      <c r="T25" s="155"/>
      <c r="U25" s="76"/>
      <c r="V25" s="76"/>
      <c r="W25" s="76"/>
      <c r="X25" s="76"/>
      <c r="Y25" s="76"/>
      <c r="Z25" s="76"/>
      <c r="AA25" s="76"/>
      <c r="AB25" s="76"/>
      <c r="AC25" s="76"/>
      <c r="AD25" s="76"/>
      <c r="AE25" s="76"/>
      <c r="AF25" s="76"/>
      <c r="AG25" s="76"/>
      <c r="AH25" s="76"/>
      <c r="AI25" s="76"/>
      <c r="AJ25" s="76"/>
    </row>
    <row r="26" spans="1:36" ht="19.5" customHeight="1" x14ac:dyDescent="0.3">
      <c r="A26" s="76"/>
      <c r="B26" s="149"/>
      <c r="C26" s="150"/>
      <c r="D26" s="162"/>
      <c r="E26" s="150"/>
      <c r="F26" s="116"/>
      <c r="G26" s="116"/>
      <c r="H26" s="163"/>
      <c r="I26" s="151"/>
      <c r="J26" s="127"/>
      <c r="K26" s="162"/>
      <c r="L26" s="162"/>
      <c r="M26" s="162"/>
      <c r="N26" s="164"/>
      <c r="O26" s="165"/>
      <c r="P26" s="165"/>
      <c r="Q26" s="165"/>
      <c r="R26" s="166"/>
      <c r="S26" s="83"/>
      <c r="T26" s="155"/>
      <c r="U26" s="76"/>
      <c r="V26" s="76"/>
      <c r="W26" s="76"/>
      <c r="X26" s="76"/>
      <c r="Y26" s="76"/>
      <c r="Z26" s="76"/>
      <c r="AA26" s="76"/>
      <c r="AB26" s="76"/>
      <c r="AC26" s="76"/>
      <c r="AD26" s="76"/>
      <c r="AE26" s="76"/>
      <c r="AF26" s="76"/>
      <c r="AG26" s="76"/>
      <c r="AH26" s="76"/>
      <c r="AI26" s="76"/>
      <c r="AJ26" s="76"/>
    </row>
    <row r="27" spans="1:36" ht="19.5" customHeight="1" x14ac:dyDescent="0.3">
      <c r="A27" s="76"/>
      <c r="B27" s="149"/>
      <c r="C27" s="150"/>
      <c r="D27" s="162"/>
      <c r="E27" s="150"/>
      <c r="F27" s="116"/>
      <c r="G27" s="116"/>
      <c r="H27" s="163"/>
      <c r="I27" s="151"/>
      <c r="J27" s="127"/>
      <c r="K27" s="162"/>
      <c r="L27" s="162"/>
      <c r="M27" s="162"/>
      <c r="N27" s="164"/>
      <c r="O27" s="165"/>
      <c r="P27" s="165"/>
      <c r="Q27" s="165"/>
      <c r="R27" s="166"/>
      <c r="S27" s="83"/>
      <c r="T27" s="155"/>
      <c r="U27" s="76"/>
      <c r="V27" s="76"/>
      <c r="W27" s="76"/>
      <c r="X27" s="76"/>
      <c r="Y27" s="76"/>
      <c r="Z27" s="76"/>
      <c r="AA27" s="76"/>
      <c r="AB27" s="76"/>
      <c r="AC27" s="76"/>
      <c r="AD27" s="76"/>
      <c r="AE27" s="76"/>
      <c r="AF27" s="76"/>
      <c r="AG27" s="76"/>
      <c r="AH27" s="76"/>
      <c r="AI27" s="76"/>
      <c r="AJ27" s="76"/>
    </row>
    <row r="28" spans="1:36" s="148" customFormat="1" ht="19.5" customHeight="1" x14ac:dyDescent="0.3">
      <c r="A28" s="138"/>
      <c r="B28" s="139"/>
      <c r="C28" s="140"/>
      <c r="D28" s="140"/>
      <c r="E28" s="141"/>
      <c r="F28" s="141"/>
      <c r="G28" s="141"/>
      <c r="H28" s="141"/>
      <c r="I28" s="142"/>
      <c r="J28" s="143"/>
      <c r="K28" s="140"/>
      <c r="L28" s="140"/>
      <c r="M28" s="140"/>
      <c r="N28" s="144"/>
      <c r="O28" s="145"/>
      <c r="P28" s="145"/>
      <c r="Q28" s="145"/>
      <c r="R28" s="146"/>
      <c r="S28" s="147"/>
      <c r="T28" s="155"/>
      <c r="U28" s="138"/>
      <c r="V28" s="138"/>
      <c r="W28" s="138"/>
      <c r="X28" s="138"/>
      <c r="Y28" s="138"/>
      <c r="Z28" s="138"/>
      <c r="AA28" s="138"/>
      <c r="AB28" s="138"/>
      <c r="AC28" s="138"/>
      <c r="AD28" s="138"/>
      <c r="AE28" s="138"/>
      <c r="AF28" s="138"/>
      <c r="AG28" s="138"/>
      <c r="AH28" s="138"/>
      <c r="AI28" s="138"/>
      <c r="AJ28" s="138"/>
    </row>
    <row r="29" spans="1:36" ht="19.5" customHeight="1" x14ac:dyDescent="0.3">
      <c r="A29" s="76"/>
      <c r="B29" s="149"/>
      <c r="C29" s="150"/>
      <c r="D29" s="162"/>
      <c r="E29" s="150"/>
      <c r="F29" s="116"/>
      <c r="G29" s="116"/>
      <c r="H29" s="163"/>
      <c r="I29" s="151"/>
      <c r="J29" s="127"/>
      <c r="K29" s="162"/>
      <c r="L29" s="162"/>
      <c r="M29" s="162"/>
      <c r="N29" s="164"/>
      <c r="O29" s="165"/>
      <c r="P29" s="165"/>
      <c r="Q29" s="165"/>
      <c r="R29" s="166"/>
      <c r="S29" s="83"/>
      <c r="T29" s="155"/>
      <c r="U29" s="76"/>
      <c r="V29" s="76"/>
      <c r="W29" s="76"/>
      <c r="X29" s="76"/>
      <c r="Y29" s="76"/>
      <c r="Z29" s="76"/>
      <c r="AA29" s="76"/>
      <c r="AB29" s="76"/>
      <c r="AC29" s="76"/>
      <c r="AD29" s="76"/>
      <c r="AE29" s="76"/>
      <c r="AF29" s="76"/>
      <c r="AG29" s="76"/>
      <c r="AH29" s="76"/>
      <c r="AI29" s="76"/>
      <c r="AJ29" s="76"/>
    </row>
    <row r="30" spans="1:36" ht="19.5" customHeight="1" x14ac:dyDescent="0.3">
      <c r="A30" s="76"/>
      <c r="B30" s="149"/>
      <c r="C30" s="150"/>
      <c r="D30" s="162"/>
      <c r="E30" s="150"/>
      <c r="F30" s="116"/>
      <c r="G30" s="116"/>
      <c r="H30" s="163"/>
      <c r="I30" s="151"/>
      <c r="J30" s="127"/>
      <c r="K30" s="162"/>
      <c r="L30" s="162"/>
      <c r="M30" s="162"/>
      <c r="N30" s="164"/>
      <c r="O30" s="165"/>
      <c r="P30" s="165"/>
      <c r="Q30" s="165"/>
      <c r="R30" s="166"/>
      <c r="S30" s="83"/>
      <c r="T30" s="155"/>
      <c r="U30" s="76"/>
      <c r="V30" s="76"/>
      <c r="W30" s="76"/>
      <c r="X30" s="76"/>
      <c r="Y30" s="76"/>
      <c r="Z30" s="76"/>
      <c r="AA30" s="76"/>
      <c r="AB30" s="76"/>
      <c r="AC30" s="76"/>
      <c r="AD30" s="76"/>
      <c r="AE30" s="76"/>
      <c r="AF30" s="76"/>
      <c r="AG30" s="76"/>
      <c r="AH30" s="76"/>
      <c r="AI30" s="76"/>
      <c r="AJ30" s="76"/>
    </row>
    <row r="31" spans="1:36" ht="19.5" customHeight="1" x14ac:dyDescent="0.3">
      <c r="A31" s="76"/>
      <c r="B31" s="149"/>
      <c r="C31" s="150"/>
      <c r="D31" s="162"/>
      <c r="E31" s="150"/>
      <c r="F31" s="116"/>
      <c r="G31" s="116"/>
      <c r="H31" s="163"/>
      <c r="I31" s="151"/>
      <c r="J31" s="127"/>
      <c r="K31" s="162"/>
      <c r="L31" s="162"/>
      <c r="M31" s="162"/>
      <c r="N31" s="164"/>
      <c r="O31" s="165"/>
      <c r="P31" s="165"/>
      <c r="Q31" s="165"/>
      <c r="R31" s="166"/>
      <c r="S31" s="83"/>
      <c r="T31" s="155"/>
      <c r="U31" s="76"/>
      <c r="V31" s="76"/>
      <c r="W31" s="76"/>
      <c r="X31" s="76"/>
      <c r="Y31" s="76"/>
      <c r="Z31" s="76"/>
      <c r="AA31" s="76"/>
      <c r="AB31" s="76"/>
      <c r="AC31" s="76"/>
      <c r="AD31" s="76"/>
      <c r="AE31" s="76"/>
      <c r="AF31" s="76"/>
      <c r="AG31" s="76"/>
      <c r="AH31" s="76"/>
      <c r="AI31" s="76"/>
      <c r="AJ31" s="76"/>
    </row>
    <row r="32" spans="1:36" ht="19.5" customHeight="1" x14ac:dyDescent="0.3">
      <c r="A32" s="76"/>
      <c r="B32" s="149"/>
      <c r="C32" s="150"/>
      <c r="D32" s="162"/>
      <c r="E32" s="150"/>
      <c r="F32" s="116"/>
      <c r="G32" s="116"/>
      <c r="H32" s="163"/>
      <c r="I32" s="151"/>
      <c r="J32" s="127"/>
      <c r="K32" s="162"/>
      <c r="L32" s="162"/>
      <c r="M32" s="162"/>
      <c r="N32" s="164"/>
      <c r="O32" s="165"/>
      <c r="P32" s="165"/>
      <c r="Q32" s="165"/>
      <c r="R32" s="166"/>
      <c r="S32" s="83"/>
      <c r="T32" s="155"/>
      <c r="U32" s="76"/>
      <c r="V32" s="76"/>
      <c r="W32" s="76"/>
      <c r="X32" s="76"/>
      <c r="Y32" s="76"/>
      <c r="Z32" s="76"/>
      <c r="AA32" s="76"/>
      <c r="AB32" s="76"/>
      <c r="AC32" s="76"/>
      <c r="AD32" s="76"/>
      <c r="AE32" s="76"/>
      <c r="AF32" s="76"/>
      <c r="AG32" s="76"/>
      <c r="AH32" s="76"/>
      <c r="AI32" s="76"/>
      <c r="AJ32" s="76"/>
    </row>
    <row r="33" spans="1:36" ht="19.5" customHeight="1" x14ac:dyDescent="0.3">
      <c r="A33" s="76"/>
      <c r="B33" s="149"/>
      <c r="C33" s="150"/>
      <c r="D33" s="162"/>
      <c r="E33" s="150"/>
      <c r="F33" s="116"/>
      <c r="G33" s="116"/>
      <c r="H33" s="163"/>
      <c r="I33" s="151"/>
      <c r="J33" s="127"/>
      <c r="K33" s="162"/>
      <c r="L33" s="162"/>
      <c r="M33" s="162"/>
      <c r="N33" s="164"/>
      <c r="O33" s="165"/>
      <c r="P33" s="165"/>
      <c r="Q33" s="165"/>
      <c r="R33" s="166"/>
      <c r="S33" s="83"/>
      <c r="T33" s="155"/>
      <c r="U33" s="76"/>
      <c r="V33" s="76"/>
      <c r="W33" s="76"/>
      <c r="X33" s="76"/>
      <c r="Y33" s="76"/>
      <c r="Z33" s="76"/>
      <c r="AA33" s="76"/>
      <c r="AB33" s="76"/>
      <c r="AC33" s="76"/>
      <c r="AD33" s="76"/>
      <c r="AE33" s="76"/>
      <c r="AF33" s="76"/>
      <c r="AG33" s="76"/>
      <c r="AH33" s="76"/>
      <c r="AI33" s="76"/>
      <c r="AJ33" s="76"/>
    </row>
    <row r="34" spans="1:36" ht="19.5" customHeight="1" x14ac:dyDescent="0.3">
      <c r="A34" s="76"/>
      <c r="B34" s="149"/>
      <c r="C34" s="150"/>
      <c r="D34" s="162"/>
      <c r="E34" s="150"/>
      <c r="F34" s="116"/>
      <c r="G34" s="116"/>
      <c r="H34" s="163"/>
      <c r="I34" s="151"/>
      <c r="J34" s="127"/>
      <c r="K34" s="162"/>
      <c r="L34" s="162"/>
      <c r="M34" s="162"/>
      <c r="N34" s="164"/>
      <c r="O34" s="165"/>
      <c r="P34" s="165"/>
      <c r="Q34" s="165"/>
      <c r="R34" s="166"/>
      <c r="S34" s="83"/>
      <c r="T34" s="155"/>
      <c r="U34" s="76"/>
      <c r="V34" s="76"/>
      <c r="W34" s="76"/>
      <c r="X34" s="76"/>
      <c r="Y34" s="76"/>
      <c r="Z34" s="76"/>
      <c r="AA34" s="76"/>
      <c r="AB34" s="76"/>
      <c r="AC34" s="76"/>
      <c r="AD34" s="76"/>
      <c r="AE34" s="76"/>
      <c r="AF34" s="76"/>
      <c r="AG34" s="76"/>
      <c r="AH34" s="76"/>
      <c r="AI34" s="76"/>
      <c r="AJ34" s="76"/>
    </row>
    <row r="35" spans="1:36" ht="19.5" customHeight="1" x14ac:dyDescent="0.3">
      <c r="A35" s="76"/>
      <c r="B35" s="149"/>
      <c r="C35" s="150"/>
      <c r="D35" s="162"/>
      <c r="E35" s="150"/>
      <c r="F35" s="116"/>
      <c r="G35" s="116"/>
      <c r="H35" s="163"/>
      <c r="I35" s="151"/>
      <c r="J35" s="127"/>
      <c r="K35" s="162"/>
      <c r="L35" s="162"/>
      <c r="M35" s="162"/>
      <c r="N35" s="164"/>
      <c r="O35" s="165"/>
      <c r="P35" s="165"/>
      <c r="Q35" s="165"/>
      <c r="R35" s="166"/>
      <c r="S35" s="83"/>
      <c r="T35" s="155"/>
      <c r="U35" s="76"/>
      <c r="V35" s="76"/>
      <c r="W35" s="76"/>
      <c r="X35" s="76"/>
      <c r="Y35" s="76"/>
      <c r="Z35" s="76"/>
      <c r="AA35" s="76"/>
      <c r="AB35" s="76"/>
      <c r="AC35" s="76"/>
      <c r="AD35" s="76"/>
      <c r="AE35" s="76"/>
      <c r="AF35" s="76"/>
      <c r="AG35" s="76"/>
      <c r="AH35" s="76"/>
      <c r="AI35" s="76"/>
      <c r="AJ35" s="76"/>
    </row>
    <row r="36" spans="1:36" ht="19.5" customHeight="1" x14ac:dyDescent="0.3">
      <c r="A36" s="76"/>
      <c r="B36" s="162"/>
      <c r="C36" s="162"/>
      <c r="D36" s="162"/>
      <c r="E36" s="163"/>
      <c r="F36" s="163"/>
      <c r="G36" s="163"/>
      <c r="H36" s="163"/>
      <c r="I36" s="151"/>
      <c r="J36" s="127"/>
      <c r="K36" s="162"/>
      <c r="L36" s="162"/>
      <c r="M36" s="162"/>
      <c r="N36" s="164"/>
      <c r="O36" s="165"/>
      <c r="P36" s="165"/>
      <c r="Q36" s="165"/>
      <c r="R36" s="166"/>
      <c r="S36" s="83"/>
      <c r="T36" s="155"/>
      <c r="U36" s="76"/>
      <c r="V36" s="76"/>
      <c r="W36" s="76"/>
      <c r="X36" s="76"/>
      <c r="Y36" s="76"/>
      <c r="Z36" s="76"/>
      <c r="AA36" s="76"/>
      <c r="AB36" s="76"/>
      <c r="AC36" s="76"/>
      <c r="AD36" s="76"/>
      <c r="AE36" s="76"/>
      <c r="AF36" s="76"/>
      <c r="AG36" s="76"/>
      <c r="AH36" s="76"/>
      <c r="AI36" s="76"/>
      <c r="AJ36" s="76"/>
    </row>
    <row r="37" spans="1:36" s="148" customFormat="1" ht="19.5" customHeight="1" x14ac:dyDescent="0.3">
      <c r="A37" s="138"/>
      <c r="B37" s="139"/>
      <c r="C37" s="143"/>
      <c r="D37" s="143"/>
      <c r="E37" s="158"/>
      <c r="F37" s="158"/>
      <c r="G37" s="158"/>
      <c r="H37" s="158"/>
      <c r="I37" s="142"/>
      <c r="J37" s="143"/>
      <c r="K37" s="140"/>
      <c r="L37" s="140"/>
      <c r="M37" s="140"/>
      <c r="N37" s="159"/>
      <c r="O37" s="145"/>
      <c r="P37" s="145"/>
      <c r="Q37" s="145"/>
      <c r="R37" s="146"/>
      <c r="S37" s="147"/>
      <c r="T37" s="155"/>
      <c r="U37" s="138"/>
      <c r="V37" s="138"/>
      <c r="W37" s="138"/>
      <c r="X37" s="138"/>
      <c r="Y37" s="138"/>
      <c r="Z37" s="138"/>
      <c r="AA37" s="138"/>
      <c r="AB37" s="138"/>
      <c r="AC37" s="138"/>
      <c r="AD37" s="138"/>
      <c r="AE37" s="138"/>
      <c r="AF37" s="138"/>
      <c r="AG37" s="138"/>
      <c r="AH37" s="138"/>
      <c r="AI37" s="138"/>
      <c r="AJ37" s="138"/>
    </row>
    <row r="38" spans="1:36" ht="19.5" customHeight="1" x14ac:dyDescent="0.3">
      <c r="A38" s="76"/>
      <c r="B38" s="167"/>
      <c r="C38" s="150"/>
      <c r="D38" s="168"/>
      <c r="E38" s="150"/>
      <c r="F38" s="116"/>
      <c r="G38" s="116"/>
      <c r="H38" s="163"/>
      <c r="I38" s="151"/>
      <c r="J38" s="127"/>
      <c r="K38" s="162"/>
      <c r="L38" s="162"/>
      <c r="M38" s="162"/>
      <c r="N38" s="164"/>
      <c r="O38" s="165"/>
      <c r="P38" s="165"/>
      <c r="Q38" s="165"/>
      <c r="R38" s="166"/>
      <c r="S38" s="83"/>
      <c r="T38" s="155"/>
      <c r="U38" s="76"/>
      <c r="V38" s="76"/>
      <c r="W38" s="76"/>
      <c r="X38" s="76"/>
      <c r="Y38" s="76"/>
      <c r="Z38" s="76"/>
      <c r="AA38" s="76"/>
      <c r="AB38" s="76"/>
      <c r="AC38" s="76"/>
      <c r="AD38" s="76"/>
      <c r="AE38" s="76"/>
      <c r="AF38" s="76"/>
      <c r="AG38" s="76"/>
      <c r="AH38" s="76"/>
      <c r="AI38" s="76"/>
      <c r="AJ38" s="76"/>
    </row>
    <row r="39" spans="1:36" ht="19.5" customHeight="1" x14ac:dyDescent="0.3">
      <c r="A39" s="76"/>
      <c r="B39" s="167"/>
      <c r="C39" s="150"/>
      <c r="D39" s="162"/>
      <c r="E39" s="150"/>
      <c r="F39" s="116"/>
      <c r="G39" s="116"/>
      <c r="H39" s="163"/>
      <c r="I39" s="151"/>
      <c r="J39" s="127"/>
      <c r="K39" s="162"/>
      <c r="L39" s="162"/>
      <c r="M39" s="162"/>
      <c r="N39" s="164"/>
      <c r="O39" s="165"/>
      <c r="P39" s="165"/>
      <c r="Q39" s="165"/>
      <c r="R39" s="166"/>
      <c r="S39" s="83"/>
      <c r="T39" s="155"/>
      <c r="U39" s="76"/>
      <c r="V39" s="76"/>
      <c r="W39" s="76"/>
      <c r="X39" s="76"/>
      <c r="Y39" s="76"/>
      <c r="Z39" s="76"/>
      <c r="AA39" s="76"/>
      <c r="AB39" s="76"/>
      <c r="AC39" s="76"/>
      <c r="AD39" s="76"/>
      <c r="AE39" s="76"/>
      <c r="AF39" s="76"/>
      <c r="AG39" s="76"/>
      <c r="AH39" s="76"/>
      <c r="AI39" s="76"/>
      <c r="AJ39" s="76"/>
    </row>
    <row r="40" spans="1:36" ht="19.5" customHeight="1" x14ac:dyDescent="0.3">
      <c r="A40" s="76"/>
      <c r="B40" s="167"/>
      <c r="C40" s="150"/>
      <c r="D40" s="162"/>
      <c r="E40" s="150"/>
      <c r="F40" s="116"/>
      <c r="G40" s="116"/>
      <c r="H40" s="163"/>
      <c r="I40" s="151"/>
      <c r="J40" s="127"/>
      <c r="K40" s="162"/>
      <c r="L40" s="162"/>
      <c r="M40" s="162"/>
      <c r="N40" s="164"/>
      <c r="O40" s="165"/>
      <c r="P40" s="165"/>
      <c r="Q40" s="165"/>
      <c r="R40" s="166"/>
      <c r="S40" s="83"/>
      <c r="T40" s="155"/>
      <c r="U40" s="76"/>
      <c r="V40" s="76"/>
      <c r="W40" s="76"/>
      <c r="X40" s="76"/>
      <c r="Y40" s="76"/>
      <c r="Z40" s="76"/>
      <c r="AA40" s="76"/>
      <c r="AB40" s="76"/>
      <c r="AC40" s="76"/>
      <c r="AD40" s="76"/>
      <c r="AE40" s="76"/>
      <c r="AF40" s="76"/>
      <c r="AG40" s="76"/>
      <c r="AH40" s="76"/>
      <c r="AI40" s="76"/>
      <c r="AJ40" s="76"/>
    </row>
    <row r="41" spans="1:36" ht="19.5" customHeight="1" x14ac:dyDescent="0.3">
      <c r="A41" s="76"/>
      <c r="B41" s="167"/>
      <c r="C41" s="150"/>
      <c r="D41" s="162"/>
      <c r="E41" s="150"/>
      <c r="F41" s="116"/>
      <c r="G41" s="116"/>
      <c r="H41" s="163"/>
      <c r="I41" s="151"/>
      <c r="J41" s="127"/>
      <c r="K41" s="162"/>
      <c r="L41" s="162"/>
      <c r="M41" s="162"/>
      <c r="N41" s="164"/>
      <c r="O41" s="165"/>
      <c r="P41" s="165"/>
      <c r="Q41" s="165"/>
      <c r="R41" s="166"/>
      <c r="S41" s="83"/>
      <c r="T41" s="155"/>
      <c r="U41" s="76"/>
      <c r="V41" s="76"/>
      <c r="W41" s="76"/>
      <c r="X41" s="76"/>
      <c r="Y41" s="76"/>
      <c r="Z41" s="76"/>
      <c r="AA41" s="76"/>
      <c r="AB41" s="76"/>
      <c r="AC41" s="76"/>
      <c r="AD41" s="76"/>
      <c r="AE41" s="76"/>
      <c r="AF41" s="76"/>
      <c r="AG41" s="76"/>
      <c r="AH41" s="76"/>
      <c r="AI41" s="76"/>
      <c r="AJ41" s="76"/>
    </row>
    <row r="42" spans="1:36" ht="19.5" customHeight="1" x14ac:dyDescent="0.3">
      <c r="A42" s="76"/>
      <c r="B42" s="167"/>
      <c r="C42" s="169"/>
      <c r="D42" s="162"/>
      <c r="E42" s="150"/>
      <c r="F42" s="116"/>
      <c r="G42" s="116"/>
      <c r="H42" s="163"/>
      <c r="I42" s="151"/>
      <c r="J42" s="127"/>
      <c r="K42" s="162"/>
      <c r="L42" s="162"/>
      <c r="M42" s="162"/>
      <c r="N42" s="164"/>
      <c r="O42" s="165"/>
      <c r="P42" s="165"/>
      <c r="Q42" s="165"/>
      <c r="R42" s="166"/>
      <c r="S42" s="83"/>
      <c r="T42" s="155"/>
      <c r="U42" s="76"/>
      <c r="V42" s="76"/>
      <c r="W42" s="76"/>
      <c r="X42" s="76"/>
      <c r="Y42" s="76"/>
      <c r="Z42" s="76"/>
      <c r="AA42" s="76"/>
      <c r="AB42" s="76"/>
      <c r="AC42" s="76"/>
      <c r="AD42" s="76"/>
      <c r="AE42" s="76"/>
      <c r="AF42" s="76"/>
      <c r="AG42" s="76"/>
      <c r="AH42" s="76"/>
      <c r="AI42" s="76"/>
      <c r="AJ42" s="76"/>
    </row>
    <row r="43" spans="1:36" ht="19.5" customHeight="1" x14ac:dyDescent="0.3">
      <c r="A43" s="76"/>
      <c r="B43" s="167"/>
      <c r="C43" s="150"/>
      <c r="D43" s="162"/>
      <c r="E43" s="150"/>
      <c r="F43" s="116"/>
      <c r="G43" s="116"/>
      <c r="H43" s="163"/>
      <c r="I43" s="151"/>
      <c r="J43" s="127"/>
      <c r="K43" s="162"/>
      <c r="L43" s="162"/>
      <c r="M43" s="162"/>
      <c r="N43" s="164"/>
      <c r="O43" s="165"/>
      <c r="P43" s="165"/>
      <c r="Q43" s="165"/>
      <c r="R43" s="166"/>
      <c r="S43" s="83"/>
      <c r="T43" s="155"/>
      <c r="U43" s="76"/>
      <c r="V43" s="76"/>
      <c r="W43" s="76"/>
      <c r="X43" s="76"/>
      <c r="Y43" s="76"/>
      <c r="Z43" s="76"/>
      <c r="AA43" s="76"/>
      <c r="AB43" s="76"/>
      <c r="AC43" s="76"/>
      <c r="AD43" s="76"/>
      <c r="AE43" s="76"/>
      <c r="AF43" s="76"/>
      <c r="AG43" s="76"/>
      <c r="AH43" s="76"/>
      <c r="AI43" s="76"/>
      <c r="AJ43" s="76"/>
    </row>
    <row r="44" spans="1:36" ht="19.5" customHeight="1" x14ac:dyDescent="0.3">
      <c r="A44" s="76"/>
      <c r="B44" s="167"/>
      <c r="C44" s="150"/>
      <c r="D44" s="162"/>
      <c r="E44" s="150"/>
      <c r="F44" s="116"/>
      <c r="G44" s="116"/>
      <c r="H44" s="163"/>
      <c r="I44" s="151"/>
      <c r="J44" s="127"/>
      <c r="K44" s="162"/>
      <c r="L44" s="162"/>
      <c r="M44" s="162"/>
      <c r="N44" s="164"/>
      <c r="O44" s="165"/>
      <c r="P44" s="165"/>
      <c r="Q44" s="165"/>
      <c r="R44" s="166"/>
      <c r="S44" s="83"/>
      <c r="T44" s="155"/>
      <c r="U44" s="76"/>
      <c r="V44" s="76"/>
      <c r="W44" s="76"/>
      <c r="X44" s="76"/>
      <c r="Y44" s="76"/>
      <c r="Z44" s="76"/>
      <c r="AA44" s="76"/>
      <c r="AB44" s="76"/>
      <c r="AC44" s="76"/>
      <c r="AD44" s="76"/>
      <c r="AE44" s="76"/>
      <c r="AF44" s="76"/>
      <c r="AG44" s="76"/>
      <c r="AH44" s="76"/>
      <c r="AI44" s="76"/>
      <c r="AJ44" s="76"/>
    </row>
    <row r="45" spans="1:36" ht="19.5" customHeight="1" x14ac:dyDescent="0.3">
      <c r="A45" s="76"/>
      <c r="B45" s="167"/>
      <c r="C45" s="150"/>
      <c r="D45" s="162"/>
      <c r="E45" s="150"/>
      <c r="F45" s="116"/>
      <c r="G45" s="116"/>
      <c r="H45" s="163"/>
      <c r="I45" s="151"/>
      <c r="J45" s="127"/>
      <c r="K45" s="162"/>
      <c r="L45" s="162"/>
      <c r="M45" s="162"/>
      <c r="N45" s="164"/>
      <c r="O45" s="165"/>
      <c r="P45" s="165"/>
      <c r="Q45" s="165"/>
      <c r="R45" s="166"/>
      <c r="S45" s="83"/>
      <c r="T45" s="155"/>
      <c r="U45" s="76"/>
      <c r="V45" s="76"/>
      <c r="W45" s="76"/>
      <c r="X45" s="76"/>
      <c r="Y45" s="76"/>
      <c r="Z45" s="76"/>
      <c r="AA45" s="76"/>
      <c r="AB45" s="76"/>
      <c r="AC45" s="76"/>
      <c r="AD45" s="76"/>
      <c r="AE45" s="76"/>
      <c r="AF45" s="76"/>
      <c r="AG45" s="76"/>
      <c r="AH45" s="76"/>
      <c r="AI45" s="76"/>
      <c r="AJ45" s="76"/>
    </row>
    <row r="46" spans="1:36" ht="19.5" customHeight="1" x14ac:dyDescent="0.3">
      <c r="A46" s="76"/>
      <c r="B46" s="167"/>
      <c r="C46" s="150"/>
      <c r="D46" s="162"/>
      <c r="E46" s="150"/>
      <c r="F46" s="116"/>
      <c r="G46" s="116"/>
      <c r="H46" s="163"/>
      <c r="I46" s="151"/>
      <c r="J46" s="127"/>
      <c r="K46" s="162"/>
      <c r="L46" s="162"/>
      <c r="M46" s="162"/>
      <c r="N46" s="164"/>
      <c r="O46" s="165"/>
      <c r="P46" s="165"/>
      <c r="Q46" s="165"/>
      <c r="R46" s="166"/>
      <c r="S46" s="83"/>
      <c r="T46" s="155"/>
      <c r="U46" s="76"/>
      <c r="V46" s="76"/>
      <c r="W46" s="76"/>
      <c r="X46" s="76"/>
      <c r="Y46" s="76"/>
      <c r="Z46" s="76"/>
      <c r="AA46" s="76"/>
      <c r="AB46" s="76"/>
      <c r="AC46" s="76"/>
      <c r="AD46" s="76"/>
      <c r="AE46" s="76"/>
      <c r="AF46" s="76"/>
      <c r="AG46" s="76"/>
      <c r="AH46" s="76"/>
      <c r="AI46" s="76"/>
      <c r="AJ46" s="76"/>
    </row>
    <row r="47" spans="1:36" ht="19.5" customHeight="1" x14ac:dyDescent="0.3">
      <c r="A47" s="76"/>
      <c r="B47" s="167"/>
      <c r="C47" s="150"/>
      <c r="D47" s="162"/>
      <c r="E47" s="150"/>
      <c r="F47" s="116"/>
      <c r="G47" s="116"/>
      <c r="H47" s="163"/>
      <c r="I47" s="151"/>
      <c r="J47" s="127"/>
      <c r="K47" s="162"/>
      <c r="L47" s="162"/>
      <c r="M47" s="162"/>
      <c r="N47" s="164"/>
      <c r="O47" s="165"/>
      <c r="P47" s="165"/>
      <c r="Q47" s="165"/>
      <c r="R47" s="166"/>
      <c r="S47" s="83"/>
      <c r="T47" s="155"/>
      <c r="U47" s="76"/>
      <c r="V47" s="76"/>
      <c r="W47" s="76"/>
      <c r="X47" s="76"/>
      <c r="Y47" s="76"/>
      <c r="Z47" s="76"/>
      <c r="AA47" s="76"/>
      <c r="AB47" s="76"/>
      <c r="AC47" s="76"/>
      <c r="AD47" s="76"/>
      <c r="AE47" s="76"/>
      <c r="AF47" s="76"/>
      <c r="AG47" s="76"/>
      <c r="AH47" s="76"/>
      <c r="AI47" s="76"/>
      <c r="AJ47" s="76"/>
    </row>
    <row r="48" spans="1:36" ht="19.5" customHeight="1" x14ac:dyDescent="0.3">
      <c r="A48" s="76"/>
      <c r="B48" s="167"/>
      <c r="C48" s="150"/>
      <c r="D48" s="162"/>
      <c r="E48" s="149"/>
      <c r="F48" s="116"/>
      <c r="G48" s="116"/>
      <c r="H48" s="163"/>
      <c r="I48" s="151"/>
      <c r="J48" s="127"/>
      <c r="K48" s="162"/>
      <c r="L48" s="162"/>
      <c r="M48" s="162"/>
      <c r="N48" s="164"/>
      <c r="O48" s="165"/>
      <c r="P48" s="165"/>
      <c r="Q48" s="165"/>
      <c r="R48" s="166"/>
      <c r="S48" s="83"/>
      <c r="T48" s="155"/>
      <c r="U48" s="76"/>
      <c r="V48" s="76"/>
      <c r="W48" s="76"/>
      <c r="X48" s="76"/>
      <c r="Y48" s="76"/>
      <c r="Z48" s="76"/>
      <c r="AA48" s="76"/>
      <c r="AB48" s="76"/>
      <c r="AC48" s="76"/>
      <c r="AD48" s="76"/>
      <c r="AE48" s="76"/>
      <c r="AF48" s="76"/>
      <c r="AG48" s="76"/>
      <c r="AH48" s="76"/>
      <c r="AI48" s="76"/>
      <c r="AJ48" s="76"/>
    </row>
    <row r="49" spans="1:36" ht="19.5" customHeight="1" x14ac:dyDescent="0.3">
      <c r="A49" s="76"/>
      <c r="B49" s="167"/>
      <c r="C49" s="150"/>
      <c r="D49" s="162"/>
      <c r="E49" s="149"/>
      <c r="F49" s="116"/>
      <c r="G49" s="116"/>
      <c r="H49" s="163"/>
      <c r="I49" s="151"/>
      <c r="J49" s="127"/>
      <c r="K49" s="162"/>
      <c r="L49" s="162"/>
      <c r="M49" s="162"/>
      <c r="N49" s="164"/>
      <c r="O49" s="165"/>
      <c r="P49" s="165"/>
      <c r="Q49" s="165"/>
      <c r="R49" s="166"/>
      <c r="S49" s="83"/>
      <c r="T49" s="155"/>
      <c r="U49" s="76"/>
      <c r="V49" s="76"/>
      <c r="W49" s="76"/>
      <c r="X49" s="76"/>
      <c r="Y49" s="76"/>
      <c r="Z49" s="76"/>
      <c r="AA49" s="76"/>
      <c r="AB49" s="76"/>
      <c r="AC49" s="76"/>
      <c r="AD49" s="76"/>
      <c r="AE49" s="76"/>
      <c r="AF49" s="76"/>
      <c r="AG49" s="76"/>
      <c r="AH49" s="76"/>
      <c r="AI49" s="76"/>
      <c r="AJ49" s="76"/>
    </row>
    <row r="50" spans="1:36" ht="19.5" customHeight="1" x14ac:dyDescent="0.3">
      <c r="A50" s="76"/>
      <c r="B50" s="162"/>
      <c r="C50" s="162"/>
      <c r="D50" s="162"/>
      <c r="E50" s="163"/>
      <c r="F50" s="163"/>
      <c r="G50" s="163"/>
      <c r="H50" s="163"/>
      <c r="I50" s="151"/>
      <c r="J50" s="127"/>
      <c r="K50" s="162"/>
      <c r="L50" s="162"/>
      <c r="M50" s="162"/>
      <c r="N50" s="164"/>
      <c r="O50" s="165"/>
      <c r="P50" s="165"/>
      <c r="Q50" s="165"/>
      <c r="R50" s="166"/>
      <c r="S50" s="83"/>
      <c r="T50" s="155"/>
      <c r="U50" s="76"/>
      <c r="V50" s="76"/>
      <c r="W50" s="76"/>
      <c r="X50" s="76"/>
      <c r="Y50" s="76"/>
      <c r="Z50" s="76"/>
      <c r="AA50" s="76"/>
      <c r="AB50" s="76"/>
      <c r="AC50" s="76"/>
      <c r="AD50" s="76"/>
      <c r="AE50" s="76"/>
      <c r="AF50" s="76"/>
      <c r="AG50" s="76"/>
      <c r="AH50" s="76"/>
      <c r="AI50" s="76"/>
      <c r="AJ50" s="76"/>
    </row>
    <row r="51" spans="1:36" s="148" customFormat="1" ht="19.5" customHeight="1" x14ac:dyDescent="0.3">
      <c r="A51" s="138"/>
      <c r="B51" s="139"/>
      <c r="C51" s="139"/>
      <c r="D51" s="143"/>
      <c r="E51" s="158"/>
      <c r="F51" s="158"/>
      <c r="G51" s="158"/>
      <c r="H51" s="158"/>
      <c r="I51" s="142"/>
      <c r="J51" s="143"/>
      <c r="K51" s="140"/>
      <c r="L51" s="140"/>
      <c r="M51" s="140"/>
      <c r="N51" s="159"/>
      <c r="O51" s="145"/>
      <c r="P51" s="145"/>
      <c r="Q51" s="145"/>
      <c r="R51" s="146"/>
      <c r="S51" s="147"/>
      <c r="T51" s="155"/>
      <c r="U51" s="138"/>
      <c r="V51" s="138"/>
      <c r="W51" s="138"/>
      <c r="X51" s="138"/>
      <c r="Y51" s="138"/>
      <c r="Z51" s="138"/>
      <c r="AA51" s="138"/>
      <c r="AB51" s="138"/>
      <c r="AC51" s="138"/>
      <c r="AD51" s="138"/>
      <c r="AE51" s="138"/>
      <c r="AF51" s="138"/>
      <c r="AG51" s="138"/>
      <c r="AH51" s="138"/>
      <c r="AI51" s="138"/>
      <c r="AJ51" s="138"/>
    </row>
    <row r="52" spans="1:36" ht="19.5" customHeight="1" x14ac:dyDescent="0.3">
      <c r="A52" s="76"/>
      <c r="B52" s="149"/>
      <c r="C52" s="150"/>
      <c r="D52" s="162"/>
      <c r="E52" s="150"/>
      <c r="F52" s="116"/>
      <c r="G52" s="116"/>
      <c r="H52" s="163"/>
      <c r="I52" s="151"/>
      <c r="J52" s="127"/>
      <c r="K52" s="162"/>
      <c r="L52" s="162"/>
      <c r="M52" s="162"/>
      <c r="N52" s="164"/>
      <c r="O52" s="165"/>
      <c r="P52" s="165"/>
      <c r="Q52" s="165"/>
      <c r="R52" s="166"/>
      <c r="S52" s="83"/>
      <c r="T52" s="155"/>
      <c r="U52" s="76"/>
      <c r="V52" s="76"/>
      <c r="W52" s="76"/>
      <c r="X52" s="76"/>
      <c r="Y52" s="76"/>
      <c r="Z52" s="76"/>
      <c r="AA52" s="76"/>
      <c r="AB52" s="76"/>
      <c r="AC52" s="76"/>
      <c r="AD52" s="76"/>
      <c r="AE52" s="76"/>
      <c r="AF52" s="76"/>
      <c r="AG52" s="76"/>
      <c r="AH52" s="76"/>
      <c r="AI52" s="76"/>
      <c r="AJ52" s="76"/>
    </row>
    <row r="53" spans="1:36" ht="19.5" customHeight="1" x14ac:dyDescent="0.3">
      <c r="A53" s="76"/>
      <c r="B53" s="149"/>
      <c r="C53" s="150"/>
      <c r="D53" s="162"/>
      <c r="E53" s="150"/>
      <c r="F53" s="116"/>
      <c r="G53" s="116"/>
      <c r="H53" s="163"/>
      <c r="I53" s="151"/>
      <c r="J53" s="127"/>
      <c r="K53" s="162"/>
      <c r="L53" s="162"/>
      <c r="M53" s="162"/>
      <c r="N53" s="164"/>
      <c r="O53" s="165"/>
      <c r="P53" s="165"/>
      <c r="Q53" s="165"/>
      <c r="R53" s="166"/>
      <c r="S53" s="83"/>
      <c r="T53" s="155"/>
      <c r="U53" s="76"/>
      <c r="V53" s="76"/>
      <c r="W53" s="76"/>
      <c r="X53" s="76"/>
      <c r="Y53" s="76"/>
      <c r="Z53" s="76"/>
      <c r="AA53" s="76"/>
      <c r="AB53" s="76"/>
      <c r="AC53" s="76"/>
      <c r="AD53" s="76"/>
      <c r="AE53" s="76"/>
      <c r="AF53" s="76"/>
      <c r="AG53" s="76"/>
      <c r="AH53" s="76"/>
      <c r="AI53" s="76"/>
      <c r="AJ53" s="76"/>
    </row>
    <row r="54" spans="1:36" ht="19.5" customHeight="1" x14ac:dyDescent="0.3">
      <c r="A54" s="76"/>
      <c r="B54" s="149"/>
      <c r="C54" s="150"/>
      <c r="D54" s="162"/>
      <c r="E54" s="150"/>
      <c r="F54" s="116"/>
      <c r="G54" s="116"/>
      <c r="H54" s="163"/>
      <c r="I54" s="151"/>
      <c r="J54" s="127"/>
      <c r="K54" s="162"/>
      <c r="L54" s="162"/>
      <c r="M54" s="162"/>
      <c r="N54" s="164"/>
      <c r="O54" s="165"/>
      <c r="P54" s="165"/>
      <c r="Q54" s="165"/>
      <c r="R54" s="166"/>
      <c r="S54" s="83"/>
      <c r="T54" s="155"/>
      <c r="U54" s="76"/>
      <c r="V54" s="76"/>
      <c r="W54" s="76"/>
      <c r="X54" s="76"/>
      <c r="Y54" s="76"/>
      <c r="Z54" s="76"/>
      <c r="AA54" s="76"/>
      <c r="AB54" s="76"/>
      <c r="AC54" s="76"/>
      <c r="AD54" s="76"/>
      <c r="AE54" s="76"/>
      <c r="AF54" s="76"/>
      <c r="AG54" s="76"/>
      <c r="AH54" s="76"/>
      <c r="AI54" s="76"/>
      <c r="AJ54" s="76"/>
    </row>
    <row r="55" spans="1:36" ht="19.5" customHeight="1" x14ac:dyDescent="0.3">
      <c r="A55" s="76"/>
      <c r="B55" s="149"/>
      <c r="C55" s="150"/>
      <c r="D55" s="162"/>
      <c r="E55" s="150"/>
      <c r="F55" s="116"/>
      <c r="G55" s="116"/>
      <c r="H55" s="163"/>
      <c r="I55" s="151"/>
      <c r="J55" s="127"/>
      <c r="K55" s="162"/>
      <c r="L55" s="162"/>
      <c r="M55" s="162"/>
      <c r="N55" s="164"/>
      <c r="O55" s="165"/>
      <c r="P55" s="165"/>
      <c r="Q55" s="165"/>
      <c r="R55" s="166"/>
      <c r="S55" s="83"/>
      <c r="T55" s="155"/>
      <c r="U55" s="76"/>
      <c r="V55" s="76"/>
      <c r="W55" s="76"/>
      <c r="X55" s="76"/>
      <c r="Y55" s="76"/>
      <c r="Z55" s="76"/>
      <c r="AA55" s="76"/>
      <c r="AB55" s="76"/>
      <c r="AC55" s="76"/>
      <c r="AD55" s="76"/>
      <c r="AE55" s="76"/>
      <c r="AF55" s="76"/>
      <c r="AG55" s="76"/>
      <c r="AH55" s="76"/>
      <c r="AI55" s="76"/>
      <c r="AJ55" s="76"/>
    </row>
    <row r="56" spans="1:36" ht="19.5" customHeight="1" x14ac:dyDescent="0.3">
      <c r="A56" s="76"/>
      <c r="B56" s="149"/>
      <c r="C56" s="150"/>
      <c r="D56" s="168"/>
      <c r="E56" s="150"/>
      <c r="F56" s="116"/>
      <c r="G56" s="116"/>
      <c r="H56" s="163"/>
      <c r="I56" s="151"/>
      <c r="J56" s="127"/>
      <c r="K56" s="162"/>
      <c r="L56" s="162"/>
      <c r="M56" s="162"/>
      <c r="N56" s="164"/>
      <c r="O56" s="165"/>
      <c r="P56" s="165"/>
      <c r="Q56" s="165"/>
      <c r="R56" s="166"/>
      <c r="S56" s="83"/>
      <c r="T56" s="155"/>
      <c r="U56" s="76"/>
      <c r="V56" s="76"/>
      <c r="W56" s="76"/>
      <c r="X56" s="76"/>
      <c r="Y56" s="76"/>
      <c r="Z56" s="76"/>
      <c r="AA56" s="76"/>
      <c r="AB56" s="76"/>
      <c r="AC56" s="76"/>
      <c r="AD56" s="76"/>
      <c r="AE56" s="76"/>
      <c r="AF56" s="76"/>
      <c r="AG56" s="76"/>
      <c r="AH56" s="76"/>
      <c r="AI56" s="76"/>
      <c r="AJ56" s="76"/>
    </row>
    <row r="57" spans="1:36" ht="19.5" customHeight="1" x14ac:dyDescent="0.3">
      <c r="A57" s="76"/>
      <c r="B57" s="149"/>
      <c r="C57" s="150"/>
      <c r="D57" s="162"/>
      <c r="E57" s="150"/>
      <c r="F57" s="116"/>
      <c r="G57" s="116"/>
      <c r="H57" s="163"/>
      <c r="I57" s="151"/>
      <c r="J57" s="127"/>
      <c r="K57" s="162"/>
      <c r="L57" s="162"/>
      <c r="M57" s="162"/>
      <c r="N57" s="164"/>
      <c r="O57" s="165"/>
      <c r="P57" s="165"/>
      <c r="Q57" s="165"/>
      <c r="R57" s="166"/>
      <c r="S57" s="83"/>
      <c r="T57" s="155"/>
      <c r="U57" s="76"/>
      <c r="V57" s="76"/>
      <c r="W57" s="76"/>
      <c r="X57" s="76"/>
      <c r="Y57" s="76"/>
      <c r="Z57" s="76"/>
      <c r="AA57" s="76"/>
      <c r="AB57" s="76"/>
      <c r="AC57" s="76"/>
      <c r="AD57" s="76"/>
      <c r="AE57" s="76"/>
      <c r="AF57" s="76"/>
      <c r="AG57" s="76"/>
      <c r="AH57" s="76"/>
      <c r="AI57" s="76"/>
      <c r="AJ57" s="76"/>
    </row>
    <row r="58" spans="1:36" ht="19.5" customHeight="1" x14ac:dyDescent="0.3">
      <c r="A58" s="76"/>
      <c r="B58" s="156"/>
      <c r="C58" s="157"/>
      <c r="D58" s="162"/>
      <c r="E58" s="150"/>
      <c r="F58" s="116"/>
      <c r="G58" s="116"/>
      <c r="H58" s="163"/>
      <c r="I58" s="151"/>
      <c r="J58" s="127"/>
      <c r="K58" s="162"/>
      <c r="L58" s="162"/>
      <c r="M58" s="162"/>
      <c r="N58" s="164"/>
      <c r="O58" s="165"/>
      <c r="P58" s="165"/>
      <c r="Q58" s="165"/>
      <c r="R58" s="166"/>
      <c r="S58" s="83"/>
      <c r="T58" s="155"/>
      <c r="U58" s="76"/>
      <c r="V58" s="76"/>
      <c r="W58" s="76"/>
      <c r="X58" s="76"/>
      <c r="Y58" s="76"/>
      <c r="Z58" s="76"/>
      <c r="AA58" s="76"/>
      <c r="AB58" s="76"/>
      <c r="AC58" s="76"/>
      <c r="AD58" s="76"/>
      <c r="AE58" s="76"/>
      <c r="AF58" s="76"/>
      <c r="AG58" s="76"/>
      <c r="AH58" s="76"/>
      <c r="AI58" s="76"/>
      <c r="AJ58" s="76"/>
    </row>
    <row r="59" spans="1:36" ht="19.5" customHeight="1" x14ac:dyDescent="0.3">
      <c r="A59" s="76"/>
      <c r="B59" s="156"/>
      <c r="C59" s="157"/>
      <c r="D59" s="162"/>
      <c r="E59" s="157"/>
      <c r="F59" s="116"/>
      <c r="G59" s="116"/>
      <c r="H59" s="163"/>
      <c r="I59" s="151"/>
      <c r="J59" s="127"/>
      <c r="K59" s="162"/>
      <c r="L59" s="162"/>
      <c r="M59" s="162"/>
      <c r="N59" s="164"/>
      <c r="O59" s="165"/>
      <c r="P59" s="165"/>
      <c r="Q59" s="165"/>
      <c r="R59" s="166"/>
      <c r="S59" s="83"/>
      <c r="T59" s="155"/>
      <c r="U59" s="76"/>
      <c r="V59" s="76"/>
      <c r="W59" s="76"/>
      <c r="X59" s="76"/>
      <c r="Y59" s="76"/>
      <c r="Z59" s="76"/>
      <c r="AA59" s="76"/>
      <c r="AB59" s="76"/>
      <c r="AC59" s="76"/>
      <c r="AD59" s="76"/>
      <c r="AE59" s="76"/>
      <c r="AF59" s="76"/>
      <c r="AG59" s="76"/>
      <c r="AH59" s="76"/>
      <c r="AI59" s="76"/>
      <c r="AJ59" s="76"/>
    </row>
    <row r="60" spans="1:36" ht="19.5" customHeight="1" x14ac:dyDescent="0.3">
      <c r="A60" s="76"/>
      <c r="B60" s="162"/>
      <c r="C60" s="162"/>
      <c r="D60" s="162"/>
      <c r="E60" s="163"/>
      <c r="F60" s="163"/>
      <c r="G60" s="163"/>
      <c r="H60" s="163"/>
      <c r="I60" s="151"/>
      <c r="J60" s="127"/>
      <c r="K60" s="162"/>
      <c r="L60" s="162"/>
      <c r="M60" s="162"/>
      <c r="N60" s="164"/>
      <c r="O60" s="165"/>
      <c r="P60" s="165"/>
      <c r="Q60" s="165"/>
      <c r="R60" s="166"/>
      <c r="S60" s="83"/>
      <c r="T60" s="155"/>
      <c r="U60" s="76"/>
      <c r="V60" s="76"/>
      <c r="W60" s="76"/>
      <c r="X60" s="76"/>
      <c r="Y60" s="76"/>
      <c r="Z60" s="76"/>
      <c r="AA60" s="76"/>
      <c r="AB60" s="76"/>
      <c r="AC60" s="76"/>
      <c r="AD60" s="76"/>
      <c r="AE60" s="76"/>
      <c r="AF60" s="76"/>
      <c r="AG60" s="76"/>
      <c r="AH60" s="76"/>
      <c r="AI60" s="76"/>
      <c r="AJ60" s="76"/>
    </row>
    <row r="61" spans="1:36" s="148" customFormat="1" ht="19.5" customHeight="1" x14ac:dyDescent="0.3">
      <c r="A61" s="138"/>
      <c r="B61" s="139"/>
      <c r="C61" s="139"/>
      <c r="D61" s="143"/>
      <c r="E61" s="158"/>
      <c r="F61" s="158"/>
      <c r="G61" s="158"/>
      <c r="H61" s="158"/>
      <c r="I61" s="142"/>
      <c r="J61" s="143"/>
      <c r="K61" s="140"/>
      <c r="L61" s="140"/>
      <c r="M61" s="140"/>
      <c r="N61" s="159"/>
      <c r="O61" s="145"/>
      <c r="P61" s="145"/>
      <c r="Q61" s="145"/>
      <c r="R61" s="146"/>
      <c r="S61" s="147"/>
      <c r="T61" s="155"/>
      <c r="U61" s="138"/>
      <c r="V61" s="138"/>
      <c r="W61" s="138"/>
      <c r="X61" s="138"/>
      <c r="Y61" s="138"/>
      <c r="Z61" s="138"/>
      <c r="AA61" s="138"/>
      <c r="AB61" s="138"/>
      <c r="AC61" s="138"/>
      <c r="AD61" s="138"/>
      <c r="AE61" s="138"/>
      <c r="AF61" s="138"/>
      <c r="AG61" s="138"/>
      <c r="AH61" s="138"/>
      <c r="AI61" s="138"/>
      <c r="AJ61" s="138"/>
    </row>
    <row r="62" spans="1:36" ht="19.5" customHeight="1" x14ac:dyDescent="0.3">
      <c r="A62" s="76"/>
      <c r="B62" s="149"/>
      <c r="C62" s="150"/>
      <c r="D62" s="162"/>
      <c r="E62" s="150"/>
      <c r="F62" s="116"/>
      <c r="G62" s="116"/>
      <c r="H62" s="163"/>
      <c r="I62" s="151"/>
      <c r="J62" s="127"/>
      <c r="K62" s="162"/>
      <c r="L62" s="162"/>
      <c r="M62" s="162"/>
      <c r="N62" s="164"/>
      <c r="O62" s="165"/>
      <c r="P62" s="165"/>
      <c r="Q62" s="165"/>
      <c r="R62" s="166"/>
      <c r="S62" s="83"/>
      <c r="T62" s="155"/>
      <c r="U62" s="76"/>
      <c r="V62" s="76"/>
      <c r="W62" s="76"/>
      <c r="X62" s="76"/>
      <c r="Y62" s="76"/>
      <c r="Z62" s="76"/>
      <c r="AA62" s="76"/>
      <c r="AB62" s="76"/>
      <c r="AC62" s="76"/>
      <c r="AD62" s="76"/>
      <c r="AE62" s="76"/>
      <c r="AF62" s="76"/>
      <c r="AG62" s="76"/>
      <c r="AH62" s="76"/>
      <c r="AI62" s="76"/>
      <c r="AJ62" s="76"/>
    </row>
    <row r="63" spans="1:36" ht="19.5" customHeight="1" x14ac:dyDescent="0.3">
      <c r="A63" s="76"/>
      <c r="B63" s="149"/>
      <c r="C63" s="150"/>
      <c r="D63" s="162"/>
      <c r="E63" s="150"/>
      <c r="F63" s="116"/>
      <c r="G63" s="116"/>
      <c r="H63" s="163"/>
      <c r="I63" s="151"/>
      <c r="J63" s="127"/>
      <c r="K63" s="162"/>
      <c r="L63" s="162"/>
      <c r="M63" s="162"/>
      <c r="N63" s="164"/>
      <c r="O63" s="165"/>
      <c r="P63" s="165"/>
      <c r="Q63" s="165"/>
      <c r="R63" s="166"/>
      <c r="S63" s="83"/>
      <c r="T63" s="155"/>
      <c r="U63" s="76"/>
      <c r="V63" s="76"/>
      <c r="W63" s="76"/>
      <c r="X63" s="76"/>
      <c r="Y63" s="76"/>
      <c r="Z63" s="76"/>
      <c r="AA63" s="76"/>
      <c r="AB63" s="76"/>
      <c r="AC63" s="76"/>
      <c r="AD63" s="76"/>
      <c r="AE63" s="76"/>
      <c r="AF63" s="76"/>
      <c r="AG63" s="76"/>
      <c r="AH63" s="76"/>
      <c r="AI63" s="76"/>
      <c r="AJ63" s="76"/>
    </row>
    <row r="64" spans="1:36" ht="19.5" customHeight="1" x14ac:dyDescent="0.3">
      <c r="A64" s="76"/>
      <c r="B64" s="149"/>
      <c r="C64" s="150"/>
      <c r="D64" s="162"/>
      <c r="E64" s="150"/>
      <c r="F64" s="116"/>
      <c r="G64" s="116"/>
      <c r="H64" s="163"/>
      <c r="I64" s="151"/>
      <c r="J64" s="127"/>
      <c r="K64" s="162"/>
      <c r="L64" s="162"/>
      <c r="M64" s="162"/>
      <c r="N64" s="164"/>
      <c r="O64" s="165"/>
      <c r="P64" s="165"/>
      <c r="Q64" s="165"/>
      <c r="R64" s="166"/>
      <c r="S64" s="83"/>
      <c r="T64" s="155"/>
      <c r="U64" s="76"/>
      <c r="V64" s="76"/>
      <c r="W64" s="76"/>
      <c r="X64" s="76"/>
      <c r="Y64" s="76"/>
      <c r="Z64" s="76"/>
      <c r="AA64" s="76"/>
      <c r="AB64" s="76"/>
      <c r="AC64" s="76"/>
      <c r="AD64" s="76"/>
      <c r="AE64" s="76"/>
      <c r="AF64" s="76"/>
      <c r="AG64" s="76"/>
      <c r="AH64" s="76"/>
      <c r="AI64" s="76"/>
      <c r="AJ64" s="76"/>
    </row>
    <row r="65" spans="1:36" ht="19.5" customHeight="1" x14ac:dyDescent="0.3">
      <c r="A65" s="76"/>
      <c r="B65" s="156"/>
      <c r="C65" s="157"/>
      <c r="D65" s="162"/>
      <c r="E65" s="157"/>
      <c r="F65" s="116"/>
      <c r="G65" s="116"/>
      <c r="H65" s="163"/>
      <c r="I65" s="151"/>
      <c r="J65" s="127"/>
      <c r="K65" s="162"/>
      <c r="L65" s="162"/>
      <c r="M65" s="162"/>
      <c r="N65" s="164"/>
      <c r="O65" s="165"/>
      <c r="P65" s="165"/>
      <c r="Q65" s="165"/>
      <c r="R65" s="166"/>
      <c r="S65" s="83"/>
      <c r="T65" s="155"/>
      <c r="U65" s="76"/>
      <c r="V65" s="76"/>
      <c r="W65" s="76"/>
      <c r="X65" s="76"/>
      <c r="Y65" s="76"/>
      <c r="Z65" s="76"/>
      <c r="AA65" s="76"/>
      <c r="AB65" s="76"/>
      <c r="AC65" s="76"/>
      <c r="AD65" s="76"/>
      <c r="AE65" s="76"/>
      <c r="AF65" s="76"/>
      <c r="AG65" s="76"/>
      <c r="AH65" s="76"/>
      <c r="AI65" s="76"/>
      <c r="AJ65" s="76"/>
    </row>
    <row r="66" spans="1:36" ht="19.5" customHeight="1" x14ac:dyDescent="0.3">
      <c r="A66" s="76"/>
      <c r="B66" s="162"/>
      <c r="C66" s="162"/>
      <c r="D66" s="162"/>
      <c r="E66" s="163"/>
      <c r="F66" s="163"/>
      <c r="G66" s="163"/>
      <c r="H66" s="163"/>
      <c r="I66" s="151"/>
      <c r="J66" s="127"/>
      <c r="K66" s="162"/>
      <c r="L66" s="162"/>
      <c r="M66" s="162"/>
      <c r="N66" s="164"/>
      <c r="O66" s="165"/>
      <c r="P66" s="165"/>
      <c r="Q66" s="165"/>
      <c r="R66" s="166"/>
      <c r="S66" s="83"/>
      <c r="T66" s="155"/>
      <c r="U66" s="76"/>
      <c r="V66" s="76"/>
      <c r="W66" s="76"/>
      <c r="X66" s="76"/>
      <c r="Y66" s="76"/>
      <c r="Z66" s="76"/>
      <c r="AA66" s="76"/>
      <c r="AB66" s="76"/>
      <c r="AC66" s="76"/>
      <c r="AD66" s="76"/>
      <c r="AE66" s="76"/>
      <c r="AF66" s="76"/>
      <c r="AG66" s="76"/>
      <c r="AH66" s="76"/>
      <c r="AI66" s="76"/>
      <c r="AJ66" s="76"/>
    </row>
    <row r="67" spans="1:36" s="148" customFormat="1" ht="19.5" customHeight="1" x14ac:dyDescent="0.3">
      <c r="A67" s="138"/>
      <c r="B67" s="139"/>
      <c r="C67" s="139"/>
      <c r="D67" s="143"/>
      <c r="E67" s="158"/>
      <c r="F67" s="158"/>
      <c r="G67" s="158"/>
      <c r="H67" s="158"/>
      <c r="I67" s="142"/>
      <c r="J67" s="143"/>
      <c r="K67" s="140"/>
      <c r="L67" s="140"/>
      <c r="M67" s="140"/>
      <c r="N67" s="159"/>
      <c r="O67" s="145"/>
      <c r="P67" s="145"/>
      <c r="Q67" s="145"/>
      <c r="R67" s="146"/>
      <c r="S67" s="147"/>
      <c r="T67" s="155"/>
      <c r="U67" s="138"/>
      <c r="V67" s="138"/>
      <c r="W67" s="138"/>
      <c r="X67" s="138"/>
      <c r="Y67" s="138"/>
      <c r="Z67" s="138"/>
      <c r="AA67" s="138"/>
      <c r="AB67" s="138"/>
      <c r="AC67" s="138"/>
      <c r="AD67" s="138"/>
      <c r="AE67" s="138"/>
      <c r="AF67" s="138"/>
      <c r="AG67" s="138"/>
      <c r="AH67" s="138"/>
      <c r="AI67" s="138"/>
      <c r="AJ67" s="138"/>
    </row>
    <row r="68" spans="1:36" ht="19.5" customHeight="1" x14ac:dyDescent="0.3">
      <c r="A68" s="76"/>
      <c r="B68" s="149"/>
      <c r="C68" s="150"/>
      <c r="D68" s="162"/>
      <c r="E68" s="150"/>
      <c r="F68" s="116"/>
      <c r="G68" s="116"/>
      <c r="H68" s="163"/>
      <c r="I68" s="151"/>
      <c r="J68" s="127"/>
      <c r="K68" s="162"/>
      <c r="L68" s="162"/>
      <c r="M68" s="162"/>
      <c r="N68" s="164"/>
      <c r="O68" s="165"/>
      <c r="P68" s="165"/>
      <c r="Q68" s="165"/>
      <c r="R68" s="166"/>
      <c r="S68" s="83"/>
      <c r="T68" s="155"/>
      <c r="U68" s="76"/>
      <c r="V68" s="76"/>
      <c r="W68" s="76"/>
      <c r="X68" s="76"/>
      <c r="Y68" s="76"/>
      <c r="Z68" s="76"/>
      <c r="AA68" s="76"/>
      <c r="AB68" s="76"/>
      <c r="AC68" s="76"/>
      <c r="AD68" s="76"/>
      <c r="AE68" s="76"/>
      <c r="AF68" s="76"/>
      <c r="AG68" s="76"/>
      <c r="AH68" s="76"/>
      <c r="AI68" s="76"/>
      <c r="AJ68" s="76"/>
    </row>
    <row r="69" spans="1:36" ht="19.5" customHeight="1" x14ac:dyDescent="0.3">
      <c r="A69" s="76"/>
      <c r="B69" s="149"/>
      <c r="C69" s="150"/>
      <c r="D69" s="162"/>
      <c r="E69" s="150"/>
      <c r="F69" s="116"/>
      <c r="G69" s="116"/>
      <c r="H69" s="163"/>
      <c r="I69" s="151"/>
      <c r="J69" s="127"/>
      <c r="K69" s="162"/>
      <c r="L69" s="162"/>
      <c r="M69" s="162"/>
      <c r="N69" s="164"/>
      <c r="O69" s="165"/>
      <c r="P69" s="165"/>
      <c r="Q69" s="165"/>
      <c r="R69" s="166"/>
      <c r="S69" s="83"/>
      <c r="T69" s="155"/>
      <c r="U69" s="76"/>
      <c r="V69" s="76"/>
      <c r="W69" s="76"/>
      <c r="X69" s="76"/>
      <c r="Y69" s="76"/>
      <c r="Z69" s="76"/>
      <c r="AA69" s="76"/>
      <c r="AB69" s="76"/>
      <c r="AC69" s="76"/>
      <c r="AD69" s="76"/>
      <c r="AE69" s="76"/>
      <c r="AF69" s="76"/>
      <c r="AG69" s="76"/>
      <c r="AH69" s="76"/>
      <c r="AI69" s="76"/>
      <c r="AJ69" s="76"/>
    </row>
    <row r="70" spans="1:36" ht="19.5" customHeight="1" x14ac:dyDescent="0.3">
      <c r="A70" s="76"/>
      <c r="B70" s="162"/>
      <c r="C70" s="162"/>
      <c r="D70" s="162"/>
      <c r="E70" s="163"/>
      <c r="F70" s="163"/>
      <c r="G70" s="163"/>
      <c r="H70" s="163"/>
      <c r="I70" s="151"/>
      <c r="J70" s="127"/>
      <c r="K70" s="162"/>
      <c r="L70" s="162"/>
      <c r="M70" s="162"/>
      <c r="N70" s="164"/>
      <c r="O70" s="165"/>
      <c r="P70" s="165"/>
      <c r="Q70" s="165"/>
      <c r="R70" s="166"/>
      <c r="S70" s="83"/>
      <c r="T70" s="155"/>
      <c r="U70" s="76"/>
      <c r="V70" s="76"/>
      <c r="W70" s="76"/>
      <c r="X70" s="76"/>
      <c r="Y70" s="76"/>
      <c r="Z70" s="76"/>
      <c r="AA70" s="76"/>
      <c r="AB70" s="76"/>
      <c r="AC70" s="76"/>
      <c r="AD70" s="76"/>
      <c r="AE70" s="76"/>
      <c r="AF70" s="76"/>
      <c r="AG70" s="76"/>
      <c r="AH70" s="76"/>
      <c r="AI70" s="76"/>
      <c r="AJ70" s="76"/>
    </row>
    <row r="71" spans="1:36" s="148" customFormat="1" ht="19.5" customHeight="1" x14ac:dyDescent="0.3">
      <c r="A71" s="138"/>
      <c r="B71" s="139"/>
      <c r="C71" s="139"/>
      <c r="D71" s="143"/>
      <c r="E71" s="158"/>
      <c r="F71" s="158"/>
      <c r="G71" s="158"/>
      <c r="H71" s="158"/>
      <c r="I71" s="142"/>
      <c r="J71" s="143"/>
      <c r="K71" s="140"/>
      <c r="L71" s="140"/>
      <c r="M71" s="140"/>
      <c r="N71" s="159"/>
      <c r="O71" s="145"/>
      <c r="P71" s="145"/>
      <c r="Q71" s="145"/>
      <c r="R71" s="146"/>
      <c r="S71" s="147"/>
      <c r="T71" s="155"/>
      <c r="U71" s="138"/>
      <c r="V71" s="138"/>
      <c r="W71" s="138"/>
      <c r="X71" s="138"/>
      <c r="Y71" s="138"/>
      <c r="Z71" s="138"/>
      <c r="AA71" s="138"/>
      <c r="AB71" s="138"/>
      <c r="AC71" s="138"/>
      <c r="AD71" s="138"/>
      <c r="AE71" s="138"/>
      <c r="AF71" s="138"/>
      <c r="AG71" s="138"/>
      <c r="AH71" s="138"/>
      <c r="AI71" s="138"/>
      <c r="AJ71" s="138"/>
    </row>
    <row r="72" spans="1:36" ht="19.5" customHeight="1" x14ac:dyDescent="0.3">
      <c r="A72" s="76"/>
      <c r="B72" s="149"/>
      <c r="C72" s="150"/>
      <c r="D72" s="150"/>
      <c r="E72" s="150"/>
      <c r="F72" s="116"/>
      <c r="G72" s="116"/>
      <c r="H72" s="163"/>
      <c r="I72" s="151"/>
      <c r="J72" s="127"/>
      <c r="K72" s="162"/>
      <c r="L72" s="162"/>
      <c r="M72" s="162"/>
      <c r="N72" s="164"/>
      <c r="O72" s="165"/>
      <c r="P72" s="165"/>
      <c r="Q72" s="165"/>
      <c r="R72" s="166"/>
      <c r="S72" s="83"/>
      <c r="T72" s="155"/>
      <c r="U72" s="76"/>
      <c r="V72" s="76"/>
      <c r="W72" s="76"/>
      <c r="X72" s="76"/>
      <c r="Y72" s="76"/>
      <c r="Z72" s="76"/>
      <c r="AA72" s="76"/>
      <c r="AB72" s="76"/>
      <c r="AC72" s="76"/>
      <c r="AD72" s="76"/>
      <c r="AE72" s="76"/>
      <c r="AF72" s="76"/>
      <c r="AG72" s="76"/>
      <c r="AH72" s="76"/>
      <c r="AI72" s="76"/>
      <c r="AJ72" s="76"/>
    </row>
    <row r="73" spans="1:36" ht="19.5" customHeight="1" x14ac:dyDescent="0.3">
      <c r="A73" s="76"/>
      <c r="B73" s="149"/>
      <c r="C73" s="150"/>
      <c r="D73" s="150"/>
      <c r="E73" s="150"/>
      <c r="F73" s="116"/>
      <c r="G73" s="116"/>
      <c r="H73" s="163"/>
      <c r="I73" s="151"/>
      <c r="J73" s="127"/>
      <c r="K73" s="162"/>
      <c r="L73" s="162"/>
      <c r="M73" s="162"/>
      <c r="N73" s="164"/>
      <c r="O73" s="165"/>
      <c r="P73" s="165"/>
      <c r="Q73" s="165"/>
      <c r="R73" s="166"/>
      <c r="S73" s="83"/>
      <c r="T73" s="155"/>
      <c r="U73" s="76"/>
      <c r="V73" s="76"/>
      <c r="W73" s="76"/>
      <c r="X73" s="76"/>
      <c r="Y73" s="76"/>
      <c r="Z73" s="76"/>
      <c r="AA73" s="76"/>
      <c r="AB73" s="76"/>
      <c r="AC73" s="76"/>
      <c r="AD73" s="76"/>
      <c r="AE73" s="76"/>
      <c r="AF73" s="76"/>
      <c r="AG73" s="76"/>
      <c r="AH73" s="76"/>
      <c r="AI73" s="76"/>
      <c r="AJ73" s="76"/>
    </row>
    <row r="74" spans="1:36" ht="19.5" customHeight="1" x14ac:dyDescent="0.3">
      <c r="A74" s="76"/>
      <c r="B74" s="149"/>
      <c r="C74" s="150"/>
      <c r="D74" s="150"/>
      <c r="E74" s="150"/>
      <c r="F74" s="116"/>
      <c r="G74" s="116"/>
      <c r="H74" s="163"/>
      <c r="I74" s="151"/>
      <c r="J74" s="127"/>
      <c r="K74" s="162"/>
      <c r="L74" s="162"/>
      <c r="M74" s="162"/>
      <c r="N74" s="164"/>
      <c r="O74" s="165"/>
      <c r="P74" s="165"/>
      <c r="Q74" s="165"/>
      <c r="R74" s="166"/>
      <c r="S74" s="83"/>
      <c r="T74" s="155"/>
      <c r="U74" s="76"/>
      <c r="V74" s="76"/>
      <c r="W74" s="76"/>
      <c r="X74" s="76"/>
      <c r="Y74" s="76"/>
      <c r="Z74" s="76"/>
      <c r="AA74" s="76"/>
      <c r="AB74" s="76"/>
      <c r="AC74" s="76"/>
      <c r="AD74" s="76"/>
      <c r="AE74" s="76"/>
      <c r="AF74" s="76"/>
      <c r="AG74" s="76"/>
      <c r="AH74" s="76"/>
      <c r="AI74" s="76"/>
      <c r="AJ74" s="76"/>
    </row>
    <row r="75" spans="1:36" ht="19.5" customHeight="1" x14ac:dyDescent="0.3">
      <c r="A75" s="76"/>
      <c r="B75" s="162"/>
      <c r="C75" s="162"/>
      <c r="D75" s="162"/>
      <c r="E75" s="163"/>
      <c r="F75" s="163"/>
      <c r="G75" s="163"/>
      <c r="H75" s="163"/>
      <c r="I75" s="151"/>
      <c r="J75" s="127"/>
      <c r="K75" s="162"/>
      <c r="L75" s="162"/>
      <c r="M75" s="162"/>
      <c r="N75" s="164"/>
      <c r="O75" s="165"/>
      <c r="P75" s="165"/>
      <c r="Q75" s="165"/>
      <c r="R75" s="166"/>
      <c r="S75" s="83"/>
      <c r="T75" s="155"/>
      <c r="U75" s="76"/>
      <c r="V75" s="76"/>
      <c r="W75" s="76"/>
      <c r="X75" s="76"/>
      <c r="Y75" s="76"/>
      <c r="Z75" s="76"/>
      <c r="AA75" s="76"/>
      <c r="AB75" s="76"/>
      <c r="AC75" s="76"/>
      <c r="AD75" s="76"/>
      <c r="AE75" s="76"/>
      <c r="AF75" s="76"/>
      <c r="AG75" s="76"/>
      <c r="AH75" s="76"/>
      <c r="AI75" s="76"/>
      <c r="AJ75" s="76"/>
    </row>
    <row r="76" spans="1:36" s="148" customFormat="1" ht="19.5" customHeight="1" x14ac:dyDescent="0.3">
      <c r="A76" s="138"/>
      <c r="B76" s="139"/>
      <c r="C76" s="139"/>
      <c r="D76" s="143"/>
      <c r="E76" s="158"/>
      <c r="F76" s="158"/>
      <c r="G76" s="158"/>
      <c r="H76" s="158"/>
      <c r="I76" s="142"/>
      <c r="J76" s="143"/>
      <c r="K76" s="140"/>
      <c r="L76" s="140"/>
      <c r="M76" s="140"/>
      <c r="N76" s="159"/>
      <c r="O76" s="145"/>
      <c r="P76" s="145"/>
      <c r="Q76" s="145"/>
      <c r="R76" s="146"/>
      <c r="S76" s="147"/>
      <c r="T76" s="155"/>
      <c r="U76" s="138"/>
      <c r="V76" s="138"/>
      <c r="W76" s="138"/>
      <c r="X76" s="138"/>
      <c r="Y76" s="138"/>
      <c r="Z76" s="138"/>
      <c r="AA76" s="138"/>
      <c r="AB76" s="138"/>
      <c r="AC76" s="138"/>
      <c r="AD76" s="138"/>
      <c r="AE76" s="138"/>
      <c r="AF76" s="138"/>
      <c r="AG76" s="138"/>
      <c r="AH76" s="138"/>
      <c r="AI76" s="138"/>
      <c r="AJ76" s="138"/>
    </row>
    <row r="77" spans="1:36" ht="19.5" customHeight="1" x14ac:dyDescent="0.3">
      <c r="A77" s="76"/>
      <c r="B77" s="149"/>
      <c r="C77" s="150"/>
      <c r="D77" s="150"/>
      <c r="E77" s="150"/>
      <c r="F77" s="116"/>
      <c r="G77" s="116"/>
      <c r="H77" s="163"/>
      <c r="I77" s="151"/>
      <c r="J77" s="127"/>
      <c r="K77" s="162"/>
      <c r="L77" s="162"/>
      <c r="M77" s="162"/>
      <c r="N77" s="164"/>
      <c r="O77" s="165"/>
      <c r="P77" s="165"/>
      <c r="Q77" s="165"/>
      <c r="R77" s="166"/>
      <c r="S77" s="83"/>
      <c r="T77" s="155"/>
      <c r="U77" s="76"/>
      <c r="V77" s="76"/>
      <c r="W77" s="76"/>
      <c r="X77" s="76"/>
      <c r="Y77" s="76"/>
      <c r="Z77" s="76"/>
      <c r="AA77" s="76"/>
      <c r="AB77" s="76"/>
      <c r="AC77" s="76"/>
      <c r="AD77" s="76"/>
      <c r="AE77" s="76"/>
      <c r="AF77" s="76"/>
      <c r="AG77" s="76"/>
      <c r="AH77" s="76"/>
      <c r="AI77" s="76"/>
      <c r="AJ77" s="76"/>
    </row>
    <row r="78" spans="1:36" ht="19.5" customHeight="1" x14ac:dyDescent="0.3">
      <c r="A78" s="76"/>
      <c r="B78" s="149"/>
      <c r="C78" s="150"/>
      <c r="D78" s="150"/>
      <c r="E78" s="150"/>
      <c r="F78" s="116"/>
      <c r="G78" s="116"/>
      <c r="H78" s="163"/>
      <c r="I78" s="151"/>
      <c r="J78" s="127"/>
      <c r="K78" s="162"/>
      <c r="L78" s="162"/>
      <c r="M78" s="162"/>
      <c r="N78" s="164"/>
      <c r="O78" s="165"/>
      <c r="P78" s="165"/>
      <c r="Q78" s="165"/>
      <c r="R78" s="166"/>
      <c r="S78" s="83"/>
      <c r="T78" s="155"/>
      <c r="U78" s="76"/>
      <c r="V78" s="76"/>
      <c r="W78" s="76"/>
      <c r="X78" s="76"/>
      <c r="Y78" s="76"/>
      <c r="Z78" s="76"/>
      <c r="AA78" s="76"/>
      <c r="AB78" s="76"/>
      <c r="AC78" s="76"/>
      <c r="AD78" s="76"/>
      <c r="AE78" s="76"/>
      <c r="AF78" s="76"/>
      <c r="AG78" s="76"/>
      <c r="AH78" s="76"/>
      <c r="AI78" s="76"/>
      <c r="AJ78" s="76"/>
    </row>
    <row r="79" spans="1:36" ht="19.5" customHeight="1" x14ac:dyDescent="0.3">
      <c r="A79" s="76"/>
      <c r="B79" s="149"/>
      <c r="C79" s="150"/>
      <c r="D79" s="150"/>
      <c r="E79" s="150"/>
      <c r="F79" s="116"/>
      <c r="G79" s="116"/>
      <c r="H79" s="163"/>
      <c r="I79" s="151"/>
      <c r="J79" s="127"/>
      <c r="K79" s="162"/>
      <c r="L79" s="162"/>
      <c r="M79" s="162"/>
      <c r="N79" s="164"/>
      <c r="O79" s="165"/>
      <c r="P79" s="165"/>
      <c r="Q79" s="165"/>
      <c r="R79" s="166"/>
      <c r="S79" s="83"/>
      <c r="T79" s="155"/>
      <c r="U79" s="76"/>
      <c r="V79" s="76"/>
      <c r="W79" s="76"/>
      <c r="X79" s="76"/>
      <c r="Y79" s="76"/>
      <c r="Z79" s="76"/>
      <c r="AA79" s="76"/>
      <c r="AB79" s="76"/>
      <c r="AC79" s="76"/>
      <c r="AD79" s="76"/>
      <c r="AE79" s="76"/>
      <c r="AF79" s="76"/>
      <c r="AG79" s="76"/>
      <c r="AH79" s="76"/>
      <c r="AI79" s="76"/>
      <c r="AJ79" s="76"/>
    </row>
    <row r="80" spans="1:36" ht="19.5" customHeight="1" x14ac:dyDescent="0.3">
      <c r="A80" s="76"/>
      <c r="B80" s="162"/>
      <c r="C80" s="162"/>
      <c r="D80" s="162"/>
      <c r="E80" s="163"/>
      <c r="F80" s="163"/>
      <c r="G80" s="163"/>
      <c r="H80" s="163"/>
      <c r="I80" s="151"/>
      <c r="J80" s="127"/>
      <c r="K80" s="162"/>
      <c r="L80" s="162"/>
      <c r="M80" s="162"/>
      <c r="N80" s="164"/>
      <c r="O80" s="165"/>
      <c r="P80" s="165"/>
      <c r="Q80" s="165"/>
      <c r="R80" s="166"/>
      <c r="S80" s="83"/>
      <c r="T80" s="155"/>
      <c r="U80" s="76"/>
      <c r="V80" s="76"/>
      <c r="W80" s="76"/>
      <c r="X80" s="76"/>
      <c r="Y80" s="76"/>
      <c r="Z80" s="76"/>
      <c r="AA80" s="76"/>
      <c r="AB80" s="76"/>
      <c r="AC80" s="76"/>
      <c r="AD80" s="76"/>
      <c r="AE80" s="76"/>
      <c r="AF80" s="76"/>
      <c r="AG80" s="76"/>
      <c r="AH80" s="76"/>
      <c r="AI80" s="76"/>
      <c r="AJ80" s="76"/>
    </row>
    <row r="81" spans="1:36" ht="19.5" customHeight="1" x14ac:dyDescent="0.3">
      <c r="A81" s="76"/>
      <c r="B81" s="162"/>
      <c r="C81" s="162"/>
      <c r="D81" s="162"/>
      <c r="E81" s="163"/>
      <c r="F81" s="163"/>
      <c r="G81" s="163"/>
      <c r="H81" s="163"/>
      <c r="I81" s="151"/>
      <c r="J81" s="127"/>
      <c r="K81" s="162"/>
      <c r="L81" s="162"/>
      <c r="M81" s="162"/>
      <c r="N81" s="164"/>
      <c r="O81" s="165"/>
      <c r="P81" s="165"/>
      <c r="Q81" s="165"/>
      <c r="R81" s="166"/>
      <c r="S81" s="83"/>
      <c r="T81" s="155"/>
      <c r="U81" s="76"/>
      <c r="V81" s="76"/>
      <c r="W81" s="76"/>
      <c r="X81" s="76"/>
      <c r="Y81" s="76"/>
      <c r="Z81" s="76"/>
      <c r="AA81" s="76"/>
      <c r="AB81" s="76"/>
      <c r="AC81" s="76"/>
      <c r="AD81" s="76"/>
      <c r="AE81" s="76"/>
      <c r="AF81" s="76"/>
      <c r="AG81" s="76"/>
      <c r="AH81" s="76"/>
      <c r="AI81" s="76"/>
      <c r="AJ81" s="76"/>
    </row>
    <row r="82" spans="1:36" s="148" customFormat="1" ht="19.5" customHeight="1" x14ac:dyDescent="0.3">
      <c r="A82" s="138"/>
      <c r="B82" s="139"/>
      <c r="C82" s="139"/>
      <c r="D82" s="143"/>
      <c r="E82" s="158"/>
      <c r="F82" s="158"/>
      <c r="G82" s="158"/>
      <c r="H82" s="158"/>
      <c r="I82" s="142"/>
      <c r="J82" s="143"/>
      <c r="K82" s="140"/>
      <c r="L82" s="140"/>
      <c r="M82" s="140"/>
      <c r="N82" s="159"/>
      <c r="O82" s="145"/>
      <c r="P82" s="145"/>
      <c r="Q82" s="145"/>
      <c r="R82" s="146"/>
      <c r="S82" s="147"/>
      <c r="T82" s="155"/>
      <c r="U82" s="138"/>
      <c r="V82" s="138"/>
      <c r="W82" s="138"/>
      <c r="X82" s="138"/>
      <c r="Y82" s="138"/>
      <c r="Z82" s="138"/>
      <c r="AA82" s="138"/>
      <c r="AB82" s="138"/>
      <c r="AC82" s="138"/>
      <c r="AD82" s="138"/>
      <c r="AE82" s="138"/>
      <c r="AF82" s="138"/>
      <c r="AG82" s="138"/>
      <c r="AH82" s="138"/>
      <c r="AI82" s="138"/>
      <c r="AJ82" s="138"/>
    </row>
    <row r="83" spans="1:36" ht="19.5" customHeight="1" x14ac:dyDescent="0.3">
      <c r="A83" s="76"/>
      <c r="B83" s="149"/>
      <c r="C83" s="150"/>
      <c r="D83" s="162"/>
      <c r="E83" s="150"/>
      <c r="F83" s="116"/>
      <c r="G83" s="116"/>
      <c r="H83" s="163"/>
      <c r="I83" s="151"/>
      <c r="J83" s="127"/>
      <c r="K83" s="162"/>
      <c r="L83" s="162"/>
      <c r="M83" s="162"/>
      <c r="N83" s="164"/>
      <c r="O83" s="165"/>
      <c r="P83" s="165"/>
      <c r="Q83" s="165"/>
      <c r="R83" s="166"/>
      <c r="S83" s="83"/>
      <c r="T83" s="155"/>
      <c r="U83" s="76"/>
      <c r="V83" s="76"/>
      <c r="W83" s="76"/>
      <c r="X83" s="76"/>
      <c r="Y83" s="76"/>
      <c r="Z83" s="76"/>
      <c r="AA83" s="76"/>
      <c r="AB83" s="76"/>
      <c r="AC83" s="76"/>
      <c r="AD83" s="76"/>
      <c r="AE83" s="76"/>
      <c r="AF83" s="76"/>
      <c r="AG83" s="76"/>
      <c r="AH83" s="76"/>
      <c r="AI83" s="76"/>
      <c r="AJ83" s="76"/>
    </row>
    <row r="84" spans="1:36" ht="19.5" customHeight="1" x14ac:dyDescent="0.3">
      <c r="A84" s="76"/>
      <c r="B84" s="149"/>
      <c r="C84" s="150"/>
      <c r="D84" s="162"/>
      <c r="E84" s="150"/>
      <c r="F84" s="116"/>
      <c r="G84" s="116"/>
      <c r="H84" s="163"/>
      <c r="I84" s="151"/>
      <c r="J84" s="127"/>
      <c r="K84" s="162"/>
      <c r="L84" s="162"/>
      <c r="M84" s="162"/>
      <c r="N84" s="164"/>
      <c r="O84" s="165"/>
      <c r="P84" s="165"/>
      <c r="Q84" s="165"/>
      <c r="R84" s="166"/>
      <c r="S84" s="83"/>
      <c r="T84" s="155"/>
      <c r="U84" s="76"/>
      <c r="V84" s="76"/>
      <c r="W84" s="76"/>
      <c r="X84" s="76"/>
      <c r="Y84" s="76"/>
      <c r="Z84" s="76"/>
      <c r="AA84" s="76"/>
      <c r="AB84" s="76"/>
      <c r="AC84" s="76"/>
      <c r="AD84" s="76"/>
      <c r="AE84" s="76"/>
      <c r="AF84" s="76"/>
      <c r="AG84" s="76"/>
      <c r="AH84" s="76"/>
      <c r="AI84" s="76"/>
      <c r="AJ84" s="76"/>
    </row>
    <row r="85" spans="1:36" ht="19.5" customHeight="1" x14ac:dyDescent="0.3">
      <c r="A85" s="76"/>
      <c r="B85" s="149"/>
      <c r="C85" s="150"/>
      <c r="D85" s="162"/>
      <c r="E85" s="150"/>
      <c r="F85" s="116"/>
      <c r="G85" s="116"/>
      <c r="H85" s="163"/>
      <c r="I85" s="151"/>
      <c r="J85" s="127"/>
      <c r="K85" s="162"/>
      <c r="L85" s="162"/>
      <c r="M85" s="162"/>
      <c r="N85" s="164"/>
      <c r="O85" s="165"/>
      <c r="P85" s="165"/>
      <c r="Q85" s="165"/>
      <c r="R85" s="166"/>
      <c r="S85" s="83"/>
      <c r="T85" s="155"/>
      <c r="U85" s="76"/>
      <c r="V85" s="76"/>
      <c r="W85" s="76"/>
      <c r="X85" s="76"/>
      <c r="Y85" s="76"/>
      <c r="Z85" s="76"/>
      <c r="AA85" s="76"/>
      <c r="AB85" s="76"/>
      <c r="AC85" s="76"/>
      <c r="AD85" s="76"/>
      <c r="AE85" s="76"/>
      <c r="AF85" s="76"/>
      <c r="AG85" s="76"/>
      <c r="AH85" s="76"/>
      <c r="AI85" s="76"/>
      <c r="AJ85" s="76"/>
    </row>
    <row r="86" spans="1:36" ht="19.5" customHeight="1" x14ac:dyDescent="0.3">
      <c r="A86" s="76"/>
      <c r="B86" s="149"/>
      <c r="C86" s="150"/>
      <c r="D86" s="162"/>
      <c r="E86" s="150"/>
      <c r="F86" s="116"/>
      <c r="G86" s="116"/>
      <c r="H86" s="163"/>
      <c r="I86" s="151"/>
      <c r="J86" s="127"/>
      <c r="K86" s="162"/>
      <c r="L86" s="162"/>
      <c r="M86" s="162"/>
      <c r="N86" s="164"/>
      <c r="O86" s="165"/>
      <c r="P86" s="165"/>
      <c r="Q86" s="165"/>
      <c r="R86" s="166"/>
      <c r="S86" s="83"/>
      <c r="T86" s="155"/>
      <c r="U86" s="76"/>
      <c r="V86" s="76"/>
      <c r="W86" s="76"/>
      <c r="X86" s="76"/>
      <c r="Y86" s="76"/>
      <c r="Z86" s="76"/>
      <c r="AA86" s="76"/>
      <c r="AB86" s="76"/>
      <c r="AC86" s="76"/>
      <c r="AD86" s="76"/>
      <c r="AE86" s="76"/>
      <c r="AF86" s="76"/>
      <c r="AG86" s="76"/>
      <c r="AH86" s="76"/>
      <c r="AI86" s="76"/>
      <c r="AJ86" s="76"/>
    </row>
    <row r="87" spans="1:36" ht="19.5" customHeight="1" x14ac:dyDescent="0.3">
      <c r="A87" s="76"/>
      <c r="B87" s="162"/>
      <c r="C87" s="162"/>
      <c r="D87" s="162"/>
      <c r="E87" s="163"/>
      <c r="F87" s="163"/>
      <c r="G87" s="163"/>
      <c r="H87" s="163"/>
      <c r="I87" s="151"/>
      <c r="J87" s="127"/>
      <c r="K87" s="162"/>
      <c r="L87" s="162"/>
      <c r="M87" s="162"/>
      <c r="N87" s="164"/>
      <c r="O87" s="165"/>
      <c r="P87" s="165"/>
      <c r="Q87" s="165"/>
      <c r="R87" s="166"/>
      <c r="S87" s="83"/>
      <c r="T87" s="155"/>
      <c r="U87" s="76"/>
      <c r="V87" s="76"/>
      <c r="W87" s="76"/>
      <c r="X87" s="76"/>
      <c r="Y87" s="76"/>
      <c r="Z87" s="76"/>
      <c r="AA87" s="76"/>
      <c r="AB87" s="76"/>
      <c r="AC87" s="76"/>
      <c r="AD87" s="76"/>
      <c r="AE87" s="76"/>
      <c r="AF87" s="76"/>
      <c r="AG87" s="76"/>
      <c r="AH87" s="76"/>
      <c r="AI87" s="76"/>
      <c r="AJ87" s="76"/>
    </row>
    <row r="88" spans="1:36" s="148" customFormat="1" ht="19.5" customHeight="1" x14ac:dyDescent="0.3">
      <c r="A88" s="138"/>
      <c r="B88" s="139"/>
      <c r="C88" s="139"/>
      <c r="D88" s="143"/>
      <c r="E88" s="158"/>
      <c r="F88" s="158"/>
      <c r="G88" s="158"/>
      <c r="H88" s="158"/>
      <c r="I88" s="142"/>
      <c r="J88" s="143"/>
      <c r="K88" s="140"/>
      <c r="L88" s="140"/>
      <c r="M88" s="140"/>
      <c r="N88" s="159"/>
      <c r="O88" s="145"/>
      <c r="P88" s="145"/>
      <c r="Q88" s="145"/>
      <c r="R88" s="146"/>
      <c r="S88" s="147"/>
      <c r="T88" s="155"/>
      <c r="U88" s="138"/>
      <c r="V88" s="138"/>
      <c r="W88" s="138"/>
      <c r="X88" s="138"/>
      <c r="Y88" s="138"/>
      <c r="Z88" s="138"/>
      <c r="AA88" s="138"/>
      <c r="AB88" s="138"/>
      <c r="AC88" s="138"/>
      <c r="AD88" s="138"/>
      <c r="AE88" s="138"/>
      <c r="AF88" s="138"/>
      <c r="AG88" s="138"/>
      <c r="AH88" s="138"/>
      <c r="AI88" s="138"/>
      <c r="AJ88" s="138"/>
    </row>
    <row r="89" spans="1:36" ht="19.5" customHeight="1" x14ac:dyDescent="0.3">
      <c r="A89" s="76"/>
      <c r="B89" s="170"/>
      <c r="C89" s="170"/>
      <c r="D89" s="168"/>
      <c r="E89" s="171"/>
      <c r="F89" s="116"/>
      <c r="G89" s="116"/>
      <c r="H89" s="163"/>
      <c r="I89" s="151"/>
      <c r="J89" s="127"/>
      <c r="K89" s="162"/>
      <c r="L89" s="162"/>
      <c r="M89" s="162"/>
      <c r="N89" s="164"/>
      <c r="O89" s="165"/>
      <c r="P89" s="165"/>
      <c r="Q89" s="165"/>
      <c r="R89" s="166"/>
      <c r="S89" s="83"/>
      <c r="T89" s="155"/>
      <c r="U89" s="76"/>
      <c r="V89" s="76"/>
      <c r="W89" s="76"/>
      <c r="X89" s="76"/>
      <c r="Y89" s="76"/>
      <c r="Z89" s="76"/>
      <c r="AA89" s="76"/>
      <c r="AB89" s="76"/>
      <c r="AC89" s="76"/>
      <c r="AD89" s="76"/>
      <c r="AE89" s="76"/>
      <c r="AF89" s="76"/>
      <c r="AG89" s="76"/>
      <c r="AH89" s="76"/>
      <c r="AI89" s="76"/>
      <c r="AJ89" s="76"/>
    </row>
    <row r="90" spans="1:36" ht="19.5" customHeight="1" x14ac:dyDescent="0.3">
      <c r="A90" s="76"/>
      <c r="B90" s="170"/>
      <c r="C90" s="170"/>
      <c r="D90" s="162"/>
      <c r="E90" s="171"/>
      <c r="F90" s="116"/>
      <c r="G90" s="116"/>
      <c r="H90" s="163"/>
      <c r="I90" s="151"/>
      <c r="J90" s="127"/>
      <c r="K90" s="162"/>
      <c r="L90" s="162"/>
      <c r="M90" s="162"/>
      <c r="N90" s="164"/>
      <c r="O90" s="165"/>
      <c r="P90" s="165"/>
      <c r="Q90" s="165"/>
      <c r="R90" s="166"/>
      <c r="S90" s="83"/>
      <c r="T90" s="155"/>
      <c r="U90" s="76"/>
      <c r="V90" s="76"/>
      <c r="W90" s="76"/>
      <c r="X90" s="76"/>
      <c r="Y90" s="76"/>
      <c r="Z90" s="76"/>
      <c r="AA90" s="76"/>
      <c r="AB90" s="76"/>
      <c r="AC90" s="76"/>
      <c r="AD90" s="76"/>
      <c r="AE90" s="76"/>
      <c r="AF90" s="76"/>
      <c r="AG90" s="76"/>
      <c r="AH90" s="76"/>
      <c r="AI90" s="76"/>
      <c r="AJ90" s="76"/>
    </row>
    <row r="91" spans="1:36" ht="19.5" customHeight="1" x14ac:dyDescent="0.3">
      <c r="A91" s="76"/>
      <c r="B91" s="170"/>
      <c r="C91" s="170"/>
      <c r="D91" s="162"/>
      <c r="E91" s="171"/>
      <c r="F91" s="116"/>
      <c r="G91" s="116"/>
      <c r="H91" s="163"/>
      <c r="I91" s="151"/>
      <c r="J91" s="127"/>
      <c r="K91" s="162"/>
      <c r="L91" s="162"/>
      <c r="M91" s="162"/>
      <c r="N91" s="164"/>
      <c r="O91" s="165"/>
      <c r="P91" s="165"/>
      <c r="Q91" s="165"/>
      <c r="R91" s="166"/>
      <c r="S91" s="83"/>
      <c r="T91" s="155"/>
      <c r="U91" s="76"/>
      <c r="V91" s="76"/>
      <c r="W91" s="76"/>
      <c r="X91" s="76"/>
      <c r="Y91" s="76"/>
      <c r="Z91" s="76"/>
      <c r="AA91" s="76"/>
      <c r="AB91" s="76"/>
      <c r="AC91" s="76"/>
      <c r="AD91" s="76"/>
      <c r="AE91" s="76"/>
      <c r="AF91" s="76"/>
      <c r="AG91" s="76"/>
      <c r="AH91" s="76"/>
      <c r="AI91" s="76"/>
      <c r="AJ91" s="76"/>
    </row>
    <row r="92" spans="1:36" ht="19.5" customHeight="1" x14ac:dyDescent="0.3">
      <c r="A92" s="76"/>
      <c r="B92" s="170"/>
      <c r="C92" s="170"/>
      <c r="D92" s="162"/>
      <c r="E92" s="171"/>
      <c r="F92" s="116"/>
      <c r="G92" s="116"/>
      <c r="H92" s="163"/>
      <c r="I92" s="151"/>
      <c r="J92" s="127"/>
      <c r="K92" s="162"/>
      <c r="L92" s="162"/>
      <c r="M92" s="162"/>
      <c r="N92" s="164"/>
      <c r="O92" s="165"/>
      <c r="P92" s="165"/>
      <c r="Q92" s="165"/>
      <c r="R92" s="166"/>
      <c r="S92" s="83"/>
      <c r="T92" s="155"/>
      <c r="U92" s="76"/>
      <c r="V92" s="76"/>
      <c r="W92" s="76"/>
      <c r="X92" s="76"/>
      <c r="Y92" s="76"/>
      <c r="Z92" s="76"/>
      <c r="AA92" s="76"/>
      <c r="AB92" s="76"/>
      <c r="AC92" s="76"/>
      <c r="AD92" s="76"/>
      <c r="AE92" s="76"/>
      <c r="AF92" s="76"/>
      <c r="AG92" s="76"/>
      <c r="AH92" s="76"/>
      <c r="AI92" s="76"/>
      <c r="AJ92" s="76"/>
    </row>
    <row r="93" spans="1:36" ht="19.5" customHeight="1" x14ac:dyDescent="0.3">
      <c r="A93" s="76"/>
      <c r="B93" s="170"/>
      <c r="C93" s="172"/>
      <c r="D93" s="162"/>
      <c r="E93" s="171"/>
      <c r="F93" s="116"/>
      <c r="G93" s="116"/>
      <c r="H93" s="163"/>
      <c r="I93" s="151"/>
      <c r="J93" s="127"/>
      <c r="K93" s="162"/>
      <c r="L93" s="162"/>
      <c r="M93" s="162"/>
      <c r="N93" s="164"/>
      <c r="O93" s="165"/>
      <c r="P93" s="165"/>
      <c r="Q93" s="165"/>
      <c r="R93" s="166"/>
      <c r="S93" s="83"/>
      <c r="T93" s="155"/>
      <c r="U93" s="76"/>
      <c r="V93" s="76"/>
      <c r="W93" s="76"/>
      <c r="X93" s="76"/>
      <c r="Y93" s="76"/>
      <c r="Z93" s="76"/>
      <c r="AA93" s="76"/>
      <c r="AB93" s="76"/>
      <c r="AC93" s="76"/>
      <c r="AD93" s="76"/>
      <c r="AE93" s="76"/>
      <c r="AF93" s="76"/>
      <c r="AG93" s="76"/>
      <c r="AH93" s="76"/>
      <c r="AI93" s="76"/>
      <c r="AJ93" s="76"/>
    </row>
    <row r="94" spans="1:36" ht="19.5" customHeight="1" x14ac:dyDescent="0.3">
      <c r="A94" s="76"/>
      <c r="B94" s="162"/>
      <c r="C94" s="162"/>
      <c r="D94" s="162"/>
      <c r="E94" s="163"/>
      <c r="F94" s="116"/>
      <c r="G94" s="163"/>
      <c r="H94" s="163"/>
      <c r="I94" s="151"/>
      <c r="J94" s="127"/>
      <c r="K94" s="162"/>
      <c r="L94" s="162"/>
      <c r="M94" s="162"/>
      <c r="N94" s="164"/>
      <c r="O94" s="165"/>
      <c r="P94" s="165"/>
      <c r="Q94" s="165"/>
      <c r="R94" s="166"/>
      <c r="S94" s="83"/>
      <c r="T94" s="155"/>
      <c r="U94" s="76"/>
      <c r="V94" s="76"/>
      <c r="W94" s="76"/>
      <c r="X94" s="76"/>
      <c r="Y94" s="76"/>
      <c r="Z94" s="76"/>
      <c r="AA94" s="76"/>
      <c r="AB94" s="76"/>
      <c r="AC94" s="76"/>
      <c r="AD94" s="76"/>
      <c r="AE94" s="76"/>
      <c r="AF94" s="76"/>
      <c r="AG94" s="76"/>
      <c r="AH94" s="76"/>
      <c r="AI94" s="76"/>
      <c r="AJ94" s="76"/>
    </row>
    <row r="95" spans="1:36" s="148" customFormat="1" ht="19.5" customHeight="1" x14ac:dyDescent="0.3">
      <c r="A95" s="138"/>
      <c r="B95" s="139"/>
      <c r="C95" s="139"/>
      <c r="D95" s="143"/>
      <c r="E95" s="158"/>
      <c r="F95" s="158"/>
      <c r="G95" s="158"/>
      <c r="H95" s="158"/>
      <c r="I95" s="142"/>
      <c r="J95" s="143"/>
      <c r="K95" s="140"/>
      <c r="L95" s="140"/>
      <c r="M95" s="140"/>
      <c r="N95" s="159"/>
      <c r="O95" s="145"/>
      <c r="P95" s="145"/>
      <c r="Q95" s="145"/>
      <c r="R95" s="146"/>
      <c r="S95" s="147"/>
      <c r="T95" s="155"/>
      <c r="U95" s="138"/>
      <c r="V95" s="138"/>
      <c r="W95" s="138"/>
      <c r="X95" s="138"/>
      <c r="Y95" s="138"/>
      <c r="Z95" s="138"/>
      <c r="AA95" s="138"/>
      <c r="AB95" s="138"/>
      <c r="AC95" s="138"/>
      <c r="AD95" s="138"/>
      <c r="AE95" s="138"/>
      <c r="AF95" s="138"/>
      <c r="AG95" s="138"/>
      <c r="AH95" s="138"/>
      <c r="AI95" s="138"/>
      <c r="AJ95" s="138"/>
    </row>
    <row r="96" spans="1:36" ht="19.5" customHeight="1" x14ac:dyDescent="0.3">
      <c r="A96" s="76"/>
      <c r="B96" s="149"/>
      <c r="C96" s="150"/>
      <c r="D96" s="162"/>
      <c r="E96" s="150"/>
      <c r="F96" s="116"/>
      <c r="G96" s="116"/>
      <c r="H96" s="163"/>
      <c r="I96" s="151"/>
      <c r="J96" s="127"/>
      <c r="K96" s="162"/>
      <c r="L96" s="162"/>
      <c r="M96" s="162"/>
      <c r="N96" s="164"/>
      <c r="O96" s="165"/>
      <c r="P96" s="165"/>
      <c r="Q96" s="165"/>
      <c r="R96" s="166"/>
      <c r="S96" s="83"/>
      <c r="T96" s="155"/>
      <c r="U96" s="76"/>
      <c r="V96" s="76"/>
      <c r="W96" s="76"/>
      <c r="X96" s="76"/>
      <c r="Y96" s="76"/>
      <c r="Z96" s="76"/>
      <c r="AA96" s="76"/>
      <c r="AB96" s="76"/>
      <c r="AC96" s="76"/>
      <c r="AD96" s="76"/>
      <c r="AE96" s="76"/>
      <c r="AF96" s="76"/>
      <c r="AG96" s="76"/>
      <c r="AH96" s="76"/>
      <c r="AI96" s="76"/>
      <c r="AJ96" s="76"/>
    </row>
    <row r="97" spans="1:36" ht="19.5" customHeight="1" x14ac:dyDescent="0.3">
      <c r="A97" s="76"/>
      <c r="B97" s="149"/>
      <c r="C97" s="150"/>
      <c r="D97" s="162"/>
      <c r="E97" s="150"/>
      <c r="F97" s="116"/>
      <c r="G97" s="116"/>
      <c r="H97" s="163"/>
      <c r="I97" s="151"/>
      <c r="J97" s="127"/>
      <c r="K97" s="162"/>
      <c r="L97" s="162"/>
      <c r="M97" s="162"/>
      <c r="N97" s="164"/>
      <c r="O97" s="165"/>
      <c r="P97" s="165"/>
      <c r="Q97" s="165"/>
      <c r="R97" s="166"/>
      <c r="S97" s="83"/>
      <c r="T97" s="155"/>
      <c r="U97" s="76"/>
      <c r="V97" s="76"/>
      <c r="W97" s="76"/>
      <c r="X97" s="76"/>
      <c r="Y97" s="76"/>
      <c r="Z97" s="76"/>
      <c r="AA97" s="76"/>
      <c r="AB97" s="76"/>
      <c r="AC97" s="76"/>
      <c r="AD97" s="76"/>
      <c r="AE97" s="76"/>
      <c r="AF97" s="76"/>
      <c r="AG97" s="76"/>
      <c r="AH97" s="76"/>
      <c r="AI97" s="76"/>
      <c r="AJ97" s="76"/>
    </row>
    <row r="98" spans="1:36" ht="19.5" customHeight="1" x14ac:dyDescent="0.3">
      <c r="A98" s="76"/>
      <c r="B98" s="149"/>
      <c r="C98" s="150"/>
      <c r="D98" s="162"/>
      <c r="E98" s="150"/>
      <c r="F98" s="116"/>
      <c r="G98" s="116"/>
      <c r="H98" s="163"/>
      <c r="I98" s="151"/>
      <c r="J98" s="127"/>
      <c r="K98" s="162"/>
      <c r="L98" s="162"/>
      <c r="M98" s="162"/>
      <c r="N98" s="164"/>
      <c r="O98" s="165"/>
      <c r="P98" s="165"/>
      <c r="Q98" s="165"/>
      <c r="R98" s="166"/>
      <c r="S98" s="83"/>
      <c r="T98" s="155"/>
      <c r="U98" s="76"/>
      <c r="V98" s="76"/>
      <c r="W98" s="76"/>
      <c r="X98" s="76"/>
      <c r="Y98" s="76"/>
      <c r="Z98" s="76"/>
      <c r="AA98" s="76"/>
      <c r="AB98" s="76"/>
      <c r="AC98" s="76"/>
      <c r="AD98" s="76"/>
      <c r="AE98" s="76"/>
      <c r="AF98" s="76"/>
      <c r="AG98" s="76"/>
      <c r="AH98" s="76"/>
      <c r="AI98" s="76"/>
      <c r="AJ98" s="76"/>
    </row>
    <row r="99" spans="1:36" ht="19.5" customHeight="1" x14ac:dyDescent="0.3">
      <c r="A99" s="76"/>
      <c r="B99" s="149"/>
      <c r="C99" s="150"/>
      <c r="D99" s="162"/>
      <c r="E99" s="150"/>
      <c r="F99" s="116"/>
      <c r="G99" s="116"/>
      <c r="H99" s="163"/>
      <c r="I99" s="151"/>
      <c r="J99" s="127"/>
      <c r="K99" s="162"/>
      <c r="L99" s="162"/>
      <c r="M99" s="162"/>
      <c r="N99" s="164"/>
      <c r="O99" s="165"/>
      <c r="P99" s="165"/>
      <c r="Q99" s="165"/>
      <c r="R99" s="166"/>
      <c r="S99" s="83"/>
      <c r="T99" s="155"/>
      <c r="U99" s="76"/>
      <c r="V99" s="76"/>
      <c r="W99" s="76"/>
      <c r="X99" s="76"/>
      <c r="Y99" s="76"/>
      <c r="Z99" s="76"/>
      <c r="AA99" s="76"/>
      <c r="AB99" s="76"/>
      <c r="AC99" s="76"/>
      <c r="AD99" s="76"/>
      <c r="AE99" s="76"/>
      <c r="AF99" s="76"/>
      <c r="AG99" s="76"/>
      <c r="AH99" s="76"/>
      <c r="AI99" s="76"/>
      <c r="AJ99" s="76"/>
    </row>
    <row r="100" spans="1:36" ht="19.5" customHeight="1" x14ac:dyDescent="0.3">
      <c r="A100" s="76"/>
      <c r="B100" s="149"/>
      <c r="C100" s="150"/>
      <c r="D100" s="162"/>
      <c r="E100" s="150"/>
      <c r="F100" s="116"/>
      <c r="G100" s="116"/>
      <c r="H100" s="163"/>
      <c r="I100" s="151"/>
      <c r="J100" s="127"/>
      <c r="K100" s="162"/>
      <c r="L100" s="162"/>
      <c r="M100" s="162"/>
      <c r="N100" s="164"/>
      <c r="O100" s="165"/>
      <c r="P100" s="165"/>
      <c r="Q100" s="165"/>
      <c r="R100" s="166"/>
      <c r="S100" s="83"/>
      <c r="T100" s="155"/>
      <c r="U100" s="76"/>
      <c r="V100" s="76"/>
      <c r="W100" s="76"/>
      <c r="X100" s="76"/>
      <c r="Y100" s="76"/>
      <c r="Z100" s="76"/>
      <c r="AA100" s="76"/>
      <c r="AB100" s="76"/>
      <c r="AC100" s="76"/>
      <c r="AD100" s="76"/>
      <c r="AE100" s="76"/>
      <c r="AF100" s="76"/>
      <c r="AG100" s="76"/>
      <c r="AH100" s="76"/>
      <c r="AI100" s="76"/>
      <c r="AJ100" s="76"/>
    </row>
    <row r="101" spans="1:36" ht="19.5" customHeight="1" x14ac:dyDescent="0.3">
      <c r="A101" s="76"/>
      <c r="B101" s="156"/>
      <c r="C101" s="157"/>
      <c r="D101" s="162"/>
      <c r="E101" s="162"/>
      <c r="F101" s="116"/>
      <c r="G101" s="116"/>
      <c r="H101" s="163"/>
      <c r="I101" s="151"/>
      <c r="J101" s="127"/>
      <c r="K101" s="162"/>
      <c r="L101" s="162"/>
      <c r="M101" s="162"/>
      <c r="N101" s="164"/>
      <c r="O101" s="165"/>
      <c r="P101" s="165"/>
      <c r="Q101" s="165"/>
      <c r="R101" s="166"/>
      <c r="S101" s="83"/>
      <c r="T101" s="155"/>
      <c r="U101" s="76"/>
      <c r="V101" s="76"/>
      <c r="W101" s="76"/>
      <c r="X101" s="76"/>
      <c r="Y101" s="76"/>
      <c r="Z101" s="76"/>
      <c r="AA101" s="76"/>
      <c r="AB101" s="76"/>
      <c r="AC101" s="76"/>
      <c r="AD101" s="76"/>
      <c r="AE101" s="76"/>
      <c r="AF101" s="76"/>
      <c r="AG101" s="76"/>
      <c r="AH101" s="76"/>
      <c r="AI101" s="76"/>
      <c r="AJ101" s="76"/>
    </row>
    <row r="102" spans="1:36" ht="19.5" customHeight="1" x14ac:dyDescent="0.3">
      <c r="A102" s="76"/>
      <c r="B102" s="156"/>
      <c r="C102" s="157"/>
      <c r="D102" s="162"/>
      <c r="E102" s="162"/>
      <c r="F102" s="116"/>
      <c r="G102" s="116"/>
      <c r="H102" s="163"/>
      <c r="I102" s="151"/>
      <c r="J102" s="127"/>
      <c r="K102" s="162"/>
      <c r="L102" s="162"/>
      <c r="M102" s="162"/>
      <c r="N102" s="164"/>
      <c r="O102" s="165"/>
      <c r="P102" s="165"/>
      <c r="Q102" s="165"/>
      <c r="R102" s="166"/>
      <c r="S102" s="83"/>
      <c r="T102" s="155"/>
      <c r="U102" s="76"/>
      <c r="V102" s="76"/>
      <c r="W102" s="76"/>
      <c r="X102" s="76"/>
      <c r="Y102" s="76"/>
      <c r="Z102" s="76"/>
      <c r="AA102" s="76"/>
      <c r="AB102" s="76"/>
      <c r="AC102" s="76"/>
      <c r="AD102" s="76"/>
      <c r="AE102" s="76"/>
      <c r="AF102" s="76"/>
      <c r="AG102" s="76"/>
      <c r="AH102" s="76"/>
      <c r="AI102" s="76"/>
      <c r="AJ102" s="76"/>
    </row>
    <row r="103" spans="1:36" ht="19.5" customHeight="1" x14ac:dyDescent="0.3">
      <c r="A103" s="76"/>
      <c r="B103" s="162"/>
      <c r="C103" s="162"/>
      <c r="D103" s="162"/>
      <c r="E103" s="163"/>
      <c r="F103" s="116"/>
      <c r="G103" s="163"/>
      <c r="H103" s="163"/>
      <c r="I103" s="151"/>
      <c r="J103" s="127"/>
      <c r="K103" s="162"/>
      <c r="L103" s="162"/>
      <c r="M103" s="162"/>
      <c r="N103" s="164"/>
      <c r="O103" s="165"/>
      <c r="P103" s="165"/>
      <c r="Q103" s="165"/>
      <c r="R103" s="166"/>
      <c r="S103" s="83"/>
      <c r="T103" s="155"/>
      <c r="U103" s="76"/>
      <c r="V103" s="76"/>
      <c r="W103" s="76"/>
      <c r="X103" s="76"/>
      <c r="Y103" s="76"/>
      <c r="Z103" s="76"/>
      <c r="AA103" s="76"/>
      <c r="AB103" s="76"/>
      <c r="AC103" s="76"/>
      <c r="AD103" s="76"/>
      <c r="AE103" s="76"/>
      <c r="AF103" s="76"/>
      <c r="AG103" s="76"/>
      <c r="AH103" s="76"/>
      <c r="AI103" s="76"/>
      <c r="AJ103" s="76"/>
    </row>
    <row r="104" spans="1:36" s="148" customFormat="1" ht="19.5" customHeight="1" x14ac:dyDescent="0.3">
      <c r="A104" s="138"/>
      <c r="B104" s="139"/>
      <c r="C104" s="139"/>
      <c r="D104" s="143"/>
      <c r="E104" s="158"/>
      <c r="F104" s="158"/>
      <c r="G104" s="158"/>
      <c r="H104" s="158"/>
      <c r="I104" s="142"/>
      <c r="J104" s="143"/>
      <c r="K104" s="140"/>
      <c r="L104" s="140"/>
      <c r="M104" s="140"/>
      <c r="N104" s="159"/>
      <c r="O104" s="145"/>
      <c r="P104" s="145"/>
      <c r="Q104" s="145"/>
      <c r="R104" s="146"/>
      <c r="S104" s="147"/>
      <c r="T104" s="155"/>
      <c r="U104" s="138"/>
      <c r="V104" s="138"/>
      <c r="W104" s="138"/>
      <c r="X104" s="138"/>
      <c r="Y104" s="138"/>
      <c r="Z104" s="138"/>
      <c r="AA104" s="138"/>
      <c r="AB104" s="138"/>
      <c r="AC104" s="138"/>
      <c r="AD104" s="138"/>
      <c r="AE104" s="138"/>
      <c r="AF104" s="138"/>
      <c r="AG104" s="138"/>
      <c r="AH104" s="138"/>
      <c r="AI104" s="138"/>
      <c r="AJ104" s="138"/>
    </row>
    <row r="105" spans="1:36" ht="19.5" customHeight="1" x14ac:dyDescent="0.3">
      <c r="A105" s="76"/>
      <c r="B105" s="173"/>
      <c r="C105" s="174"/>
      <c r="D105" s="162"/>
      <c r="E105" s="175"/>
      <c r="F105" s="116"/>
      <c r="G105" s="116"/>
      <c r="H105" s="163"/>
      <c r="I105" s="151"/>
      <c r="J105" s="127"/>
      <c r="K105" s="162"/>
      <c r="L105" s="162"/>
      <c r="M105" s="162"/>
      <c r="N105" s="164"/>
      <c r="O105" s="165"/>
      <c r="P105" s="165"/>
      <c r="Q105" s="165"/>
      <c r="R105" s="166"/>
      <c r="S105" s="83"/>
      <c r="T105" s="155"/>
      <c r="U105" s="76"/>
      <c r="V105" s="76"/>
      <c r="W105" s="76"/>
      <c r="X105" s="76"/>
      <c r="Y105" s="76"/>
      <c r="Z105" s="76"/>
      <c r="AA105" s="76"/>
      <c r="AB105" s="76"/>
      <c r="AC105" s="76"/>
      <c r="AD105" s="76"/>
      <c r="AE105" s="76"/>
      <c r="AF105" s="76"/>
      <c r="AG105" s="76"/>
      <c r="AH105" s="76"/>
      <c r="AI105" s="76"/>
      <c r="AJ105" s="76"/>
    </row>
    <row r="106" spans="1:36" ht="19.5" customHeight="1" x14ac:dyDescent="0.3">
      <c r="A106" s="76"/>
      <c r="B106" s="173"/>
      <c r="C106" s="174"/>
      <c r="D106" s="162"/>
      <c r="E106" s="175"/>
      <c r="F106" s="116"/>
      <c r="G106" s="116"/>
      <c r="H106" s="163"/>
      <c r="I106" s="151"/>
      <c r="J106" s="127"/>
      <c r="K106" s="162"/>
      <c r="L106" s="162"/>
      <c r="M106" s="162"/>
      <c r="N106" s="164"/>
      <c r="O106" s="165"/>
      <c r="P106" s="165"/>
      <c r="Q106" s="165"/>
      <c r="R106" s="166"/>
      <c r="S106" s="83"/>
      <c r="T106" s="155"/>
      <c r="U106" s="76"/>
      <c r="V106" s="76"/>
      <c r="W106" s="76"/>
      <c r="X106" s="76"/>
      <c r="Y106" s="76"/>
      <c r="Z106" s="76"/>
      <c r="AA106" s="76"/>
      <c r="AB106" s="76"/>
      <c r="AC106" s="76"/>
      <c r="AD106" s="76"/>
      <c r="AE106" s="76"/>
      <c r="AF106" s="76"/>
      <c r="AG106" s="76"/>
      <c r="AH106" s="76"/>
      <c r="AI106" s="76"/>
      <c r="AJ106" s="76"/>
    </row>
    <row r="107" spans="1:36" ht="19.5" customHeight="1" x14ac:dyDescent="0.3">
      <c r="A107" s="76"/>
      <c r="B107" s="173"/>
      <c r="C107" s="176"/>
      <c r="D107" s="162"/>
      <c r="E107" s="175"/>
      <c r="F107" s="116"/>
      <c r="G107" s="116"/>
      <c r="H107" s="163"/>
      <c r="I107" s="151"/>
      <c r="J107" s="127"/>
      <c r="K107" s="162"/>
      <c r="L107" s="162"/>
      <c r="M107" s="162"/>
      <c r="N107" s="164"/>
      <c r="O107" s="165"/>
      <c r="P107" s="165"/>
      <c r="Q107" s="165"/>
      <c r="R107" s="166"/>
      <c r="S107" s="83"/>
      <c r="T107" s="155"/>
      <c r="U107" s="76"/>
      <c r="V107" s="76"/>
      <c r="W107" s="76"/>
      <c r="X107" s="76"/>
      <c r="Y107" s="76"/>
      <c r="Z107" s="76"/>
      <c r="AA107" s="76"/>
      <c r="AB107" s="76"/>
      <c r="AC107" s="76"/>
      <c r="AD107" s="76"/>
      <c r="AE107" s="76"/>
      <c r="AF107" s="76"/>
      <c r="AG107" s="76"/>
      <c r="AH107" s="76"/>
      <c r="AI107" s="76"/>
      <c r="AJ107" s="76"/>
    </row>
    <row r="108" spans="1:36" ht="19.5" customHeight="1" x14ac:dyDescent="0.3">
      <c r="A108" s="76"/>
      <c r="B108" s="173"/>
      <c r="C108" s="176"/>
      <c r="D108" s="162"/>
      <c r="E108" s="175"/>
      <c r="F108" s="116"/>
      <c r="G108" s="116"/>
      <c r="H108" s="163"/>
      <c r="I108" s="151"/>
      <c r="J108" s="127"/>
      <c r="K108" s="162"/>
      <c r="L108" s="162"/>
      <c r="M108" s="162"/>
      <c r="N108" s="164"/>
      <c r="O108" s="165"/>
      <c r="P108" s="165"/>
      <c r="Q108" s="165"/>
      <c r="R108" s="166"/>
      <c r="S108" s="83"/>
      <c r="T108" s="155"/>
      <c r="U108" s="76"/>
      <c r="V108" s="76"/>
      <c r="W108" s="76"/>
      <c r="X108" s="76"/>
      <c r="Y108" s="76"/>
      <c r="Z108" s="76"/>
      <c r="AA108" s="76"/>
      <c r="AB108" s="76"/>
      <c r="AC108" s="76"/>
      <c r="AD108" s="76"/>
      <c r="AE108" s="76"/>
      <c r="AF108" s="76"/>
      <c r="AG108" s="76"/>
      <c r="AH108" s="76"/>
      <c r="AI108" s="76"/>
      <c r="AJ108" s="76"/>
    </row>
    <row r="109" spans="1:36" ht="19.5" customHeight="1" x14ac:dyDescent="0.3">
      <c r="A109" s="76"/>
      <c r="B109" s="173"/>
      <c r="C109" s="176"/>
      <c r="D109" s="162"/>
      <c r="E109" s="175"/>
      <c r="F109" s="116"/>
      <c r="G109" s="116"/>
      <c r="H109" s="163"/>
      <c r="I109" s="151"/>
      <c r="J109" s="127"/>
      <c r="K109" s="162"/>
      <c r="L109" s="162"/>
      <c r="M109" s="162"/>
      <c r="N109" s="164"/>
      <c r="O109" s="165"/>
      <c r="P109" s="165"/>
      <c r="Q109" s="165"/>
      <c r="R109" s="166"/>
      <c r="S109" s="83"/>
      <c r="T109" s="155"/>
      <c r="U109" s="76"/>
      <c r="V109" s="76"/>
      <c r="W109" s="76"/>
      <c r="X109" s="76"/>
      <c r="Y109" s="76"/>
      <c r="Z109" s="76"/>
      <c r="AA109" s="76"/>
      <c r="AB109" s="76"/>
      <c r="AC109" s="76"/>
      <c r="AD109" s="76"/>
      <c r="AE109" s="76"/>
      <c r="AF109" s="76"/>
      <c r="AG109" s="76"/>
      <c r="AH109" s="76"/>
      <c r="AI109" s="76"/>
      <c r="AJ109" s="76"/>
    </row>
    <row r="110" spans="1:36" ht="19.5" customHeight="1" x14ac:dyDescent="0.3">
      <c r="A110" s="76"/>
      <c r="B110" s="173"/>
      <c r="C110" s="174"/>
      <c r="D110" s="162"/>
      <c r="E110" s="175"/>
      <c r="F110" s="116"/>
      <c r="G110" s="116"/>
      <c r="H110" s="163"/>
      <c r="I110" s="151"/>
      <c r="J110" s="127"/>
      <c r="K110" s="162"/>
      <c r="L110" s="162"/>
      <c r="M110" s="162"/>
      <c r="N110" s="164"/>
      <c r="O110" s="165"/>
      <c r="P110" s="165"/>
      <c r="Q110" s="165"/>
      <c r="R110" s="166"/>
      <c r="S110" s="83"/>
      <c r="T110" s="155"/>
      <c r="U110" s="76"/>
      <c r="V110" s="76"/>
      <c r="W110" s="76"/>
      <c r="X110" s="76"/>
      <c r="Y110" s="76"/>
      <c r="Z110" s="76"/>
      <c r="AA110" s="76"/>
      <c r="AB110" s="76"/>
      <c r="AC110" s="76"/>
      <c r="AD110" s="76"/>
      <c r="AE110" s="76"/>
      <c r="AF110" s="76"/>
      <c r="AG110" s="76"/>
      <c r="AH110" s="76"/>
      <c r="AI110" s="76"/>
      <c r="AJ110" s="76"/>
    </row>
    <row r="111" spans="1:36" ht="19.5" customHeight="1" x14ac:dyDescent="0.3">
      <c r="A111" s="76"/>
      <c r="B111" s="173"/>
      <c r="C111" s="174"/>
      <c r="D111" s="162"/>
      <c r="E111" s="175"/>
      <c r="F111" s="116"/>
      <c r="G111" s="116"/>
      <c r="H111" s="163"/>
      <c r="I111" s="151"/>
      <c r="J111" s="127"/>
      <c r="K111" s="162"/>
      <c r="L111" s="162"/>
      <c r="M111" s="162"/>
      <c r="N111" s="164"/>
      <c r="O111" s="165"/>
      <c r="P111" s="165"/>
      <c r="Q111" s="165"/>
      <c r="R111" s="166"/>
      <c r="S111" s="83"/>
      <c r="T111" s="155"/>
      <c r="U111" s="76"/>
      <c r="V111" s="76"/>
      <c r="W111" s="76"/>
      <c r="X111" s="76"/>
      <c r="Y111" s="76"/>
      <c r="Z111" s="76"/>
      <c r="AA111" s="76"/>
      <c r="AB111" s="76"/>
      <c r="AC111" s="76"/>
      <c r="AD111" s="76"/>
      <c r="AE111" s="76"/>
      <c r="AF111" s="76"/>
      <c r="AG111" s="76"/>
      <c r="AH111" s="76"/>
      <c r="AI111" s="76"/>
      <c r="AJ111" s="76"/>
    </row>
    <row r="112" spans="1:36" ht="19.5" customHeight="1" x14ac:dyDescent="0.3">
      <c r="A112" s="76"/>
      <c r="B112" s="173"/>
      <c r="C112" s="174"/>
      <c r="D112" s="162"/>
      <c r="E112" s="175"/>
      <c r="F112" s="116"/>
      <c r="G112" s="116"/>
      <c r="H112" s="163"/>
      <c r="I112" s="151"/>
      <c r="J112" s="127"/>
      <c r="K112" s="162"/>
      <c r="L112" s="162"/>
      <c r="M112" s="162"/>
      <c r="N112" s="164"/>
      <c r="O112" s="165"/>
      <c r="P112" s="165"/>
      <c r="Q112" s="165"/>
      <c r="R112" s="166"/>
      <c r="S112" s="83"/>
      <c r="T112" s="155"/>
      <c r="U112" s="76"/>
      <c r="V112" s="76"/>
      <c r="W112" s="76"/>
      <c r="X112" s="76"/>
      <c r="Y112" s="76"/>
      <c r="Z112" s="76"/>
      <c r="AA112" s="76"/>
      <c r="AB112" s="76"/>
      <c r="AC112" s="76"/>
      <c r="AD112" s="76"/>
      <c r="AE112" s="76"/>
      <c r="AF112" s="76"/>
      <c r="AG112" s="76"/>
      <c r="AH112" s="76"/>
      <c r="AI112" s="76"/>
      <c r="AJ112" s="76"/>
    </row>
    <row r="113" spans="1:36" ht="19.5" customHeight="1" x14ac:dyDescent="0.3">
      <c r="A113" s="76"/>
      <c r="B113" s="173"/>
      <c r="C113" s="174"/>
      <c r="D113" s="162"/>
      <c r="E113" s="175"/>
      <c r="F113" s="116"/>
      <c r="G113" s="116"/>
      <c r="H113" s="163"/>
      <c r="I113" s="151"/>
      <c r="J113" s="127"/>
      <c r="K113" s="162"/>
      <c r="L113" s="162"/>
      <c r="M113" s="162"/>
      <c r="N113" s="164"/>
      <c r="O113" s="165"/>
      <c r="P113" s="165"/>
      <c r="Q113" s="165"/>
      <c r="R113" s="166"/>
      <c r="S113" s="83"/>
      <c r="T113" s="155"/>
      <c r="U113" s="76"/>
      <c r="V113" s="76"/>
      <c r="W113" s="76"/>
      <c r="X113" s="76"/>
      <c r="Y113" s="76"/>
      <c r="Z113" s="76"/>
      <c r="AA113" s="76"/>
      <c r="AB113" s="76"/>
      <c r="AC113" s="76"/>
      <c r="AD113" s="76"/>
      <c r="AE113" s="76"/>
      <c r="AF113" s="76"/>
      <c r="AG113" s="76"/>
      <c r="AH113" s="76"/>
      <c r="AI113" s="76"/>
      <c r="AJ113" s="76"/>
    </row>
    <row r="114" spans="1:36" ht="19.5" customHeight="1" x14ac:dyDescent="0.3">
      <c r="A114" s="76"/>
      <c r="B114" s="173"/>
      <c r="C114" s="174"/>
      <c r="D114" s="162"/>
      <c r="E114" s="175"/>
      <c r="F114" s="116"/>
      <c r="G114" s="116"/>
      <c r="H114" s="163"/>
      <c r="I114" s="151"/>
      <c r="J114" s="127"/>
      <c r="K114" s="162"/>
      <c r="L114" s="162"/>
      <c r="M114" s="162"/>
      <c r="N114" s="164"/>
      <c r="O114" s="165"/>
      <c r="P114" s="165"/>
      <c r="Q114" s="165"/>
      <c r="R114" s="166"/>
      <c r="S114" s="83"/>
      <c r="T114" s="155"/>
      <c r="U114" s="76"/>
      <c r="V114" s="76"/>
      <c r="W114" s="76"/>
      <c r="X114" s="76"/>
      <c r="Y114" s="76"/>
      <c r="Z114" s="76"/>
      <c r="AA114" s="76"/>
      <c r="AB114" s="76"/>
      <c r="AC114" s="76"/>
      <c r="AD114" s="76"/>
      <c r="AE114" s="76"/>
      <c r="AF114" s="76"/>
      <c r="AG114" s="76"/>
      <c r="AH114" s="76"/>
      <c r="AI114" s="76"/>
      <c r="AJ114" s="76"/>
    </row>
    <row r="115" spans="1:36" ht="19.5" customHeight="1" x14ac:dyDescent="0.3">
      <c r="A115" s="76"/>
      <c r="B115" s="173"/>
      <c r="C115" s="176"/>
      <c r="D115" s="162"/>
      <c r="E115" s="175"/>
      <c r="F115" s="116"/>
      <c r="G115" s="116"/>
      <c r="H115" s="163"/>
      <c r="I115" s="151"/>
      <c r="J115" s="127"/>
      <c r="K115" s="162"/>
      <c r="L115" s="162"/>
      <c r="M115" s="162"/>
      <c r="N115" s="164"/>
      <c r="O115" s="165"/>
      <c r="P115" s="165"/>
      <c r="Q115" s="165"/>
      <c r="R115" s="166"/>
      <c r="S115" s="83"/>
      <c r="T115" s="155"/>
      <c r="U115" s="76"/>
      <c r="V115" s="76"/>
      <c r="W115" s="76"/>
      <c r="X115" s="76"/>
      <c r="Y115" s="76"/>
      <c r="Z115" s="76"/>
      <c r="AA115" s="76"/>
      <c r="AB115" s="76"/>
      <c r="AC115" s="76"/>
      <c r="AD115" s="76"/>
      <c r="AE115" s="76"/>
      <c r="AF115" s="76"/>
      <c r="AG115" s="76"/>
      <c r="AH115" s="76"/>
      <c r="AI115" s="76"/>
      <c r="AJ115" s="76"/>
    </row>
    <row r="116" spans="1:36" ht="19.5" customHeight="1" x14ac:dyDescent="0.3">
      <c r="A116" s="76"/>
      <c r="B116" s="173"/>
      <c r="C116" s="174"/>
      <c r="D116" s="162"/>
      <c r="E116" s="175"/>
      <c r="F116" s="116"/>
      <c r="G116" s="116"/>
      <c r="H116" s="163"/>
      <c r="I116" s="151"/>
      <c r="J116" s="127"/>
      <c r="K116" s="162"/>
      <c r="L116" s="162"/>
      <c r="M116" s="162"/>
      <c r="N116" s="164"/>
      <c r="O116" s="165"/>
      <c r="P116" s="165"/>
      <c r="Q116" s="165"/>
      <c r="R116" s="166"/>
      <c r="S116" s="83"/>
      <c r="T116" s="155"/>
      <c r="U116" s="76"/>
      <c r="V116" s="76"/>
      <c r="W116" s="76"/>
      <c r="X116" s="76"/>
      <c r="Y116" s="76"/>
      <c r="Z116" s="76"/>
      <c r="AA116" s="76"/>
      <c r="AB116" s="76"/>
      <c r="AC116" s="76"/>
      <c r="AD116" s="76"/>
      <c r="AE116" s="76"/>
      <c r="AF116" s="76"/>
      <c r="AG116" s="76"/>
      <c r="AH116" s="76"/>
      <c r="AI116" s="76"/>
      <c r="AJ116" s="76"/>
    </row>
    <row r="117" spans="1:36" ht="19.5" customHeight="1" x14ac:dyDescent="0.3">
      <c r="A117" s="76"/>
      <c r="B117" s="173"/>
      <c r="C117" s="174"/>
      <c r="D117" s="162"/>
      <c r="E117" s="175"/>
      <c r="F117" s="116"/>
      <c r="G117" s="116"/>
      <c r="H117" s="163"/>
      <c r="I117" s="151"/>
      <c r="J117" s="127"/>
      <c r="K117" s="162"/>
      <c r="L117" s="162"/>
      <c r="M117" s="162"/>
      <c r="N117" s="164"/>
      <c r="O117" s="165"/>
      <c r="P117" s="165"/>
      <c r="Q117" s="165"/>
      <c r="R117" s="166"/>
      <c r="S117" s="83"/>
      <c r="T117" s="155"/>
      <c r="U117" s="100"/>
      <c r="V117" s="76"/>
      <c r="W117" s="76"/>
      <c r="X117" s="76"/>
      <c r="Y117" s="76"/>
      <c r="Z117" s="76"/>
      <c r="AA117" s="76"/>
      <c r="AB117" s="76"/>
      <c r="AC117" s="76"/>
      <c r="AD117" s="76"/>
      <c r="AE117" s="76"/>
      <c r="AF117" s="76"/>
      <c r="AG117" s="76"/>
      <c r="AH117" s="76"/>
      <c r="AI117" s="76"/>
      <c r="AJ117" s="76"/>
    </row>
    <row r="118" spans="1:36" ht="19.5" customHeight="1" x14ac:dyDescent="0.3">
      <c r="A118" s="76"/>
      <c r="B118" s="173"/>
      <c r="C118" s="174"/>
      <c r="D118" s="162"/>
      <c r="E118" s="175"/>
      <c r="F118" s="116"/>
      <c r="G118" s="116"/>
      <c r="H118" s="163"/>
      <c r="I118" s="151"/>
      <c r="J118" s="127"/>
      <c r="K118" s="162"/>
      <c r="L118" s="162"/>
      <c r="M118" s="162"/>
      <c r="N118" s="164"/>
      <c r="O118" s="165"/>
      <c r="P118" s="165"/>
      <c r="Q118" s="165"/>
      <c r="R118" s="166"/>
      <c r="S118" s="83"/>
      <c r="T118" s="155"/>
      <c r="U118" s="76"/>
      <c r="V118" s="76"/>
      <c r="W118" s="76"/>
      <c r="X118" s="76"/>
      <c r="Y118" s="76"/>
      <c r="Z118" s="76"/>
      <c r="AA118" s="76"/>
      <c r="AB118" s="76"/>
      <c r="AC118" s="76"/>
      <c r="AD118" s="76"/>
      <c r="AE118" s="76"/>
      <c r="AF118" s="76"/>
      <c r="AG118" s="76"/>
      <c r="AH118" s="76"/>
      <c r="AI118" s="76"/>
      <c r="AJ118" s="76"/>
    </row>
    <row r="119" spans="1:36" ht="19.5" customHeight="1" x14ac:dyDescent="0.3">
      <c r="A119" s="76"/>
      <c r="B119" s="173"/>
      <c r="C119" s="174"/>
      <c r="D119" s="162"/>
      <c r="E119" s="175"/>
      <c r="F119" s="116"/>
      <c r="G119" s="116"/>
      <c r="H119" s="163"/>
      <c r="I119" s="151"/>
      <c r="J119" s="127"/>
      <c r="K119" s="162"/>
      <c r="L119" s="162"/>
      <c r="M119" s="162"/>
      <c r="N119" s="164"/>
      <c r="O119" s="165"/>
      <c r="P119" s="165"/>
      <c r="Q119" s="165"/>
      <c r="R119" s="166"/>
      <c r="S119" s="83"/>
      <c r="T119" s="155"/>
      <c r="U119" s="100"/>
      <c r="V119" s="76"/>
      <c r="W119" s="76"/>
      <c r="X119" s="76"/>
      <c r="Y119" s="76"/>
      <c r="Z119" s="76"/>
      <c r="AA119" s="76"/>
      <c r="AB119" s="76"/>
      <c r="AC119" s="76"/>
      <c r="AD119" s="76"/>
      <c r="AE119" s="76"/>
      <c r="AF119" s="76"/>
      <c r="AG119" s="76"/>
      <c r="AH119" s="76"/>
      <c r="AI119" s="76"/>
      <c r="AJ119" s="76"/>
    </row>
    <row r="120" spans="1:36" ht="19.5" customHeight="1" x14ac:dyDescent="0.3">
      <c r="A120" s="76"/>
      <c r="B120" s="173"/>
      <c r="C120" s="174"/>
      <c r="D120" s="162"/>
      <c r="E120" s="175"/>
      <c r="F120" s="116"/>
      <c r="G120" s="116"/>
      <c r="H120" s="163"/>
      <c r="I120" s="151"/>
      <c r="J120" s="127"/>
      <c r="K120" s="162"/>
      <c r="L120" s="162"/>
      <c r="M120" s="162"/>
      <c r="N120" s="164"/>
      <c r="O120" s="165"/>
      <c r="P120" s="165"/>
      <c r="Q120" s="165"/>
      <c r="R120" s="166"/>
      <c r="S120" s="83"/>
      <c r="T120" s="155"/>
      <c r="U120" s="76"/>
      <c r="V120" s="76"/>
      <c r="W120" s="76"/>
      <c r="X120" s="76"/>
      <c r="Y120" s="76"/>
      <c r="Z120" s="76"/>
      <c r="AA120" s="76"/>
      <c r="AB120" s="76"/>
      <c r="AC120" s="76"/>
      <c r="AD120" s="76"/>
      <c r="AE120" s="76"/>
      <c r="AF120" s="76"/>
      <c r="AG120" s="76"/>
      <c r="AH120" s="76"/>
      <c r="AI120" s="76"/>
      <c r="AJ120" s="76"/>
    </row>
    <row r="121" spans="1:36" ht="19.5" customHeight="1" x14ac:dyDescent="0.3">
      <c r="A121" s="76"/>
      <c r="B121" s="173"/>
      <c r="C121" s="174"/>
      <c r="D121" s="162"/>
      <c r="E121" s="175"/>
      <c r="F121" s="116"/>
      <c r="G121" s="116"/>
      <c r="H121" s="163"/>
      <c r="I121" s="151"/>
      <c r="J121" s="127"/>
      <c r="K121" s="162"/>
      <c r="L121" s="162"/>
      <c r="M121" s="162"/>
      <c r="N121" s="164"/>
      <c r="O121" s="165"/>
      <c r="P121" s="165"/>
      <c r="Q121" s="165"/>
      <c r="R121" s="166"/>
      <c r="S121" s="83"/>
      <c r="T121" s="155"/>
      <c r="U121" s="76"/>
      <c r="V121" s="76"/>
      <c r="W121" s="76"/>
      <c r="X121" s="76"/>
      <c r="Y121" s="76"/>
      <c r="Z121" s="76"/>
      <c r="AA121" s="76"/>
      <c r="AB121" s="76"/>
      <c r="AC121" s="76"/>
      <c r="AD121" s="76"/>
      <c r="AE121" s="76"/>
      <c r="AF121" s="76"/>
      <c r="AG121" s="76"/>
      <c r="AH121" s="76"/>
      <c r="AI121" s="76"/>
      <c r="AJ121" s="76"/>
    </row>
    <row r="122" spans="1:36" ht="19.5" customHeight="1" x14ac:dyDescent="0.3">
      <c r="A122" s="76"/>
      <c r="B122" s="173"/>
      <c r="C122" s="174"/>
      <c r="D122" s="162"/>
      <c r="E122" s="175"/>
      <c r="F122" s="116"/>
      <c r="G122" s="116"/>
      <c r="H122" s="163"/>
      <c r="I122" s="151"/>
      <c r="J122" s="127"/>
      <c r="K122" s="162"/>
      <c r="L122" s="162"/>
      <c r="M122" s="162"/>
      <c r="N122" s="164"/>
      <c r="O122" s="165"/>
      <c r="P122" s="165"/>
      <c r="Q122" s="165"/>
      <c r="R122" s="166"/>
      <c r="S122" s="83"/>
      <c r="T122" s="155"/>
      <c r="U122" s="76"/>
      <c r="V122" s="76"/>
      <c r="W122" s="76"/>
      <c r="X122" s="76"/>
      <c r="Y122" s="76"/>
      <c r="Z122" s="76"/>
      <c r="AA122" s="76"/>
      <c r="AB122" s="76"/>
      <c r="AC122" s="76"/>
      <c r="AD122" s="76"/>
      <c r="AE122" s="76"/>
      <c r="AF122" s="76"/>
      <c r="AG122" s="76"/>
      <c r="AH122" s="76"/>
      <c r="AI122" s="76"/>
      <c r="AJ122" s="76"/>
    </row>
    <row r="123" spans="1:36" ht="19.5" customHeight="1" x14ac:dyDescent="0.3">
      <c r="A123" s="76"/>
      <c r="B123" s="173"/>
      <c r="C123" s="174"/>
      <c r="D123" s="162"/>
      <c r="E123" s="175"/>
      <c r="F123" s="116"/>
      <c r="G123" s="116"/>
      <c r="H123" s="163"/>
      <c r="I123" s="151"/>
      <c r="J123" s="127"/>
      <c r="K123" s="162"/>
      <c r="L123" s="162"/>
      <c r="M123" s="162"/>
      <c r="N123" s="164"/>
      <c r="O123" s="165"/>
      <c r="P123" s="165"/>
      <c r="Q123" s="165"/>
      <c r="R123" s="166"/>
      <c r="S123" s="83"/>
      <c r="T123" s="155"/>
      <c r="U123" s="76"/>
      <c r="V123" s="76"/>
      <c r="W123" s="76"/>
      <c r="X123" s="76"/>
      <c r="Y123" s="76"/>
      <c r="Z123" s="76"/>
      <c r="AA123" s="76"/>
      <c r="AB123" s="76"/>
      <c r="AC123" s="76"/>
      <c r="AD123" s="76"/>
      <c r="AE123" s="76"/>
      <c r="AF123" s="76"/>
      <c r="AG123" s="76"/>
      <c r="AH123" s="76"/>
      <c r="AI123" s="76"/>
      <c r="AJ123" s="76"/>
    </row>
    <row r="124" spans="1:36" ht="19.5" customHeight="1" x14ac:dyDescent="0.3">
      <c r="A124" s="76"/>
      <c r="B124" s="173"/>
      <c r="C124" s="174"/>
      <c r="D124" s="162"/>
      <c r="E124" s="175"/>
      <c r="F124" s="116"/>
      <c r="G124" s="116"/>
      <c r="H124" s="163"/>
      <c r="I124" s="151"/>
      <c r="J124" s="127"/>
      <c r="K124" s="162"/>
      <c r="L124" s="162"/>
      <c r="M124" s="162"/>
      <c r="N124" s="164"/>
      <c r="O124" s="165"/>
      <c r="P124" s="165"/>
      <c r="Q124" s="165"/>
      <c r="R124" s="166"/>
      <c r="S124" s="83"/>
      <c r="T124" s="155"/>
      <c r="U124" s="76"/>
      <c r="V124" s="76"/>
      <c r="W124" s="76"/>
      <c r="X124" s="76"/>
      <c r="Y124" s="76"/>
      <c r="Z124" s="76"/>
      <c r="AA124" s="76"/>
      <c r="AB124" s="76"/>
      <c r="AC124" s="76"/>
      <c r="AD124" s="76"/>
      <c r="AE124" s="76"/>
      <c r="AF124" s="76"/>
      <c r="AG124" s="76"/>
      <c r="AH124" s="76"/>
      <c r="AI124" s="76"/>
      <c r="AJ124" s="76"/>
    </row>
    <row r="125" spans="1:36" ht="19.5" customHeight="1" x14ac:dyDescent="0.3">
      <c r="A125" s="76"/>
      <c r="B125" s="173"/>
      <c r="C125" s="176"/>
      <c r="D125" s="162"/>
      <c r="E125" s="175"/>
      <c r="F125" s="116"/>
      <c r="G125" s="116"/>
      <c r="H125" s="163"/>
      <c r="I125" s="151"/>
      <c r="J125" s="127"/>
      <c r="K125" s="162"/>
      <c r="L125" s="162"/>
      <c r="M125" s="162"/>
      <c r="N125" s="164"/>
      <c r="O125" s="165"/>
      <c r="P125" s="165"/>
      <c r="Q125" s="165"/>
      <c r="R125" s="166"/>
      <c r="S125" s="83"/>
      <c r="T125" s="155"/>
      <c r="U125" s="76"/>
      <c r="V125" s="76"/>
      <c r="W125" s="76"/>
      <c r="X125" s="76"/>
      <c r="Y125" s="76"/>
      <c r="Z125" s="76"/>
      <c r="AA125" s="76"/>
      <c r="AB125" s="76"/>
      <c r="AC125" s="76"/>
      <c r="AD125" s="76"/>
      <c r="AE125" s="76"/>
      <c r="AF125" s="76"/>
      <c r="AG125" s="76"/>
      <c r="AH125" s="76"/>
      <c r="AI125" s="76"/>
      <c r="AJ125" s="76"/>
    </row>
    <row r="126" spans="1:36" ht="19.5" customHeight="1" x14ac:dyDescent="0.3">
      <c r="A126" s="76"/>
      <c r="B126" s="173"/>
      <c r="C126" s="174"/>
      <c r="D126" s="162"/>
      <c r="E126" s="175"/>
      <c r="F126" s="116"/>
      <c r="G126" s="116"/>
      <c r="H126" s="163"/>
      <c r="I126" s="151"/>
      <c r="J126" s="127"/>
      <c r="K126" s="162"/>
      <c r="L126" s="162"/>
      <c r="M126" s="162"/>
      <c r="N126" s="164"/>
      <c r="O126" s="165"/>
      <c r="P126" s="165"/>
      <c r="Q126" s="165"/>
      <c r="R126" s="166"/>
      <c r="S126" s="83"/>
      <c r="T126" s="155"/>
      <c r="U126" s="76"/>
      <c r="V126" s="76"/>
      <c r="W126" s="76"/>
      <c r="X126" s="76"/>
      <c r="Y126" s="76"/>
      <c r="Z126" s="76"/>
      <c r="AA126" s="76"/>
      <c r="AB126" s="76"/>
      <c r="AC126" s="76"/>
      <c r="AD126" s="76"/>
      <c r="AE126" s="76"/>
      <c r="AF126" s="76"/>
      <c r="AG126" s="76"/>
      <c r="AH126" s="76"/>
      <c r="AI126" s="76"/>
      <c r="AJ126" s="76"/>
    </row>
    <row r="127" spans="1:36" ht="19.5" customHeight="1" x14ac:dyDescent="0.3">
      <c r="A127" s="76"/>
      <c r="B127" s="177"/>
      <c r="C127" s="178"/>
      <c r="D127" s="179"/>
      <c r="E127" s="178"/>
      <c r="F127" s="180"/>
      <c r="G127" s="116"/>
      <c r="H127" s="163"/>
      <c r="I127" s="151"/>
      <c r="J127" s="127"/>
      <c r="K127" s="162"/>
      <c r="L127" s="162"/>
      <c r="M127" s="162"/>
      <c r="N127" s="164"/>
      <c r="O127" s="165"/>
      <c r="P127" s="165"/>
      <c r="Q127" s="165"/>
      <c r="R127" s="166"/>
      <c r="S127" s="83"/>
      <c r="T127" s="155"/>
      <c r="U127" s="76"/>
      <c r="V127" s="76"/>
      <c r="W127" s="76"/>
      <c r="X127" s="76"/>
      <c r="Y127" s="76"/>
      <c r="Z127" s="76"/>
      <c r="AA127" s="76"/>
      <c r="AB127" s="76"/>
      <c r="AC127" s="76"/>
      <c r="AD127" s="76"/>
      <c r="AE127" s="76"/>
      <c r="AF127" s="76"/>
      <c r="AG127" s="76"/>
      <c r="AH127" s="76"/>
      <c r="AI127" s="76"/>
      <c r="AJ127" s="76"/>
    </row>
    <row r="128" spans="1:36" ht="19.5" customHeight="1" x14ac:dyDescent="0.3">
      <c r="A128" s="76"/>
      <c r="B128" s="177"/>
      <c r="C128" s="178"/>
      <c r="D128" s="179"/>
      <c r="E128" s="178"/>
      <c r="F128" s="180"/>
      <c r="G128" s="116"/>
      <c r="H128" s="163"/>
      <c r="I128" s="151"/>
      <c r="J128" s="127"/>
      <c r="K128" s="162"/>
      <c r="L128" s="162"/>
      <c r="M128" s="162"/>
      <c r="N128" s="164"/>
      <c r="O128" s="165"/>
      <c r="P128" s="165"/>
      <c r="Q128" s="165"/>
      <c r="R128" s="166"/>
      <c r="S128" s="83"/>
      <c r="T128" s="155"/>
      <c r="U128" s="76"/>
      <c r="V128" s="76"/>
      <c r="W128" s="76"/>
      <c r="X128" s="76"/>
      <c r="Y128" s="76"/>
      <c r="Z128" s="76"/>
      <c r="AA128" s="76"/>
      <c r="AB128" s="76"/>
      <c r="AC128" s="76"/>
      <c r="AD128" s="76"/>
      <c r="AE128" s="76"/>
      <c r="AF128" s="76"/>
      <c r="AG128" s="76"/>
      <c r="AH128" s="76"/>
      <c r="AI128" s="76"/>
      <c r="AJ128" s="76"/>
    </row>
    <row r="129" spans="1:36" ht="19.5" customHeight="1" x14ac:dyDescent="0.3">
      <c r="A129" s="76"/>
      <c r="B129" s="173"/>
      <c r="C129" s="181"/>
      <c r="D129" s="162"/>
      <c r="E129" s="175"/>
      <c r="F129" s="116"/>
      <c r="G129" s="116"/>
      <c r="H129" s="163"/>
      <c r="I129" s="151"/>
      <c r="J129" s="127"/>
      <c r="K129" s="162"/>
      <c r="L129" s="162"/>
      <c r="M129" s="162"/>
      <c r="N129" s="164"/>
      <c r="O129" s="165"/>
      <c r="P129" s="165"/>
      <c r="Q129" s="165"/>
      <c r="R129" s="166"/>
      <c r="S129" s="83"/>
      <c r="T129" s="155"/>
      <c r="U129" s="76"/>
      <c r="V129" s="76"/>
      <c r="W129" s="76"/>
      <c r="X129" s="76"/>
      <c r="Y129" s="76"/>
      <c r="Z129" s="76"/>
      <c r="AA129" s="76"/>
      <c r="AB129" s="76"/>
      <c r="AC129" s="76"/>
      <c r="AD129" s="76"/>
      <c r="AE129" s="76"/>
      <c r="AF129" s="76"/>
      <c r="AG129" s="76"/>
      <c r="AH129" s="76"/>
      <c r="AI129" s="76"/>
      <c r="AJ129" s="76"/>
    </row>
    <row r="130" spans="1:36" ht="19.5" customHeight="1" x14ac:dyDescent="0.3">
      <c r="A130" s="76"/>
      <c r="B130" s="182"/>
      <c r="C130" s="182"/>
      <c r="D130" s="162"/>
      <c r="E130" s="182"/>
      <c r="F130" s="116"/>
      <c r="G130" s="116"/>
      <c r="H130" s="163"/>
      <c r="I130" s="151"/>
      <c r="J130" s="127"/>
      <c r="K130" s="162"/>
      <c r="L130" s="162"/>
      <c r="M130" s="162"/>
      <c r="N130" s="164"/>
      <c r="O130" s="165"/>
      <c r="P130" s="165"/>
      <c r="Q130" s="165"/>
      <c r="R130" s="166"/>
      <c r="S130" s="83"/>
      <c r="T130" s="155"/>
      <c r="U130" s="76"/>
      <c r="V130" s="76"/>
      <c r="W130" s="76"/>
      <c r="X130" s="76"/>
      <c r="Y130" s="76"/>
      <c r="Z130" s="76"/>
      <c r="AA130" s="76"/>
      <c r="AB130" s="76"/>
      <c r="AC130" s="76"/>
      <c r="AD130" s="76"/>
      <c r="AE130" s="76"/>
      <c r="AF130" s="76"/>
      <c r="AG130" s="76"/>
      <c r="AH130" s="76"/>
      <c r="AI130" s="76"/>
      <c r="AJ130" s="76"/>
    </row>
    <row r="131" spans="1:36" ht="19.5" customHeight="1" x14ac:dyDescent="0.3">
      <c r="A131" s="76"/>
      <c r="B131" s="182"/>
      <c r="C131" s="182"/>
      <c r="D131" s="162"/>
      <c r="E131" s="182"/>
      <c r="F131" s="116"/>
      <c r="G131" s="116"/>
      <c r="H131" s="163"/>
      <c r="I131" s="151"/>
      <c r="J131" s="127"/>
      <c r="K131" s="162"/>
      <c r="L131" s="162"/>
      <c r="M131" s="162"/>
      <c r="N131" s="164"/>
      <c r="O131" s="165"/>
      <c r="P131" s="165"/>
      <c r="Q131" s="165"/>
      <c r="R131" s="166"/>
      <c r="S131" s="83"/>
      <c r="T131" s="155"/>
      <c r="U131" s="76"/>
      <c r="V131" s="76"/>
      <c r="W131" s="76"/>
      <c r="X131" s="76"/>
      <c r="Y131" s="76"/>
      <c r="Z131" s="76"/>
      <c r="AA131" s="76"/>
      <c r="AB131" s="76"/>
      <c r="AC131" s="76"/>
      <c r="AD131" s="76"/>
      <c r="AE131" s="76"/>
      <c r="AF131" s="76"/>
      <c r="AG131" s="76"/>
      <c r="AH131" s="76"/>
      <c r="AI131" s="76"/>
      <c r="AJ131" s="76"/>
    </row>
    <row r="132" spans="1:36" ht="19.5" customHeight="1" x14ac:dyDescent="0.3">
      <c r="A132" s="76"/>
      <c r="B132" s="183"/>
      <c r="C132" s="182"/>
      <c r="D132" s="162"/>
      <c r="E132" s="182"/>
      <c r="F132" s="116"/>
      <c r="G132" s="116"/>
      <c r="H132" s="163"/>
      <c r="I132" s="151"/>
      <c r="J132" s="127"/>
      <c r="K132" s="162"/>
      <c r="L132" s="162"/>
      <c r="M132" s="162"/>
      <c r="N132" s="164"/>
      <c r="O132" s="165"/>
      <c r="P132" s="165"/>
      <c r="Q132" s="165"/>
      <c r="R132" s="166"/>
      <c r="S132" s="83"/>
      <c r="T132" s="155"/>
      <c r="U132" s="76"/>
      <c r="V132" s="76"/>
      <c r="W132" s="76"/>
      <c r="X132" s="76"/>
      <c r="Y132" s="76"/>
      <c r="Z132" s="76"/>
      <c r="AA132" s="76"/>
      <c r="AB132" s="76"/>
      <c r="AC132" s="76"/>
      <c r="AD132" s="76"/>
      <c r="AE132" s="76"/>
      <c r="AF132" s="76"/>
      <c r="AG132" s="76"/>
      <c r="AH132" s="76"/>
      <c r="AI132" s="76"/>
      <c r="AJ132" s="76"/>
    </row>
    <row r="133" spans="1:36" ht="19.5" customHeight="1" x14ac:dyDescent="0.3">
      <c r="A133" s="76"/>
      <c r="B133" s="162"/>
      <c r="C133" s="162"/>
      <c r="D133" s="162"/>
      <c r="E133" s="163"/>
      <c r="F133" s="116"/>
      <c r="G133" s="163"/>
      <c r="H133" s="163"/>
      <c r="I133" s="151"/>
      <c r="J133" s="127"/>
      <c r="K133" s="162"/>
      <c r="L133" s="162"/>
      <c r="M133" s="162"/>
      <c r="N133" s="164"/>
      <c r="O133" s="165"/>
      <c r="P133" s="165"/>
      <c r="Q133" s="165"/>
      <c r="R133" s="166"/>
      <c r="S133" s="83"/>
      <c r="T133" s="155"/>
      <c r="U133" s="76"/>
      <c r="V133" s="76"/>
      <c r="W133" s="76"/>
      <c r="X133" s="76"/>
      <c r="Y133" s="76"/>
      <c r="Z133" s="76"/>
      <c r="AA133" s="76"/>
      <c r="AB133" s="76"/>
      <c r="AC133" s="76"/>
      <c r="AD133" s="76"/>
      <c r="AE133" s="76"/>
      <c r="AF133" s="76"/>
      <c r="AG133" s="76"/>
      <c r="AH133" s="76"/>
      <c r="AI133" s="76"/>
      <c r="AJ133" s="76"/>
    </row>
    <row r="134" spans="1:36" s="148" customFormat="1" ht="19.5" customHeight="1" x14ac:dyDescent="0.3">
      <c r="A134" s="138"/>
      <c r="B134" s="139"/>
      <c r="C134" s="139"/>
      <c r="D134" s="143"/>
      <c r="E134" s="158"/>
      <c r="F134" s="158"/>
      <c r="G134" s="158"/>
      <c r="H134" s="158"/>
      <c r="I134" s="142"/>
      <c r="J134" s="143"/>
      <c r="K134" s="143"/>
      <c r="L134" s="143"/>
      <c r="M134" s="143"/>
      <c r="N134" s="159"/>
      <c r="O134" s="145"/>
      <c r="P134" s="145"/>
      <c r="Q134" s="145"/>
      <c r="R134" s="146"/>
      <c r="S134" s="147"/>
      <c r="T134" s="155"/>
      <c r="U134" s="138"/>
      <c r="V134" s="138"/>
      <c r="W134" s="138"/>
      <c r="X134" s="138"/>
      <c r="Y134" s="138"/>
      <c r="Z134" s="138"/>
      <c r="AA134" s="138"/>
      <c r="AB134" s="138"/>
      <c r="AC134" s="138"/>
      <c r="AD134" s="138"/>
      <c r="AE134" s="138"/>
      <c r="AF134" s="138"/>
      <c r="AG134" s="138"/>
      <c r="AH134" s="138"/>
      <c r="AI134" s="138"/>
      <c r="AJ134" s="138"/>
    </row>
    <row r="135" spans="1:36" ht="19.5" customHeight="1" x14ac:dyDescent="0.3">
      <c r="A135" s="100"/>
      <c r="B135" s="184"/>
      <c r="C135" s="185"/>
      <c r="D135" s="186"/>
      <c r="E135" s="185"/>
      <c r="F135" s="116"/>
      <c r="G135" s="116"/>
      <c r="H135" s="163"/>
      <c r="I135" s="151"/>
      <c r="J135" s="118"/>
      <c r="K135" s="162"/>
      <c r="L135" s="162"/>
      <c r="M135" s="162"/>
      <c r="N135" s="164"/>
      <c r="O135" s="165"/>
      <c r="P135" s="165"/>
      <c r="Q135" s="165"/>
      <c r="R135" s="166"/>
      <c r="S135" s="121"/>
      <c r="T135" s="155"/>
      <c r="U135" s="100"/>
      <c r="V135" s="100"/>
      <c r="W135" s="100"/>
      <c r="X135" s="100"/>
      <c r="Y135" s="100"/>
      <c r="Z135" s="100"/>
      <c r="AA135" s="100"/>
      <c r="AB135" s="100"/>
      <c r="AC135" s="100"/>
      <c r="AD135" s="100"/>
      <c r="AE135" s="100"/>
      <c r="AF135" s="100"/>
      <c r="AG135" s="100"/>
      <c r="AH135" s="100"/>
      <c r="AI135" s="100"/>
      <c r="AJ135" s="100"/>
    </row>
    <row r="136" spans="1:36" ht="19.5" customHeight="1" x14ac:dyDescent="0.3">
      <c r="A136" s="100"/>
      <c r="B136" s="184"/>
      <c r="C136" s="185"/>
      <c r="D136" s="186"/>
      <c r="E136" s="185"/>
      <c r="F136" s="116"/>
      <c r="G136" s="116"/>
      <c r="H136" s="163"/>
      <c r="I136" s="151"/>
      <c r="J136" s="118"/>
      <c r="K136" s="162"/>
      <c r="L136" s="162"/>
      <c r="M136" s="162"/>
      <c r="N136" s="164"/>
      <c r="O136" s="165"/>
      <c r="P136" s="165"/>
      <c r="Q136" s="165"/>
      <c r="R136" s="166"/>
      <c r="S136" s="121"/>
      <c r="T136" s="155"/>
      <c r="U136" s="100"/>
      <c r="V136" s="100"/>
      <c r="W136" s="100"/>
      <c r="X136" s="100"/>
      <c r="Y136" s="100"/>
      <c r="Z136" s="100"/>
      <c r="AA136" s="100"/>
      <c r="AB136" s="100"/>
      <c r="AC136" s="100"/>
      <c r="AD136" s="100"/>
      <c r="AE136" s="100"/>
      <c r="AF136" s="100"/>
      <c r="AG136" s="100"/>
      <c r="AH136" s="100"/>
      <c r="AI136" s="100"/>
      <c r="AJ136" s="100"/>
    </row>
    <row r="137" spans="1:36" ht="19.5" customHeight="1" x14ac:dyDescent="0.3">
      <c r="A137" s="76"/>
      <c r="B137" s="181"/>
      <c r="C137" s="181"/>
      <c r="D137" s="162"/>
      <c r="E137" s="185"/>
      <c r="F137" s="116"/>
      <c r="G137" s="116"/>
      <c r="H137" s="163"/>
      <c r="I137" s="151"/>
      <c r="J137" s="127"/>
      <c r="K137" s="162"/>
      <c r="L137" s="162"/>
      <c r="M137" s="162"/>
      <c r="N137" s="164"/>
      <c r="O137" s="165"/>
      <c r="P137" s="165"/>
      <c r="Q137" s="165"/>
      <c r="R137" s="166"/>
      <c r="S137" s="83"/>
      <c r="T137" s="155"/>
      <c r="U137" s="76"/>
      <c r="V137" s="76"/>
      <c r="W137" s="76"/>
      <c r="X137" s="76"/>
      <c r="Y137" s="76"/>
      <c r="Z137" s="76"/>
      <c r="AA137" s="76"/>
      <c r="AB137" s="76"/>
      <c r="AC137" s="76"/>
      <c r="AD137" s="76"/>
      <c r="AE137" s="76"/>
      <c r="AF137" s="76"/>
      <c r="AG137" s="76"/>
      <c r="AH137" s="76"/>
      <c r="AI137" s="76"/>
      <c r="AJ137" s="76"/>
    </row>
    <row r="138" spans="1:36" ht="19.5" customHeight="1" x14ac:dyDescent="0.3">
      <c r="A138" s="76"/>
      <c r="B138" s="181"/>
      <c r="C138" s="181"/>
      <c r="D138" s="162"/>
      <c r="E138" s="187"/>
      <c r="F138" s="116"/>
      <c r="G138" s="116"/>
      <c r="H138" s="163"/>
      <c r="I138" s="151"/>
      <c r="J138" s="127"/>
      <c r="K138" s="162"/>
      <c r="L138" s="162"/>
      <c r="M138" s="162"/>
      <c r="N138" s="164"/>
      <c r="O138" s="165"/>
      <c r="P138" s="165"/>
      <c r="Q138" s="165"/>
      <c r="R138" s="166"/>
      <c r="S138" s="83"/>
      <c r="T138" s="155"/>
      <c r="U138" s="76"/>
      <c r="V138" s="76"/>
      <c r="W138" s="76"/>
      <c r="X138" s="76"/>
      <c r="Y138" s="76"/>
      <c r="Z138" s="76"/>
      <c r="AA138" s="76"/>
      <c r="AB138" s="76"/>
      <c r="AC138" s="76"/>
      <c r="AD138" s="76"/>
      <c r="AE138" s="76"/>
      <c r="AF138" s="76"/>
      <c r="AG138" s="76"/>
      <c r="AH138" s="76"/>
      <c r="AI138" s="76"/>
      <c r="AJ138" s="76"/>
    </row>
    <row r="139" spans="1:36" ht="19.5" customHeight="1" x14ac:dyDescent="0.3">
      <c r="A139" s="76"/>
      <c r="B139" s="181"/>
      <c r="C139" s="181"/>
      <c r="D139" s="162"/>
      <c r="E139" s="187"/>
      <c r="F139" s="116"/>
      <c r="G139" s="116"/>
      <c r="H139" s="163"/>
      <c r="I139" s="151"/>
      <c r="J139" s="127"/>
      <c r="K139" s="162"/>
      <c r="L139" s="162"/>
      <c r="M139" s="162"/>
      <c r="N139" s="164"/>
      <c r="O139" s="165"/>
      <c r="P139" s="165"/>
      <c r="Q139" s="165"/>
      <c r="R139" s="166"/>
      <c r="S139" s="83"/>
      <c r="T139" s="155"/>
      <c r="U139" s="76"/>
      <c r="V139" s="76"/>
      <c r="W139" s="76"/>
      <c r="X139" s="76"/>
      <c r="Y139" s="76"/>
      <c r="Z139" s="76"/>
      <c r="AA139" s="76"/>
      <c r="AB139" s="76"/>
      <c r="AC139" s="76"/>
      <c r="AD139" s="76"/>
      <c r="AE139" s="76"/>
      <c r="AF139" s="76"/>
      <c r="AG139" s="76"/>
      <c r="AH139" s="76"/>
      <c r="AI139" s="76"/>
      <c r="AJ139" s="76"/>
    </row>
    <row r="140" spans="1:36" ht="19.5" customHeight="1" x14ac:dyDescent="0.3">
      <c r="A140" s="76"/>
      <c r="B140" s="181"/>
      <c r="C140" s="181"/>
      <c r="D140" s="162"/>
      <c r="E140" s="187"/>
      <c r="F140" s="116"/>
      <c r="G140" s="116"/>
      <c r="H140" s="163"/>
      <c r="I140" s="151"/>
      <c r="J140" s="127"/>
      <c r="K140" s="162"/>
      <c r="L140" s="162"/>
      <c r="M140" s="162"/>
      <c r="N140" s="164"/>
      <c r="O140" s="165"/>
      <c r="P140" s="165"/>
      <c r="Q140" s="165"/>
      <c r="R140" s="166"/>
      <c r="S140" s="83"/>
      <c r="T140" s="155"/>
      <c r="U140" s="76"/>
      <c r="V140" s="76"/>
      <c r="W140" s="76"/>
      <c r="X140" s="76"/>
      <c r="Y140" s="76"/>
      <c r="Z140" s="76"/>
      <c r="AA140" s="76"/>
      <c r="AB140" s="76"/>
      <c r="AC140" s="76"/>
      <c r="AD140" s="76"/>
      <c r="AE140" s="76"/>
      <c r="AF140" s="76"/>
      <c r="AG140" s="76"/>
      <c r="AH140" s="76"/>
      <c r="AI140" s="76"/>
      <c r="AJ140" s="76"/>
    </row>
    <row r="141" spans="1:36" ht="19.5" customHeight="1" x14ac:dyDescent="0.3">
      <c r="A141" s="76"/>
      <c r="B141" s="181"/>
      <c r="C141" s="181"/>
      <c r="D141" s="162"/>
      <c r="E141" s="185"/>
      <c r="F141" s="116"/>
      <c r="G141" s="116"/>
      <c r="H141" s="163"/>
      <c r="I141" s="151"/>
      <c r="J141" s="127"/>
      <c r="K141" s="162"/>
      <c r="L141" s="162"/>
      <c r="M141" s="162"/>
      <c r="N141" s="164"/>
      <c r="O141" s="165"/>
      <c r="P141" s="165"/>
      <c r="Q141" s="165"/>
      <c r="R141" s="166"/>
      <c r="S141" s="83"/>
      <c r="T141" s="155"/>
      <c r="U141" s="76"/>
      <c r="V141" s="76"/>
      <c r="W141" s="76"/>
      <c r="X141" s="76"/>
      <c r="Y141" s="76"/>
      <c r="Z141" s="76"/>
      <c r="AA141" s="76"/>
      <c r="AB141" s="76"/>
      <c r="AC141" s="76"/>
      <c r="AD141" s="76"/>
      <c r="AE141" s="76"/>
      <c r="AF141" s="76"/>
      <c r="AG141" s="76"/>
      <c r="AH141" s="76"/>
      <c r="AI141" s="76"/>
      <c r="AJ141" s="76"/>
    </row>
    <row r="142" spans="1:36" ht="19.5" customHeight="1" x14ac:dyDescent="0.3">
      <c r="A142" s="76"/>
      <c r="B142" s="181"/>
      <c r="C142" s="181"/>
      <c r="D142" s="162"/>
      <c r="E142" s="185"/>
      <c r="F142" s="116"/>
      <c r="G142" s="116"/>
      <c r="H142" s="163"/>
      <c r="I142" s="151"/>
      <c r="J142" s="127"/>
      <c r="K142" s="162"/>
      <c r="L142" s="162"/>
      <c r="M142" s="162"/>
      <c r="N142" s="164"/>
      <c r="O142" s="165"/>
      <c r="P142" s="165"/>
      <c r="Q142" s="165"/>
      <c r="R142" s="166"/>
      <c r="S142" s="83"/>
      <c r="T142" s="155"/>
      <c r="U142" s="76"/>
      <c r="V142" s="76"/>
      <c r="W142" s="76"/>
      <c r="X142" s="76"/>
      <c r="Y142" s="76"/>
      <c r="Z142" s="76"/>
      <c r="AA142" s="76"/>
      <c r="AB142" s="76"/>
      <c r="AC142" s="76"/>
      <c r="AD142" s="76"/>
      <c r="AE142" s="76"/>
      <c r="AF142" s="76"/>
      <c r="AG142" s="76"/>
      <c r="AH142" s="76"/>
      <c r="AI142" s="76"/>
      <c r="AJ142" s="76"/>
    </row>
    <row r="143" spans="1:36" ht="19.5" customHeight="1" x14ac:dyDescent="0.3">
      <c r="A143" s="76"/>
      <c r="B143" s="162"/>
      <c r="C143" s="162"/>
      <c r="D143" s="162"/>
      <c r="E143" s="163"/>
      <c r="F143" s="116"/>
      <c r="G143" s="163"/>
      <c r="H143" s="163"/>
      <c r="I143" s="151"/>
      <c r="J143" s="127"/>
      <c r="K143" s="162"/>
      <c r="L143" s="162"/>
      <c r="M143" s="162"/>
      <c r="N143" s="164"/>
      <c r="O143" s="165"/>
      <c r="P143" s="165"/>
      <c r="Q143" s="165"/>
      <c r="R143" s="166"/>
      <c r="S143" s="83"/>
      <c r="T143" s="155"/>
      <c r="U143" s="76"/>
      <c r="V143" s="76"/>
      <c r="W143" s="76"/>
      <c r="X143" s="76"/>
      <c r="Y143" s="76"/>
      <c r="Z143" s="76"/>
      <c r="AA143" s="76"/>
      <c r="AB143" s="76"/>
      <c r="AC143" s="76"/>
      <c r="AD143" s="76"/>
      <c r="AE143" s="76"/>
      <c r="AF143" s="76"/>
      <c r="AG143" s="76"/>
      <c r="AH143" s="76"/>
      <c r="AI143" s="76"/>
      <c r="AJ143" s="76"/>
    </row>
    <row r="144" spans="1:36" s="148" customFormat="1" ht="19.5" customHeight="1" x14ac:dyDescent="0.3">
      <c r="A144" s="138"/>
      <c r="B144" s="139"/>
      <c r="C144" s="139"/>
      <c r="D144" s="143"/>
      <c r="E144" s="158"/>
      <c r="F144" s="158"/>
      <c r="G144" s="158"/>
      <c r="H144" s="158"/>
      <c r="I144" s="142"/>
      <c r="J144" s="143"/>
      <c r="K144" s="143"/>
      <c r="L144" s="143"/>
      <c r="M144" s="143"/>
      <c r="N144" s="159"/>
      <c r="O144" s="145"/>
      <c r="P144" s="145"/>
      <c r="Q144" s="145"/>
      <c r="R144" s="146"/>
      <c r="S144" s="147"/>
      <c r="T144" s="155"/>
      <c r="U144" s="138"/>
      <c r="V144" s="138"/>
      <c r="W144" s="138"/>
      <c r="X144" s="138"/>
      <c r="Y144" s="138"/>
      <c r="Z144" s="138"/>
      <c r="AA144" s="138"/>
      <c r="AB144" s="138"/>
      <c r="AC144" s="138"/>
      <c r="AD144" s="138"/>
      <c r="AE144" s="138"/>
      <c r="AF144" s="138"/>
      <c r="AG144" s="138"/>
      <c r="AH144" s="138"/>
      <c r="AI144" s="138"/>
      <c r="AJ144" s="138"/>
    </row>
    <row r="145" spans="1:36" s="189" customFormat="1" ht="19.5" customHeight="1" x14ac:dyDescent="0.3">
      <c r="A145" s="100"/>
      <c r="B145" s="173"/>
      <c r="C145" s="174"/>
      <c r="D145" s="188"/>
      <c r="E145" s="175"/>
      <c r="F145" s="116"/>
      <c r="G145" s="116"/>
      <c r="H145" s="163"/>
      <c r="I145" s="151"/>
      <c r="J145" s="118"/>
      <c r="K145" s="162"/>
      <c r="L145" s="162"/>
      <c r="M145" s="162"/>
      <c r="N145" s="164"/>
      <c r="O145" s="165"/>
      <c r="P145" s="165"/>
      <c r="Q145" s="165"/>
      <c r="R145" s="166"/>
      <c r="S145" s="121"/>
      <c r="T145" s="155"/>
      <c r="U145" s="100"/>
      <c r="V145" s="100"/>
      <c r="W145" s="100"/>
      <c r="X145" s="100"/>
      <c r="Y145" s="100"/>
      <c r="Z145" s="100"/>
      <c r="AA145" s="100"/>
      <c r="AB145" s="100"/>
      <c r="AC145" s="100"/>
      <c r="AD145" s="100"/>
      <c r="AE145" s="100"/>
      <c r="AF145" s="100"/>
      <c r="AG145" s="100"/>
      <c r="AH145" s="100"/>
      <c r="AI145" s="100"/>
      <c r="AJ145" s="100"/>
    </row>
    <row r="146" spans="1:36" s="189" customFormat="1" ht="19.5" customHeight="1" x14ac:dyDescent="0.3">
      <c r="A146" s="100"/>
      <c r="B146" s="173"/>
      <c r="C146" s="174"/>
      <c r="D146" s="188"/>
      <c r="E146" s="175"/>
      <c r="F146" s="116"/>
      <c r="G146" s="116"/>
      <c r="H146" s="163"/>
      <c r="I146" s="151"/>
      <c r="J146" s="118"/>
      <c r="K146" s="162"/>
      <c r="L146" s="162"/>
      <c r="M146" s="162"/>
      <c r="N146" s="164"/>
      <c r="O146" s="165"/>
      <c r="P146" s="165"/>
      <c r="Q146" s="165"/>
      <c r="R146" s="166"/>
      <c r="S146" s="121"/>
      <c r="T146" s="155"/>
      <c r="U146" s="76"/>
      <c r="V146" s="100"/>
      <c r="W146" s="100"/>
      <c r="X146" s="100"/>
      <c r="Y146" s="100"/>
      <c r="Z146" s="100"/>
      <c r="AA146" s="100"/>
      <c r="AB146" s="100"/>
      <c r="AC146" s="100"/>
      <c r="AD146" s="100"/>
      <c r="AE146" s="100"/>
      <c r="AF146" s="100"/>
      <c r="AG146" s="100"/>
      <c r="AH146" s="100"/>
      <c r="AI146" s="100"/>
      <c r="AJ146" s="100"/>
    </row>
    <row r="147" spans="1:36" s="189" customFormat="1" ht="19.5" customHeight="1" x14ac:dyDescent="0.3">
      <c r="A147" s="100"/>
      <c r="B147" s="173"/>
      <c r="C147" s="174"/>
      <c r="D147" s="188"/>
      <c r="E147" s="175"/>
      <c r="F147" s="116"/>
      <c r="G147" s="116"/>
      <c r="H147" s="163"/>
      <c r="I147" s="151"/>
      <c r="J147" s="118"/>
      <c r="K147" s="162"/>
      <c r="L147" s="162"/>
      <c r="M147" s="162"/>
      <c r="N147" s="164"/>
      <c r="O147" s="165"/>
      <c r="P147" s="165"/>
      <c r="Q147" s="165"/>
      <c r="R147" s="166"/>
      <c r="S147" s="121"/>
      <c r="T147" s="155"/>
      <c r="U147" s="100"/>
      <c r="V147" s="100"/>
      <c r="W147" s="100"/>
      <c r="X147" s="100"/>
      <c r="Y147" s="100"/>
      <c r="Z147" s="100"/>
      <c r="AA147" s="100"/>
      <c r="AB147" s="100"/>
      <c r="AC147" s="100"/>
      <c r="AD147" s="100"/>
      <c r="AE147" s="100"/>
      <c r="AF147" s="100"/>
      <c r="AG147" s="100"/>
      <c r="AH147" s="100"/>
      <c r="AI147" s="100"/>
      <c r="AJ147" s="100"/>
    </row>
    <row r="148" spans="1:36" s="189" customFormat="1" ht="19.5" customHeight="1" x14ac:dyDescent="0.3">
      <c r="A148" s="100"/>
      <c r="B148" s="173"/>
      <c r="C148" s="174"/>
      <c r="D148" s="188"/>
      <c r="E148" s="175"/>
      <c r="F148" s="116"/>
      <c r="G148" s="116"/>
      <c r="H148" s="163"/>
      <c r="I148" s="151"/>
      <c r="J148" s="118"/>
      <c r="K148" s="162"/>
      <c r="L148" s="162"/>
      <c r="M148" s="162"/>
      <c r="N148" s="164"/>
      <c r="O148" s="165"/>
      <c r="P148" s="165"/>
      <c r="Q148" s="165"/>
      <c r="R148" s="166"/>
      <c r="S148" s="121"/>
      <c r="T148" s="155"/>
      <c r="U148" s="100"/>
      <c r="V148" s="100"/>
      <c r="W148" s="100"/>
      <c r="X148" s="100"/>
      <c r="Y148" s="100"/>
      <c r="Z148" s="100"/>
      <c r="AA148" s="100"/>
      <c r="AB148" s="100"/>
      <c r="AC148" s="100"/>
      <c r="AD148" s="100"/>
      <c r="AE148" s="100"/>
      <c r="AF148" s="100"/>
      <c r="AG148" s="100"/>
      <c r="AH148" s="100"/>
      <c r="AI148" s="100"/>
      <c r="AJ148" s="100"/>
    </row>
    <row r="149" spans="1:36" s="189" customFormat="1" ht="19.5" customHeight="1" x14ac:dyDescent="0.3">
      <c r="A149" s="100"/>
      <c r="B149" s="173"/>
      <c r="C149" s="174"/>
      <c r="D149" s="188"/>
      <c r="E149" s="175"/>
      <c r="F149" s="116"/>
      <c r="G149" s="116"/>
      <c r="H149" s="163"/>
      <c r="I149" s="151"/>
      <c r="J149" s="118"/>
      <c r="K149" s="162"/>
      <c r="L149" s="162"/>
      <c r="M149" s="162"/>
      <c r="N149" s="164"/>
      <c r="O149" s="165"/>
      <c r="P149" s="165"/>
      <c r="Q149" s="165"/>
      <c r="R149" s="166"/>
      <c r="S149" s="121"/>
      <c r="T149" s="155"/>
      <c r="U149" s="100"/>
      <c r="V149" s="100"/>
      <c r="W149" s="100"/>
      <c r="X149" s="100"/>
      <c r="Y149" s="100"/>
      <c r="Z149" s="100"/>
      <c r="AA149" s="100"/>
      <c r="AB149" s="100"/>
      <c r="AC149" s="100"/>
      <c r="AD149" s="100"/>
      <c r="AE149" s="100"/>
      <c r="AF149" s="100"/>
      <c r="AG149" s="100"/>
      <c r="AH149" s="100"/>
      <c r="AI149" s="100"/>
      <c r="AJ149" s="100"/>
    </row>
    <row r="150" spans="1:36" s="189" customFormat="1" ht="19.5" customHeight="1" x14ac:dyDescent="0.3">
      <c r="A150" s="100"/>
      <c r="B150" s="173"/>
      <c r="C150" s="174"/>
      <c r="D150" s="188"/>
      <c r="E150" s="175"/>
      <c r="F150" s="116"/>
      <c r="G150" s="116"/>
      <c r="H150" s="163"/>
      <c r="I150" s="151"/>
      <c r="J150" s="118"/>
      <c r="K150" s="162"/>
      <c r="L150" s="162"/>
      <c r="M150" s="162"/>
      <c r="N150" s="164"/>
      <c r="O150" s="165"/>
      <c r="P150" s="165"/>
      <c r="Q150" s="165"/>
      <c r="R150" s="166"/>
      <c r="S150" s="121"/>
      <c r="T150" s="155"/>
      <c r="U150" s="100"/>
      <c r="V150" s="100"/>
      <c r="W150" s="100"/>
      <c r="X150" s="100"/>
      <c r="Y150" s="100"/>
      <c r="Z150" s="100"/>
      <c r="AA150" s="100"/>
      <c r="AB150" s="100"/>
      <c r="AC150" s="100"/>
      <c r="AD150" s="100"/>
      <c r="AE150" s="100"/>
      <c r="AF150" s="100"/>
      <c r="AG150" s="100"/>
      <c r="AH150" s="100"/>
      <c r="AI150" s="100"/>
      <c r="AJ150" s="100"/>
    </row>
    <row r="151" spans="1:36" s="189" customFormat="1" ht="19.5" customHeight="1" x14ac:dyDescent="0.3">
      <c r="A151" s="100"/>
      <c r="B151" s="173"/>
      <c r="C151" s="174"/>
      <c r="D151" s="188"/>
      <c r="E151" s="175"/>
      <c r="F151" s="116"/>
      <c r="G151" s="116"/>
      <c r="H151" s="163"/>
      <c r="I151" s="151"/>
      <c r="J151" s="118"/>
      <c r="K151" s="162"/>
      <c r="L151" s="162"/>
      <c r="M151" s="162"/>
      <c r="N151" s="164"/>
      <c r="O151" s="165"/>
      <c r="P151" s="165"/>
      <c r="Q151" s="165"/>
      <c r="R151" s="166"/>
      <c r="S151" s="121"/>
      <c r="T151" s="155"/>
      <c r="U151" s="100"/>
      <c r="V151" s="100"/>
      <c r="W151" s="100"/>
      <c r="X151" s="100"/>
      <c r="Y151" s="100"/>
      <c r="Z151" s="100"/>
      <c r="AA151" s="100"/>
      <c r="AB151" s="100"/>
      <c r="AC151" s="100"/>
      <c r="AD151" s="100"/>
      <c r="AE151" s="100"/>
      <c r="AF151" s="100"/>
      <c r="AG151" s="100"/>
      <c r="AH151" s="100"/>
      <c r="AI151" s="100"/>
      <c r="AJ151" s="100"/>
    </row>
    <row r="152" spans="1:36" s="189" customFormat="1" ht="19.5" customHeight="1" x14ac:dyDescent="0.3">
      <c r="A152" s="100"/>
      <c r="B152" s="173"/>
      <c r="C152" s="174"/>
      <c r="D152" s="188"/>
      <c r="E152" s="175"/>
      <c r="F152" s="116"/>
      <c r="G152" s="116"/>
      <c r="H152" s="163"/>
      <c r="I152" s="151"/>
      <c r="J152" s="118"/>
      <c r="K152" s="162"/>
      <c r="L152" s="162"/>
      <c r="M152" s="162"/>
      <c r="N152" s="164"/>
      <c r="O152" s="165"/>
      <c r="P152" s="165"/>
      <c r="Q152" s="165"/>
      <c r="R152" s="166"/>
      <c r="S152" s="121"/>
      <c r="T152" s="155"/>
      <c r="U152" s="100"/>
      <c r="V152" s="100"/>
      <c r="W152" s="100"/>
      <c r="X152" s="100"/>
      <c r="Y152" s="100"/>
      <c r="Z152" s="100"/>
      <c r="AA152" s="100"/>
      <c r="AB152" s="100"/>
      <c r="AC152" s="100"/>
      <c r="AD152" s="100"/>
      <c r="AE152" s="100"/>
      <c r="AF152" s="100"/>
      <c r="AG152" s="100"/>
      <c r="AH152" s="100"/>
      <c r="AI152" s="100"/>
      <c r="AJ152" s="100"/>
    </row>
    <row r="153" spans="1:36" s="189" customFormat="1" ht="19.5" customHeight="1" x14ac:dyDescent="0.3">
      <c r="A153" s="100"/>
      <c r="B153" s="173"/>
      <c r="C153" s="174"/>
      <c r="D153" s="188"/>
      <c r="E153" s="175"/>
      <c r="F153" s="116"/>
      <c r="G153" s="116"/>
      <c r="H153" s="163"/>
      <c r="I153" s="151"/>
      <c r="J153" s="118"/>
      <c r="K153" s="162"/>
      <c r="L153" s="162"/>
      <c r="M153" s="162"/>
      <c r="N153" s="164"/>
      <c r="O153" s="165"/>
      <c r="P153" s="165"/>
      <c r="Q153" s="165"/>
      <c r="R153" s="166"/>
      <c r="S153" s="121"/>
      <c r="T153" s="155"/>
      <c r="U153" s="100"/>
      <c r="V153" s="100"/>
      <c r="W153" s="100"/>
      <c r="X153" s="100"/>
      <c r="Y153" s="100"/>
      <c r="Z153" s="100"/>
      <c r="AA153" s="100"/>
      <c r="AB153" s="100"/>
      <c r="AC153" s="100"/>
      <c r="AD153" s="100"/>
      <c r="AE153" s="100"/>
      <c r="AF153" s="100"/>
      <c r="AG153" s="100"/>
      <c r="AH153" s="100"/>
      <c r="AI153" s="100"/>
      <c r="AJ153" s="100"/>
    </row>
    <row r="154" spans="1:36" s="189" customFormat="1" ht="19.5" customHeight="1" x14ac:dyDescent="0.3">
      <c r="A154" s="100"/>
      <c r="B154" s="173"/>
      <c r="C154" s="174"/>
      <c r="D154" s="188"/>
      <c r="E154" s="175"/>
      <c r="F154" s="116"/>
      <c r="G154" s="116"/>
      <c r="H154" s="163"/>
      <c r="I154" s="151"/>
      <c r="J154" s="118"/>
      <c r="K154" s="162"/>
      <c r="L154" s="162"/>
      <c r="M154" s="162"/>
      <c r="N154" s="164"/>
      <c r="O154" s="165"/>
      <c r="P154" s="165"/>
      <c r="Q154" s="165"/>
      <c r="R154" s="166"/>
      <c r="S154" s="121"/>
      <c r="T154" s="155"/>
      <c r="U154" s="100"/>
      <c r="V154" s="100"/>
      <c r="W154" s="100"/>
      <c r="X154" s="100"/>
      <c r="Y154" s="100"/>
      <c r="Z154" s="100"/>
      <c r="AA154" s="100"/>
      <c r="AB154" s="100"/>
      <c r="AC154" s="100"/>
      <c r="AD154" s="100"/>
      <c r="AE154" s="100"/>
      <c r="AF154" s="100"/>
      <c r="AG154" s="100"/>
      <c r="AH154" s="100"/>
      <c r="AI154" s="100"/>
      <c r="AJ154" s="100"/>
    </row>
    <row r="155" spans="1:36" s="189" customFormat="1" ht="19.5" customHeight="1" x14ac:dyDescent="0.3">
      <c r="A155" s="100"/>
      <c r="B155" s="173"/>
      <c r="C155" s="174"/>
      <c r="D155" s="188"/>
      <c r="E155" s="175"/>
      <c r="F155" s="116"/>
      <c r="G155" s="116"/>
      <c r="H155" s="163"/>
      <c r="I155" s="151"/>
      <c r="J155" s="118"/>
      <c r="K155" s="162"/>
      <c r="L155" s="162"/>
      <c r="M155" s="162"/>
      <c r="N155" s="164"/>
      <c r="O155" s="165"/>
      <c r="P155" s="165"/>
      <c r="Q155" s="165"/>
      <c r="R155" s="166"/>
      <c r="S155" s="121"/>
      <c r="T155" s="155"/>
      <c r="U155" s="100"/>
      <c r="V155" s="100"/>
      <c r="W155" s="100"/>
      <c r="X155" s="100"/>
      <c r="Y155" s="100"/>
      <c r="Z155" s="100"/>
      <c r="AA155" s="100"/>
      <c r="AB155" s="100"/>
      <c r="AC155" s="100"/>
      <c r="AD155" s="100"/>
      <c r="AE155" s="100"/>
      <c r="AF155" s="100"/>
      <c r="AG155" s="100"/>
      <c r="AH155" s="100"/>
      <c r="AI155" s="100"/>
      <c r="AJ155" s="100"/>
    </row>
    <row r="156" spans="1:36" s="189" customFormat="1" ht="19.5" customHeight="1" x14ac:dyDescent="0.3">
      <c r="A156" s="100"/>
      <c r="B156" s="173"/>
      <c r="C156" s="174"/>
      <c r="D156" s="188"/>
      <c r="E156" s="175"/>
      <c r="F156" s="116"/>
      <c r="G156" s="116"/>
      <c r="H156" s="163"/>
      <c r="I156" s="151"/>
      <c r="J156" s="118"/>
      <c r="K156" s="162"/>
      <c r="L156" s="162"/>
      <c r="M156" s="162"/>
      <c r="N156" s="164"/>
      <c r="O156" s="165"/>
      <c r="P156" s="165"/>
      <c r="Q156" s="165"/>
      <c r="R156" s="166"/>
      <c r="S156" s="121"/>
      <c r="T156" s="155"/>
      <c r="U156" s="100"/>
      <c r="V156" s="100"/>
      <c r="W156" s="100"/>
      <c r="X156" s="100"/>
      <c r="Y156" s="100"/>
      <c r="Z156" s="100"/>
      <c r="AA156" s="100"/>
      <c r="AB156" s="100"/>
      <c r="AC156" s="100"/>
      <c r="AD156" s="100"/>
      <c r="AE156" s="100"/>
      <c r="AF156" s="100"/>
      <c r="AG156" s="100"/>
      <c r="AH156" s="100"/>
      <c r="AI156" s="100"/>
      <c r="AJ156" s="100"/>
    </row>
    <row r="157" spans="1:36" s="189" customFormat="1" ht="19.5" customHeight="1" x14ac:dyDescent="0.3">
      <c r="A157" s="100"/>
      <c r="B157" s="173"/>
      <c r="C157" s="174"/>
      <c r="D157" s="188"/>
      <c r="E157" s="175"/>
      <c r="F157" s="116"/>
      <c r="G157" s="116"/>
      <c r="H157" s="163"/>
      <c r="I157" s="151"/>
      <c r="J157" s="118"/>
      <c r="K157" s="162"/>
      <c r="L157" s="162"/>
      <c r="M157" s="162"/>
      <c r="N157" s="164"/>
      <c r="O157" s="165"/>
      <c r="P157" s="165"/>
      <c r="Q157" s="165"/>
      <c r="R157" s="166"/>
      <c r="S157" s="121"/>
      <c r="T157" s="155"/>
      <c r="U157" s="100"/>
      <c r="V157" s="100"/>
      <c r="W157" s="100"/>
      <c r="X157" s="100"/>
      <c r="Y157" s="100"/>
      <c r="Z157" s="100"/>
      <c r="AA157" s="100"/>
      <c r="AB157" s="100"/>
      <c r="AC157" s="100"/>
      <c r="AD157" s="100"/>
      <c r="AE157" s="100"/>
      <c r="AF157" s="100"/>
      <c r="AG157" s="100"/>
      <c r="AH157" s="100"/>
      <c r="AI157" s="100"/>
      <c r="AJ157" s="100"/>
    </row>
    <row r="158" spans="1:36" s="189" customFormat="1" ht="19.5" customHeight="1" x14ac:dyDescent="0.3">
      <c r="A158" s="100"/>
      <c r="B158" s="173"/>
      <c r="C158" s="174"/>
      <c r="D158" s="188"/>
      <c r="E158" s="175"/>
      <c r="F158" s="116"/>
      <c r="G158" s="116"/>
      <c r="H158" s="163"/>
      <c r="I158" s="151"/>
      <c r="J158" s="118"/>
      <c r="K158" s="162"/>
      <c r="L158" s="162"/>
      <c r="M158" s="162"/>
      <c r="N158" s="164"/>
      <c r="O158" s="165"/>
      <c r="P158" s="165"/>
      <c r="Q158" s="165"/>
      <c r="R158" s="166"/>
      <c r="S158" s="121"/>
      <c r="T158" s="155"/>
      <c r="U158" s="100"/>
      <c r="V158" s="100"/>
      <c r="W158" s="100"/>
      <c r="X158" s="100"/>
      <c r="Y158" s="100"/>
      <c r="Z158" s="100"/>
      <c r="AA158" s="100"/>
      <c r="AB158" s="100"/>
      <c r="AC158" s="100"/>
      <c r="AD158" s="100"/>
      <c r="AE158" s="100"/>
      <c r="AF158" s="100"/>
      <c r="AG158" s="100"/>
      <c r="AH158" s="100"/>
      <c r="AI158" s="100"/>
      <c r="AJ158" s="100"/>
    </row>
    <row r="159" spans="1:36" s="189" customFormat="1" ht="19.5" customHeight="1" x14ac:dyDescent="0.3">
      <c r="A159" s="100"/>
      <c r="B159" s="173"/>
      <c r="C159" s="174"/>
      <c r="D159" s="188"/>
      <c r="E159" s="175"/>
      <c r="F159" s="116"/>
      <c r="G159" s="116"/>
      <c r="H159" s="163"/>
      <c r="I159" s="151"/>
      <c r="J159" s="118"/>
      <c r="K159" s="162"/>
      <c r="L159" s="162"/>
      <c r="M159" s="162"/>
      <c r="N159" s="164"/>
      <c r="O159" s="165"/>
      <c r="P159" s="165"/>
      <c r="Q159" s="165"/>
      <c r="R159" s="166"/>
      <c r="S159" s="121"/>
      <c r="T159" s="155"/>
      <c r="U159" s="100"/>
      <c r="V159" s="100"/>
      <c r="W159" s="100"/>
      <c r="X159" s="100"/>
      <c r="Y159" s="100"/>
      <c r="Z159" s="100"/>
      <c r="AA159" s="100"/>
      <c r="AB159" s="100"/>
      <c r="AC159" s="100"/>
      <c r="AD159" s="100"/>
      <c r="AE159" s="100"/>
      <c r="AF159" s="100"/>
      <c r="AG159" s="100"/>
      <c r="AH159" s="100"/>
      <c r="AI159" s="100"/>
      <c r="AJ159" s="100"/>
    </row>
    <row r="160" spans="1:36" s="189" customFormat="1" ht="19.5" customHeight="1" x14ac:dyDescent="0.3">
      <c r="A160" s="100"/>
      <c r="B160" s="173"/>
      <c r="C160" s="174"/>
      <c r="D160" s="188"/>
      <c r="E160" s="175"/>
      <c r="F160" s="116"/>
      <c r="G160" s="116"/>
      <c r="H160" s="163"/>
      <c r="I160" s="151"/>
      <c r="J160" s="118"/>
      <c r="K160" s="162"/>
      <c r="L160" s="162"/>
      <c r="M160" s="162"/>
      <c r="N160" s="164"/>
      <c r="O160" s="165"/>
      <c r="P160" s="165"/>
      <c r="Q160" s="165"/>
      <c r="R160" s="166"/>
      <c r="S160" s="121"/>
      <c r="T160" s="155"/>
      <c r="U160" s="100"/>
      <c r="V160" s="100"/>
      <c r="W160" s="100"/>
      <c r="X160" s="100"/>
      <c r="Y160" s="100"/>
      <c r="Z160" s="100"/>
      <c r="AA160" s="100"/>
      <c r="AB160" s="100"/>
      <c r="AC160" s="100"/>
      <c r="AD160" s="100"/>
      <c r="AE160" s="100"/>
      <c r="AF160" s="100"/>
      <c r="AG160" s="100"/>
      <c r="AH160" s="100"/>
      <c r="AI160" s="100"/>
      <c r="AJ160" s="100"/>
    </row>
    <row r="161" spans="1:36" s="189" customFormat="1" ht="19.5" customHeight="1" x14ac:dyDescent="0.3">
      <c r="A161" s="100"/>
      <c r="B161" s="173"/>
      <c r="C161" s="174"/>
      <c r="D161" s="188"/>
      <c r="E161" s="175"/>
      <c r="F161" s="116"/>
      <c r="G161" s="116"/>
      <c r="H161" s="163"/>
      <c r="I161" s="151"/>
      <c r="J161" s="118"/>
      <c r="K161" s="162"/>
      <c r="L161" s="162"/>
      <c r="M161" s="162"/>
      <c r="N161" s="164"/>
      <c r="O161" s="165"/>
      <c r="P161" s="165"/>
      <c r="Q161" s="165"/>
      <c r="R161" s="166"/>
      <c r="S161" s="121"/>
      <c r="T161" s="155"/>
      <c r="U161" s="100"/>
      <c r="V161" s="100"/>
      <c r="W161" s="100"/>
      <c r="X161" s="100"/>
      <c r="Y161" s="100"/>
      <c r="Z161" s="100"/>
      <c r="AA161" s="100"/>
      <c r="AB161" s="100"/>
      <c r="AC161" s="100"/>
      <c r="AD161" s="100"/>
      <c r="AE161" s="100"/>
      <c r="AF161" s="100"/>
      <c r="AG161" s="100"/>
      <c r="AH161" s="100"/>
      <c r="AI161" s="100"/>
      <c r="AJ161" s="100"/>
    </row>
    <row r="162" spans="1:36" s="189" customFormat="1" ht="19.5" customHeight="1" x14ac:dyDescent="0.3">
      <c r="A162" s="100"/>
      <c r="B162" s="173"/>
      <c r="C162" s="174"/>
      <c r="D162" s="188"/>
      <c r="E162" s="175"/>
      <c r="F162" s="116"/>
      <c r="G162" s="116"/>
      <c r="H162" s="163"/>
      <c r="I162" s="151"/>
      <c r="J162" s="118"/>
      <c r="K162" s="162"/>
      <c r="L162" s="162"/>
      <c r="M162" s="162"/>
      <c r="N162" s="164"/>
      <c r="O162" s="165"/>
      <c r="P162" s="165"/>
      <c r="Q162" s="165"/>
      <c r="R162" s="166"/>
      <c r="S162" s="121"/>
      <c r="T162" s="155"/>
      <c r="U162" s="100"/>
      <c r="V162" s="100"/>
      <c r="W162" s="100"/>
      <c r="X162" s="100"/>
      <c r="Y162" s="100"/>
      <c r="Z162" s="100"/>
      <c r="AA162" s="100"/>
      <c r="AB162" s="100"/>
      <c r="AC162" s="100"/>
      <c r="AD162" s="100"/>
      <c r="AE162" s="100"/>
      <c r="AF162" s="100"/>
      <c r="AG162" s="100"/>
      <c r="AH162" s="100"/>
      <c r="AI162" s="100"/>
      <c r="AJ162" s="100"/>
    </row>
    <row r="163" spans="1:36" s="189" customFormat="1" ht="19.5" customHeight="1" x14ac:dyDescent="0.3">
      <c r="A163" s="100"/>
      <c r="B163" s="176"/>
      <c r="C163" s="174"/>
      <c r="D163" s="188"/>
      <c r="E163" s="174"/>
      <c r="F163" s="116"/>
      <c r="G163" s="163"/>
      <c r="H163" s="163"/>
      <c r="I163" s="151"/>
      <c r="J163" s="118"/>
      <c r="K163" s="162"/>
      <c r="L163" s="162"/>
      <c r="M163" s="162"/>
      <c r="N163" s="164"/>
      <c r="O163" s="165"/>
      <c r="P163" s="165"/>
      <c r="Q163" s="165"/>
      <c r="R163" s="166"/>
      <c r="S163" s="121"/>
      <c r="T163" s="155"/>
      <c r="U163" s="100"/>
      <c r="V163" s="100"/>
      <c r="W163" s="100"/>
      <c r="X163" s="100"/>
      <c r="Y163" s="100"/>
      <c r="Z163" s="100"/>
      <c r="AA163" s="100"/>
      <c r="AB163" s="100"/>
      <c r="AC163" s="100"/>
      <c r="AD163" s="100"/>
      <c r="AE163" s="100"/>
      <c r="AF163" s="100"/>
      <c r="AG163" s="100"/>
      <c r="AH163" s="100"/>
      <c r="AI163" s="100"/>
      <c r="AJ163" s="100"/>
    </row>
    <row r="164" spans="1:36" s="189" customFormat="1" ht="19.5" customHeight="1" x14ac:dyDescent="0.3">
      <c r="A164" s="100"/>
      <c r="B164" s="176"/>
      <c r="C164" s="174"/>
      <c r="D164" s="188"/>
      <c r="E164" s="174"/>
      <c r="F164" s="116"/>
      <c r="G164" s="163"/>
      <c r="H164" s="163"/>
      <c r="I164" s="151"/>
      <c r="J164" s="118"/>
      <c r="K164" s="162"/>
      <c r="L164" s="162"/>
      <c r="M164" s="162"/>
      <c r="N164" s="164"/>
      <c r="O164" s="165"/>
      <c r="P164" s="165"/>
      <c r="Q164" s="165"/>
      <c r="R164" s="166"/>
      <c r="S164" s="121"/>
      <c r="T164" s="155"/>
      <c r="U164" s="100"/>
      <c r="V164" s="100"/>
      <c r="W164" s="100"/>
      <c r="X164" s="100"/>
      <c r="Y164" s="100"/>
      <c r="Z164" s="100"/>
      <c r="AA164" s="100"/>
      <c r="AB164" s="100"/>
      <c r="AC164" s="100"/>
      <c r="AD164" s="100"/>
      <c r="AE164" s="100"/>
      <c r="AF164" s="100"/>
      <c r="AG164" s="100"/>
      <c r="AH164" s="100"/>
      <c r="AI164" s="100"/>
      <c r="AJ164" s="100"/>
    </row>
    <row r="165" spans="1:36" s="189" customFormat="1" ht="19.5" customHeight="1" x14ac:dyDescent="0.3">
      <c r="A165" s="100"/>
      <c r="B165" s="176"/>
      <c r="C165" s="174"/>
      <c r="D165" s="188"/>
      <c r="E165" s="174"/>
      <c r="F165" s="116"/>
      <c r="G165" s="163"/>
      <c r="H165" s="163"/>
      <c r="I165" s="151"/>
      <c r="J165" s="118"/>
      <c r="K165" s="162"/>
      <c r="L165" s="162"/>
      <c r="M165" s="162"/>
      <c r="N165" s="164"/>
      <c r="O165" s="165"/>
      <c r="P165" s="165"/>
      <c r="Q165" s="165"/>
      <c r="R165" s="166"/>
      <c r="S165" s="121"/>
      <c r="T165" s="155"/>
      <c r="U165" s="100"/>
      <c r="V165" s="100"/>
      <c r="W165" s="100"/>
      <c r="X165" s="100"/>
      <c r="Y165" s="100"/>
      <c r="Z165" s="100"/>
      <c r="AA165" s="100"/>
      <c r="AB165" s="100"/>
      <c r="AC165" s="100"/>
      <c r="AD165" s="100"/>
      <c r="AE165" s="100"/>
      <c r="AF165" s="100"/>
      <c r="AG165" s="100"/>
      <c r="AH165" s="100"/>
      <c r="AI165" s="100"/>
      <c r="AJ165" s="100"/>
    </row>
    <row r="166" spans="1:36" s="189" customFormat="1" ht="19.5" customHeight="1" x14ac:dyDescent="0.3">
      <c r="A166" s="100"/>
      <c r="B166" s="176"/>
      <c r="C166" s="174"/>
      <c r="D166" s="188"/>
      <c r="E166" s="174"/>
      <c r="F166" s="116"/>
      <c r="G166" s="163"/>
      <c r="H166" s="163"/>
      <c r="I166" s="151"/>
      <c r="J166" s="118"/>
      <c r="K166" s="162"/>
      <c r="L166" s="162"/>
      <c r="M166" s="162"/>
      <c r="N166" s="164"/>
      <c r="O166" s="165"/>
      <c r="P166" s="165"/>
      <c r="Q166" s="165"/>
      <c r="R166" s="166"/>
      <c r="S166" s="121"/>
      <c r="T166" s="155"/>
      <c r="U166" s="100"/>
      <c r="V166" s="100"/>
      <c r="W166" s="100"/>
      <c r="X166" s="100"/>
      <c r="Y166" s="100"/>
      <c r="Z166" s="100"/>
      <c r="AA166" s="100"/>
      <c r="AB166" s="100"/>
      <c r="AC166" s="100"/>
      <c r="AD166" s="100"/>
      <c r="AE166" s="100"/>
      <c r="AF166" s="100"/>
      <c r="AG166" s="100"/>
      <c r="AH166" s="100"/>
      <c r="AI166" s="100"/>
      <c r="AJ166" s="100"/>
    </row>
    <row r="167" spans="1:36" s="189" customFormat="1" ht="19.5" customHeight="1" x14ac:dyDescent="0.3">
      <c r="A167" s="100"/>
      <c r="B167" s="176"/>
      <c r="C167" s="190"/>
      <c r="D167" s="188"/>
      <c r="E167" s="174"/>
      <c r="F167" s="116"/>
      <c r="G167" s="163"/>
      <c r="H167" s="163"/>
      <c r="I167" s="151"/>
      <c r="J167" s="118"/>
      <c r="K167" s="162"/>
      <c r="L167" s="162"/>
      <c r="M167" s="162"/>
      <c r="N167" s="164"/>
      <c r="O167" s="165"/>
      <c r="P167" s="165"/>
      <c r="Q167" s="165"/>
      <c r="R167" s="166"/>
      <c r="S167" s="121"/>
      <c r="T167" s="155"/>
      <c r="U167" s="100"/>
      <c r="V167" s="100"/>
      <c r="W167" s="100"/>
      <c r="X167" s="100"/>
      <c r="Y167" s="100"/>
      <c r="Z167" s="100"/>
      <c r="AA167" s="100"/>
      <c r="AB167" s="100"/>
      <c r="AC167" s="100"/>
      <c r="AD167" s="100"/>
      <c r="AE167" s="100"/>
      <c r="AF167" s="100"/>
      <c r="AG167" s="100"/>
      <c r="AH167" s="100"/>
      <c r="AI167" s="100"/>
      <c r="AJ167" s="100"/>
    </row>
    <row r="168" spans="1:36" s="189" customFormat="1" ht="19.5" customHeight="1" x14ac:dyDescent="0.3">
      <c r="A168" s="100"/>
      <c r="B168" s="176"/>
      <c r="C168" s="190"/>
      <c r="D168" s="188"/>
      <c r="E168" s="174"/>
      <c r="F168" s="116"/>
      <c r="G168" s="163"/>
      <c r="H168" s="163"/>
      <c r="I168" s="151"/>
      <c r="J168" s="118"/>
      <c r="K168" s="162"/>
      <c r="L168" s="162"/>
      <c r="M168" s="162"/>
      <c r="N168" s="164"/>
      <c r="O168" s="165"/>
      <c r="P168" s="165"/>
      <c r="Q168" s="165"/>
      <c r="R168" s="166"/>
      <c r="S168" s="121"/>
      <c r="T168" s="155"/>
      <c r="U168" s="100"/>
      <c r="V168" s="100"/>
      <c r="W168" s="100"/>
      <c r="X168" s="100"/>
      <c r="Y168" s="100"/>
      <c r="Z168" s="100"/>
      <c r="AA168" s="100"/>
      <c r="AB168" s="100"/>
      <c r="AC168" s="100"/>
      <c r="AD168" s="100"/>
      <c r="AE168" s="100"/>
      <c r="AF168" s="100"/>
      <c r="AG168" s="100"/>
      <c r="AH168" s="100"/>
      <c r="AI168" s="100"/>
      <c r="AJ168" s="100"/>
    </row>
    <row r="169" spans="1:36" s="189" customFormat="1" ht="19.5" customHeight="1" x14ac:dyDescent="0.3">
      <c r="A169" s="100"/>
      <c r="B169" s="176"/>
      <c r="C169" s="191"/>
      <c r="D169" s="188"/>
      <c r="E169" s="174"/>
      <c r="F169" s="116"/>
      <c r="G169" s="163"/>
      <c r="H169" s="163"/>
      <c r="I169" s="151"/>
      <c r="J169" s="118"/>
      <c r="K169" s="162"/>
      <c r="L169" s="162"/>
      <c r="M169" s="162"/>
      <c r="N169" s="164"/>
      <c r="O169" s="165"/>
      <c r="P169" s="165"/>
      <c r="Q169" s="165"/>
      <c r="R169" s="166"/>
      <c r="S169" s="121"/>
      <c r="T169" s="155"/>
      <c r="U169" s="100"/>
      <c r="V169" s="100"/>
      <c r="W169" s="100"/>
      <c r="X169" s="100"/>
      <c r="Y169" s="100"/>
      <c r="Z169" s="100"/>
      <c r="AA169" s="100"/>
      <c r="AB169" s="100"/>
      <c r="AC169" s="100"/>
      <c r="AD169" s="100"/>
      <c r="AE169" s="100"/>
      <c r="AF169" s="100"/>
      <c r="AG169" s="100"/>
      <c r="AH169" s="100"/>
      <c r="AI169" s="100"/>
      <c r="AJ169" s="100"/>
    </row>
    <row r="170" spans="1:36" s="189" customFormat="1" ht="19.5" customHeight="1" x14ac:dyDescent="0.3">
      <c r="A170" s="100"/>
      <c r="B170" s="176"/>
      <c r="C170" s="174"/>
      <c r="D170" s="188"/>
      <c r="E170" s="174"/>
      <c r="F170" s="116"/>
      <c r="G170" s="163"/>
      <c r="H170" s="163"/>
      <c r="I170" s="151"/>
      <c r="J170" s="118"/>
      <c r="K170" s="162"/>
      <c r="L170" s="162"/>
      <c r="M170" s="162"/>
      <c r="N170" s="164"/>
      <c r="O170" s="165"/>
      <c r="P170" s="165"/>
      <c r="Q170" s="165"/>
      <c r="R170" s="166"/>
      <c r="S170" s="121"/>
      <c r="T170" s="155"/>
      <c r="U170" s="100"/>
      <c r="V170" s="100"/>
      <c r="W170" s="100"/>
      <c r="X170" s="100"/>
      <c r="Y170" s="100"/>
      <c r="Z170" s="100"/>
      <c r="AA170" s="100"/>
      <c r="AB170" s="100"/>
      <c r="AC170" s="100"/>
      <c r="AD170" s="100"/>
      <c r="AE170" s="100"/>
      <c r="AF170" s="100"/>
      <c r="AG170" s="100"/>
      <c r="AH170" s="100"/>
      <c r="AI170" s="100"/>
      <c r="AJ170" s="100"/>
    </row>
    <row r="171" spans="1:36" s="189" customFormat="1" ht="19.5" customHeight="1" x14ac:dyDescent="0.3">
      <c r="A171" s="100"/>
      <c r="B171" s="192"/>
      <c r="C171" s="192"/>
      <c r="D171" s="188"/>
      <c r="E171" s="192"/>
      <c r="F171" s="116"/>
      <c r="G171" s="163"/>
      <c r="H171" s="163"/>
      <c r="I171" s="151"/>
      <c r="J171" s="118"/>
      <c r="K171" s="162"/>
      <c r="L171" s="162"/>
      <c r="M171" s="162"/>
      <c r="N171" s="164"/>
      <c r="O171" s="165"/>
      <c r="P171" s="165"/>
      <c r="Q171" s="165"/>
      <c r="R171" s="166"/>
      <c r="S171" s="121"/>
      <c r="T171" s="155"/>
      <c r="U171" s="100"/>
      <c r="V171" s="100"/>
      <c r="W171" s="100"/>
      <c r="X171" s="100"/>
      <c r="Y171" s="100"/>
      <c r="Z171" s="100"/>
      <c r="AA171" s="100"/>
      <c r="AB171" s="100"/>
      <c r="AC171" s="100"/>
      <c r="AD171" s="100"/>
      <c r="AE171" s="100"/>
      <c r="AF171" s="100"/>
      <c r="AG171" s="100"/>
      <c r="AH171" s="100"/>
      <c r="AI171" s="100"/>
      <c r="AJ171" s="100"/>
    </row>
    <row r="172" spans="1:36" s="189" customFormat="1" ht="19.5" customHeight="1" x14ac:dyDescent="0.3">
      <c r="A172" s="100"/>
      <c r="B172" s="192"/>
      <c r="C172" s="192"/>
      <c r="D172" s="188"/>
      <c r="E172" s="192"/>
      <c r="F172" s="116"/>
      <c r="G172" s="163"/>
      <c r="H172" s="163"/>
      <c r="I172" s="151"/>
      <c r="J172" s="118"/>
      <c r="K172" s="162"/>
      <c r="L172" s="162"/>
      <c r="M172" s="162"/>
      <c r="N172" s="164"/>
      <c r="O172" s="165"/>
      <c r="P172" s="165"/>
      <c r="Q172" s="165"/>
      <c r="R172" s="166"/>
      <c r="S172" s="121"/>
      <c r="T172" s="155"/>
      <c r="U172" s="100"/>
      <c r="V172" s="100"/>
      <c r="W172" s="100"/>
      <c r="X172" s="100"/>
      <c r="Y172" s="100"/>
      <c r="Z172" s="100"/>
      <c r="AA172" s="100"/>
      <c r="AB172" s="100"/>
      <c r="AC172" s="100"/>
      <c r="AD172" s="100"/>
      <c r="AE172" s="100"/>
      <c r="AF172" s="100"/>
      <c r="AG172" s="100"/>
      <c r="AH172" s="100"/>
      <c r="AI172" s="100"/>
      <c r="AJ172" s="100"/>
    </row>
    <row r="173" spans="1:36" s="189" customFormat="1" ht="19.5" customHeight="1" x14ac:dyDescent="0.3">
      <c r="A173" s="100"/>
      <c r="B173" s="192"/>
      <c r="C173" s="192"/>
      <c r="D173" s="188"/>
      <c r="E173" s="192"/>
      <c r="F173" s="116"/>
      <c r="G173" s="163"/>
      <c r="H173" s="163"/>
      <c r="I173" s="151"/>
      <c r="J173" s="118"/>
      <c r="K173" s="162"/>
      <c r="L173" s="162"/>
      <c r="M173" s="162"/>
      <c r="N173" s="164"/>
      <c r="O173" s="165"/>
      <c r="P173" s="165"/>
      <c r="Q173" s="165"/>
      <c r="R173" s="166"/>
      <c r="S173" s="121"/>
      <c r="T173" s="155"/>
      <c r="U173" s="100"/>
      <c r="V173" s="100"/>
      <c r="W173" s="100"/>
      <c r="X173" s="100"/>
      <c r="Y173" s="100"/>
      <c r="Z173" s="100"/>
      <c r="AA173" s="100"/>
      <c r="AB173" s="100"/>
      <c r="AC173" s="100"/>
      <c r="AD173" s="100"/>
      <c r="AE173" s="100"/>
      <c r="AF173" s="100"/>
      <c r="AG173" s="100"/>
      <c r="AH173" s="100"/>
      <c r="AI173" s="100"/>
      <c r="AJ173" s="100"/>
    </row>
    <row r="174" spans="1:36" s="189" customFormat="1" ht="19.5" customHeight="1" x14ac:dyDescent="0.3">
      <c r="A174" s="100"/>
      <c r="B174" s="192"/>
      <c r="C174" s="192"/>
      <c r="D174" s="188"/>
      <c r="E174" s="192"/>
      <c r="F174" s="116"/>
      <c r="G174" s="163"/>
      <c r="H174" s="163"/>
      <c r="I174" s="151"/>
      <c r="J174" s="118"/>
      <c r="K174" s="162"/>
      <c r="L174" s="162"/>
      <c r="M174" s="162"/>
      <c r="N174" s="164"/>
      <c r="O174" s="165"/>
      <c r="P174" s="165"/>
      <c r="Q174" s="165"/>
      <c r="R174" s="166"/>
      <c r="S174" s="121"/>
      <c r="T174" s="155"/>
      <c r="U174" s="100"/>
      <c r="V174" s="100"/>
      <c r="W174" s="100"/>
      <c r="X174" s="100"/>
      <c r="Y174" s="100"/>
      <c r="Z174" s="100"/>
      <c r="AA174" s="100"/>
      <c r="AB174" s="100"/>
      <c r="AC174" s="100"/>
      <c r="AD174" s="100"/>
      <c r="AE174" s="100"/>
      <c r="AF174" s="100"/>
      <c r="AG174" s="100"/>
      <c r="AH174" s="100"/>
      <c r="AI174" s="100"/>
      <c r="AJ174" s="100"/>
    </row>
    <row r="175" spans="1:36" s="189" customFormat="1" ht="19.5" customHeight="1" x14ac:dyDescent="0.3">
      <c r="A175" s="100"/>
      <c r="B175" s="192"/>
      <c r="C175" s="192"/>
      <c r="D175" s="188"/>
      <c r="E175" s="193"/>
      <c r="F175" s="116"/>
      <c r="G175" s="163"/>
      <c r="H175" s="163"/>
      <c r="I175" s="151"/>
      <c r="J175" s="118"/>
      <c r="K175" s="162"/>
      <c r="L175" s="162"/>
      <c r="M175" s="162"/>
      <c r="N175" s="164"/>
      <c r="O175" s="165"/>
      <c r="P175" s="165"/>
      <c r="Q175" s="165"/>
      <c r="R175" s="166"/>
      <c r="S175" s="121"/>
      <c r="T175" s="155"/>
      <c r="U175" s="100"/>
      <c r="V175" s="100"/>
      <c r="W175" s="100"/>
      <c r="X175" s="100"/>
      <c r="Y175" s="100"/>
      <c r="Z175" s="100"/>
      <c r="AA175" s="100"/>
      <c r="AB175" s="100"/>
      <c r="AC175" s="100"/>
      <c r="AD175" s="100"/>
      <c r="AE175" s="100"/>
      <c r="AF175" s="100"/>
      <c r="AG175" s="100"/>
      <c r="AH175" s="100"/>
      <c r="AI175" s="100"/>
      <c r="AJ175" s="100"/>
    </row>
    <row r="176" spans="1:36" s="189" customFormat="1" ht="19.5" customHeight="1" x14ac:dyDescent="0.3">
      <c r="A176" s="100"/>
      <c r="B176" s="192"/>
      <c r="C176" s="192"/>
      <c r="D176" s="188"/>
      <c r="E176" s="193"/>
      <c r="F176" s="116"/>
      <c r="G176" s="163"/>
      <c r="H176" s="163"/>
      <c r="I176" s="151"/>
      <c r="J176" s="118"/>
      <c r="K176" s="162"/>
      <c r="L176" s="162"/>
      <c r="M176" s="162"/>
      <c r="N176" s="164"/>
      <c r="O176" s="165"/>
      <c r="P176" s="165"/>
      <c r="Q176" s="165"/>
      <c r="R176" s="166"/>
      <c r="S176" s="121"/>
      <c r="T176" s="155"/>
      <c r="U176" s="100"/>
      <c r="V176" s="100"/>
      <c r="W176" s="100"/>
      <c r="X176" s="100"/>
      <c r="Y176" s="100"/>
      <c r="Z176" s="100"/>
      <c r="AA176" s="100"/>
      <c r="AB176" s="100"/>
      <c r="AC176" s="100"/>
      <c r="AD176" s="100"/>
      <c r="AE176" s="100"/>
      <c r="AF176" s="100"/>
      <c r="AG176" s="100"/>
      <c r="AH176" s="100"/>
      <c r="AI176" s="100"/>
      <c r="AJ176" s="100"/>
    </row>
    <row r="177" spans="1:36" s="189" customFormat="1" ht="19.5" customHeight="1" x14ac:dyDescent="0.3">
      <c r="A177" s="100"/>
      <c r="B177" s="192"/>
      <c r="C177" s="192"/>
      <c r="D177" s="188"/>
      <c r="E177" s="193"/>
      <c r="F177" s="116"/>
      <c r="G177" s="163"/>
      <c r="H177" s="163"/>
      <c r="I177" s="151"/>
      <c r="J177" s="118"/>
      <c r="K177" s="162"/>
      <c r="L177" s="162"/>
      <c r="M177" s="162"/>
      <c r="N177" s="164"/>
      <c r="O177" s="165"/>
      <c r="P177" s="165"/>
      <c r="Q177" s="165"/>
      <c r="R177" s="166"/>
      <c r="S177" s="121"/>
      <c r="T177" s="155"/>
      <c r="U177" s="100"/>
      <c r="V177" s="100"/>
      <c r="W177" s="100"/>
      <c r="X177" s="100"/>
      <c r="Y177" s="100"/>
      <c r="Z177" s="100"/>
      <c r="AA177" s="100"/>
      <c r="AB177" s="100"/>
      <c r="AC177" s="100"/>
      <c r="AD177" s="100"/>
      <c r="AE177" s="100"/>
      <c r="AF177" s="100"/>
      <c r="AG177" s="100"/>
      <c r="AH177" s="100"/>
      <c r="AI177" s="100"/>
      <c r="AJ177" s="100"/>
    </row>
    <row r="178" spans="1:36" s="189" customFormat="1" ht="19.5" customHeight="1" x14ac:dyDescent="0.3">
      <c r="A178" s="100"/>
      <c r="B178" s="192"/>
      <c r="C178" s="192"/>
      <c r="D178" s="188"/>
      <c r="E178" s="193"/>
      <c r="F178" s="116"/>
      <c r="G178" s="163"/>
      <c r="H178" s="163"/>
      <c r="I178" s="151"/>
      <c r="J178" s="118"/>
      <c r="K178" s="162"/>
      <c r="L178" s="162"/>
      <c r="M178" s="162"/>
      <c r="N178" s="164"/>
      <c r="O178" s="165"/>
      <c r="P178" s="165"/>
      <c r="Q178" s="165"/>
      <c r="R178" s="166"/>
      <c r="S178" s="121"/>
      <c r="T178" s="155"/>
      <c r="U178" s="100"/>
      <c r="V178" s="100"/>
      <c r="W178" s="100"/>
      <c r="X178" s="100"/>
      <c r="Y178" s="100"/>
      <c r="Z178" s="100"/>
      <c r="AA178" s="100"/>
      <c r="AB178" s="100"/>
      <c r="AC178" s="100"/>
      <c r="AD178" s="100"/>
      <c r="AE178" s="100"/>
      <c r="AF178" s="100"/>
      <c r="AG178" s="100"/>
      <c r="AH178" s="100"/>
      <c r="AI178" s="100"/>
      <c r="AJ178" s="100"/>
    </row>
    <row r="179" spans="1:36" s="189" customFormat="1" ht="19.5" customHeight="1" x14ac:dyDescent="0.3">
      <c r="A179" s="100"/>
      <c r="B179" s="192"/>
      <c r="C179" s="192"/>
      <c r="D179" s="188"/>
      <c r="E179" s="193"/>
      <c r="F179" s="116"/>
      <c r="G179" s="163"/>
      <c r="H179" s="163"/>
      <c r="I179" s="151"/>
      <c r="J179" s="118"/>
      <c r="K179" s="162"/>
      <c r="L179" s="162"/>
      <c r="M179" s="162"/>
      <c r="N179" s="164"/>
      <c r="O179" s="165"/>
      <c r="P179" s="165"/>
      <c r="Q179" s="165"/>
      <c r="R179" s="166"/>
      <c r="S179" s="121"/>
      <c r="T179" s="155"/>
      <c r="U179" s="100"/>
      <c r="V179" s="100"/>
      <c r="W179" s="100"/>
      <c r="X179" s="100"/>
      <c r="Y179" s="100"/>
      <c r="Z179" s="100"/>
      <c r="AA179" s="100"/>
      <c r="AB179" s="100"/>
      <c r="AC179" s="100"/>
      <c r="AD179" s="100"/>
      <c r="AE179" s="100"/>
      <c r="AF179" s="100"/>
      <c r="AG179" s="100"/>
      <c r="AH179" s="100"/>
      <c r="AI179" s="100"/>
      <c r="AJ179" s="100"/>
    </row>
    <row r="180" spans="1:36" s="189" customFormat="1" ht="19.5" customHeight="1" x14ac:dyDescent="0.3">
      <c r="A180" s="100"/>
      <c r="B180" s="192"/>
      <c r="C180" s="192"/>
      <c r="D180" s="188"/>
      <c r="E180" s="193"/>
      <c r="F180" s="116"/>
      <c r="G180" s="163"/>
      <c r="H180" s="163"/>
      <c r="I180" s="151"/>
      <c r="J180" s="118"/>
      <c r="K180" s="162"/>
      <c r="L180" s="162"/>
      <c r="M180" s="162"/>
      <c r="N180" s="164"/>
      <c r="O180" s="165"/>
      <c r="P180" s="165"/>
      <c r="Q180" s="165"/>
      <c r="R180" s="166"/>
      <c r="S180" s="121"/>
      <c r="T180" s="155"/>
      <c r="U180" s="100"/>
      <c r="V180" s="100"/>
      <c r="W180" s="100"/>
      <c r="X180" s="100"/>
      <c r="Y180" s="100"/>
      <c r="Z180" s="100"/>
      <c r="AA180" s="100"/>
      <c r="AB180" s="100"/>
      <c r="AC180" s="100"/>
      <c r="AD180" s="100"/>
      <c r="AE180" s="100"/>
      <c r="AF180" s="100"/>
      <c r="AG180" s="100"/>
      <c r="AH180" s="100"/>
      <c r="AI180" s="100"/>
      <c r="AJ180" s="100"/>
    </row>
    <row r="181" spans="1:36" s="189" customFormat="1" ht="19.5" customHeight="1" x14ac:dyDescent="0.3">
      <c r="A181" s="100"/>
      <c r="B181" s="192"/>
      <c r="C181" s="192"/>
      <c r="D181" s="188"/>
      <c r="E181" s="193"/>
      <c r="F181" s="116"/>
      <c r="G181" s="163"/>
      <c r="H181" s="163"/>
      <c r="I181" s="151"/>
      <c r="J181" s="118"/>
      <c r="K181" s="162"/>
      <c r="L181" s="162"/>
      <c r="M181" s="162"/>
      <c r="N181" s="164"/>
      <c r="O181" s="165"/>
      <c r="P181" s="165"/>
      <c r="Q181" s="165"/>
      <c r="R181" s="166"/>
      <c r="S181" s="121"/>
      <c r="T181" s="155"/>
      <c r="U181" s="100"/>
      <c r="V181" s="100"/>
      <c r="W181" s="100"/>
      <c r="X181" s="100"/>
      <c r="Y181" s="100"/>
      <c r="Z181" s="100"/>
      <c r="AA181" s="100"/>
      <c r="AB181" s="100"/>
      <c r="AC181" s="100"/>
      <c r="AD181" s="100"/>
      <c r="AE181" s="100"/>
      <c r="AF181" s="100"/>
      <c r="AG181" s="100"/>
      <c r="AH181" s="100"/>
      <c r="AI181" s="100"/>
      <c r="AJ181" s="100"/>
    </row>
    <row r="182" spans="1:36" s="189" customFormat="1" ht="19.5" customHeight="1" x14ac:dyDescent="0.3">
      <c r="A182" s="100"/>
      <c r="B182" s="192"/>
      <c r="C182" s="192"/>
      <c r="D182" s="188"/>
      <c r="E182" s="193"/>
      <c r="F182" s="116"/>
      <c r="G182" s="163"/>
      <c r="H182" s="163"/>
      <c r="I182" s="151"/>
      <c r="J182" s="118"/>
      <c r="K182" s="162"/>
      <c r="L182" s="162"/>
      <c r="M182" s="162"/>
      <c r="N182" s="164"/>
      <c r="O182" s="165"/>
      <c r="P182" s="165"/>
      <c r="Q182" s="165"/>
      <c r="R182" s="166"/>
      <c r="S182" s="121"/>
      <c r="T182" s="155"/>
      <c r="U182" s="100"/>
      <c r="V182" s="100"/>
      <c r="W182" s="100"/>
      <c r="X182" s="100"/>
      <c r="Y182" s="100"/>
      <c r="Z182" s="100"/>
      <c r="AA182" s="100"/>
      <c r="AB182" s="100"/>
      <c r="AC182" s="100"/>
      <c r="AD182" s="100"/>
      <c r="AE182" s="100"/>
      <c r="AF182" s="100"/>
      <c r="AG182" s="100"/>
      <c r="AH182" s="100"/>
      <c r="AI182" s="100"/>
      <c r="AJ182" s="100"/>
    </row>
    <row r="183" spans="1:36" s="189" customFormat="1" ht="19.5" customHeight="1" x14ac:dyDescent="0.3">
      <c r="A183" s="100"/>
      <c r="B183" s="192"/>
      <c r="C183" s="192"/>
      <c r="D183" s="188"/>
      <c r="E183" s="193"/>
      <c r="F183" s="116"/>
      <c r="G183" s="163"/>
      <c r="H183" s="163"/>
      <c r="I183" s="151"/>
      <c r="J183" s="118"/>
      <c r="K183" s="162"/>
      <c r="L183" s="162"/>
      <c r="M183" s="162"/>
      <c r="N183" s="164"/>
      <c r="O183" s="165"/>
      <c r="P183" s="165"/>
      <c r="Q183" s="165"/>
      <c r="R183" s="166"/>
      <c r="S183" s="121"/>
      <c r="T183" s="155"/>
      <c r="U183" s="100"/>
      <c r="V183" s="100"/>
      <c r="W183" s="100"/>
      <c r="X183" s="100"/>
      <c r="Y183" s="100"/>
      <c r="Z183" s="100"/>
      <c r="AA183" s="100"/>
      <c r="AB183" s="100"/>
      <c r="AC183" s="100"/>
      <c r="AD183" s="100"/>
      <c r="AE183" s="100"/>
      <c r="AF183" s="100"/>
      <c r="AG183" s="100"/>
      <c r="AH183" s="100"/>
      <c r="AI183" s="100"/>
      <c r="AJ183" s="100"/>
    </row>
    <row r="184" spans="1:36" s="189" customFormat="1" ht="19.5" customHeight="1" x14ac:dyDescent="0.3">
      <c r="A184" s="100"/>
      <c r="B184" s="192"/>
      <c r="C184" s="192"/>
      <c r="D184" s="188"/>
      <c r="E184" s="193"/>
      <c r="F184" s="116"/>
      <c r="G184" s="163"/>
      <c r="H184" s="163"/>
      <c r="I184" s="151"/>
      <c r="J184" s="118"/>
      <c r="K184" s="162"/>
      <c r="L184" s="162"/>
      <c r="M184" s="162"/>
      <c r="N184" s="164"/>
      <c r="O184" s="165"/>
      <c r="P184" s="165"/>
      <c r="Q184" s="165"/>
      <c r="R184" s="166"/>
      <c r="S184" s="121"/>
      <c r="T184" s="155"/>
      <c r="U184" s="100"/>
      <c r="V184" s="100"/>
      <c r="W184" s="100"/>
      <c r="X184" s="100"/>
      <c r="Y184" s="100"/>
      <c r="Z184" s="100"/>
      <c r="AA184" s="100"/>
      <c r="AB184" s="100"/>
      <c r="AC184" s="100"/>
      <c r="AD184" s="100"/>
      <c r="AE184" s="100"/>
      <c r="AF184" s="100"/>
      <c r="AG184" s="100"/>
      <c r="AH184" s="100"/>
      <c r="AI184" s="100"/>
      <c r="AJ184" s="100"/>
    </row>
    <row r="185" spans="1:36" s="189" customFormat="1" ht="19.5" customHeight="1" x14ac:dyDescent="0.3">
      <c r="A185" s="100"/>
      <c r="B185" s="192"/>
      <c r="C185" s="192"/>
      <c r="D185" s="188"/>
      <c r="E185" s="193"/>
      <c r="F185" s="116"/>
      <c r="G185" s="163"/>
      <c r="H185" s="163"/>
      <c r="I185" s="151"/>
      <c r="J185" s="118"/>
      <c r="K185" s="162"/>
      <c r="L185" s="162"/>
      <c r="M185" s="162"/>
      <c r="N185" s="164"/>
      <c r="O185" s="165"/>
      <c r="P185" s="165"/>
      <c r="Q185" s="165"/>
      <c r="R185" s="166"/>
      <c r="S185" s="121"/>
      <c r="T185" s="155"/>
      <c r="U185" s="100"/>
      <c r="V185" s="100"/>
      <c r="W185" s="100"/>
      <c r="X185" s="100"/>
      <c r="Y185" s="100"/>
      <c r="Z185" s="100"/>
      <c r="AA185" s="100"/>
      <c r="AB185" s="100"/>
      <c r="AC185" s="100"/>
      <c r="AD185" s="100"/>
      <c r="AE185" s="100"/>
      <c r="AF185" s="100"/>
      <c r="AG185" s="100"/>
      <c r="AH185" s="100"/>
      <c r="AI185" s="100"/>
      <c r="AJ185" s="100"/>
    </row>
    <row r="186" spans="1:36" s="189" customFormat="1" ht="19.5" customHeight="1" x14ac:dyDescent="0.3">
      <c r="A186" s="100"/>
      <c r="B186" s="192"/>
      <c r="C186" s="192"/>
      <c r="D186" s="188"/>
      <c r="E186" s="193"/>
      <c r="F186" s="116"/>
      <c r="G186" s="163"/>
      <c r="H186" s="163"/>
      <c r="I186" s="151"/>
      <c r="J186" s="118"/>
      <c r="K186" s="162"/>
      <c r="L186" s="162"/>
      <c r="M186" s="162"/>
      <c r="N186" s="164"/>
      <c r="O186" s="165"/>
      <c r="P186" s="165"/>
      <c r="Q186" s="165"/>
      <c r="R186" s="166"/>
      <c r="S186" s="121"/>
      <c r="T186" s="155"/>
      <c r="U186" s="100"/>
      <c r="V186" s="100"/>
      <c r="W186" s="100"/>
      <c r="X186" s="100"/>
      <c r="Y186" s="100"/>
      <c r="Z186" s="100"/>
      <c r="AA186" s="100"/>
      <c r="AB186" s="100"/>
      <c r="AC186" s="100"/>
      <c r="AD186" s="100"/>
      <c r="AE186" s="100"/>
      <c r="AF186" s="100"/>
      <c r="AG186" s="100"/>
      <c r="AH186" s="100"/>
      <c r="AI186" s="100"/>
      <c r="AJ186" s="100"/>
    </row>
    <row r="187" spans="1:36" s="189" customFormat="1" ht="19.5" customHeight="1" x14ac:dyDescent="0.3">
      <c r="A187" s="100"/>
      <c r="B187" s="194"/>
      <c r="C187" s="84"/>
      <c r="D187" s="188"/>
      <c r="E187" s="84"/>
      <c r="F187" s="116"/>
      <c r="G187" s="163"/>
      <c r="H187" s="163"/>
      <c r="I187" s="151"/>
      <c r="J187" s="118"/>
      <c r="K187" s="162"/>
      <c r="L187" s="162"/>
      <c r="M187" s="162"/>
      <c r="N187" s="164"/>
      <c r="O187" s="165"/>
      <c r="P187" s="165"/>
      <c r="Q187" s="165"/>
      <c r="R187" s="166"/>
      <c r="S187" s="121"/>
      <c r="T187" s="155"/>
      <c r="U187" s="100"/>
      <c r="V187" s="100"/>
      <c r="W187" s="100"/>
      <c r="X187" s="100"/>
      <c r="Y187" s="100"/>
      <c r="Z187" s="100"/>
      <c r="AA187" s="100"/>
      <c r="AB187" s="100"/>
      <c r="AC187" s="100"/>
      <c r="AD187" s="100"/>
      <c r="AE187" s="100"/>
      <c r="AF187" s="100"/>
      <c r="AG187" s="100"/>
      <c r="AH187" s="100"/>
      <c r="AI187" s="100"/>
      <c r="AJ187" s="100"/>
    </row>
    <row r="188" spans="1:36" s="189" customFormat="1" ht="19.5" customHeight="1" x14ac:dyDescent="0.3">
      <c r="A188" s="100"/>
      <c r="B188" s="194"/>
      <c r="C188" s="84"/>
      <c r="D188" s="188"/>
      <c r="E188" s="84"/>
      <c r="F188" s="116"/>
      <c r="G188" s="163"/>
      <c r="H188" s="163"/>
      <c r="I188" s="151"/>
      <c r="J188" s="118"/>
      <c r="K188" s="162"/>
      <c r="L188" s="162"/>
      <c r="M188" s="162"/>
      <c r="N188" s="164"/>
      <c r="O188" s="165"/>
      <c r="P188" s="165"/>
      <c r="Q188" s="165"/>
      <c r="R188" s="166"/>
      <c r="S188" s="121"/>
      <c r="T188" s="155"/>
      <c r="U188" s="100"/>
      <c r="V188" s="100"/>
      <c r="W188" s="100"/>
      <c r="X188" s="100"/>
      <c r="Y188" s="100"/>
      <c r="Z188" s="100"/>
      <c r="AA188" s="100"/>
      <c r="AB188" s="100"/>
      <c r="AC188" s="100"/>
      <c r="AD188" s="100"/>
      <c r="AE188" s="100"/>
      <c r="AF188" s="100"/>
      <c r="AG188" s="100"/>
      <c r="AH188" s="100"/>
      <c r="AI188" s="100"/>
      <c r="AJ188" s="100"/>
    </row>
    <row r="189" spans="1:36" s="189" customFormat="1" ht="19.5" customHeight="1" x14ac:dyDescent="0.3">
      <c r="A189" s="100"/>
      <c r="B189" s="192"/>
      <c r="C189" s="192"/>
      <c r="D189" s="188"/>
      <c r="E189" s="84"/>
      <c r="F189" s="116"/>
      <c r="G189" s="163"/>
      <c r="H189" s="163"/>
      <c r="I189" s="151"/>
      <c r="J189" s="118"/>
      <c r="K189" s="162"/>
      <c r="L189" s="162"/>
      <c r="M189" s="162"/>
      <c r="N189" s="164"/>
      <c r="O189" s="165"/>
      <c r="P189" s="165"/>
      <c r="Q189" s="165"/>
      <c r="R189" s="166"/>
      <c r="S189" s="121"/>
      <c r="T189" s="155"/>
      <c r="U189" s="100"/>
      <c r="V189" s="100"/>
      <c r="W189" s="100"/>
      <c r="X189" s="100"/>
      <c r="Y189" s="100"/>
      <c r="Z189" s="100"/>
      <c r="AA189" s="100"/>
      <c r="AB189" s="100"/>
      <c r="AC189" s="100"/>
      <c r="AD189" s="100"/>
      <c r="AE189" s="100"/>
      <c r="AF189" s="100"/>
      <c r="AG189" s="100"/>
      <c r="AH189" s="100"/>
      <c r="AI189" s="100"/>
      <c r="AJ189" s="100"/>
    </row>
    <row r="190" spans="1:36" s="189" customFormat="1" ht="19.5" customHeight="1" x14ac:dyDescent="0.3">
      <c r="A190" s="100"/>
      <c r="B190" s="192"/>
      <c r="C190" s="192"/>
      <c r="D190" s="188"/>
      <c r="E190" s="192"/>
      <c r="F190" s="116"/>
      <c r="G190" s="163"/>
      <c r="H190" s="163"/>
      <c r="I190" s="151"/>
      <c r="J190" s="118"/>
      <c r="K190" s="162"/>
      <c r="L190" s="162"/>
      <c r="M190" s="162"/>
      <c r="N190" s="164"/>
      <c r="O190" s="165"/>
      <c r="P190" s="165"/>
      <c r="Q190" s="165"/>
      <c r="R190" s="166"/>
      <c r="S190" s="121"/>
      <c r="T190" s="155"/>
      <c r="U190" s="100"/>
      <c r="V190" s="100"/>
      <c r="W190" s="100"/>
      <c r="X190" s="100"/>
      <c r="Y190" s="100"/>
      <c r="Z190" s="100"/>
      <c r="AA190" s="100"/>
      <c r="AB190" s="100"/>
      <c r="AC190" s="100"/>
      <c r="AD190" s="100"/>
      <c r="AE190" s="100"/>
      <c r="AF190" s="100"/>
      <c r="AG190" s="100"/>
      <c r="AH190" s="100"/>
      <c r="AI190" s="100"/>
      <c r="AJ190" s="100"/>
    </row>
    <row r="191" spans="1:36" s="148" customFormat="1" ht="19.5" customHeight="1" x14ac:dyDescent="0.3">
      <c r="A191" s="138"/>
      <c r="B191" s="139"/>
      <c r="C191" s="139"/>
      <c r="D191" s="143"/>
      <c r="E191" s="158"/>
      <c r="F191" s="158"/>
      <c r="G191" s="158"/>
      <c r="H191" s="158"/>
      <c r="I191" s="142"/>
      <c r="J191" s="143"/>
      <c r="K191" s="143"/>
      <c r="L191" s="143"/>
      <c r="M191" s="143"/>
      <c r="N191" s="159"/>
      <c r="O191" s="145"/>
      <c r="P191" s="145"/>
      <c r="Q191" s="145"/>
      <c r="R191" s="146"/>
      <c r="S191" s="147"/>
      <c r="T191" s="155"/>
      <c r="U191" s="138"/>
      <c r="V191" s="138"/>
      <c r="W191" s="138"/>
      <c r="X191" s="138"/>
      <c r="Y191" s="138"/>
      <c r="Z191" s="138"/>
      <c r="AA191" s="138"/>
      <c r="AB191" s="138"/>
      <c r="AC191" s="138"/>
      <c r="AD191" s="138"/>
      <c r="AE191" s="138"/>
      <c r="AF191" s="138"/>
      <c r="AG191" s="138"/>
      <c r="AH191" s="138"/>
      <c r="AI191" s="138"/>
      <c r="AJ191" s="138"/>
    </row>
    <row r="192" spans="1:36" ht="19.5" customHeight="1" x14ac:dyDescent="0.3">
      <c r="A192" s="76"/>
      <c r="B192" s="195"/>
      <c r="C192" s="196"/>
      <c r="D192" s="162"/>
      <c r="E192" s="196"/>
      <c r="F192" s="116"/>
      <c r="G192" s="116"/>
      <c r="H192" s="163"/>
      <c r="I192" s="151"/>
      <c r="J192" s="127"/>
      <c r="K192" s="162"/>
      <c r="L192" s="162"/>
      <c r="M192" s="162"/>
      <c r="N192" s="164"/>
      <c r="O192" s="165"/>
      <c r="P192" s="165"/>
      <c r="Q192" s="165"/>
      <c r="R192" s="166"/>
      <c r="S192" s="83"/>
      <c r="T192" s="155"/>
      <c r="U192" s="76"/>
      <c r="V192" s="76"/>
      <c r="W192" s="76"/>
      <c r="X192" s="76"/>
      <c r="Y192" s="76"/>
      <c r="Z192" s="76"/>
      <c r="AA192" s="76"/>
      <c r="AB192" s="76"/>
      <c r="AC192" s="76"/>
      <c r="AD192" s="76"/>
      <c r="AE192" s="76"/>
      <c r="AF192" s="76"/>
      <c r="AG192" s="76"/>
      <c r="AH192" s="76"/>
      <c r="AI192" s="76"/>
      <c r="AJ192" s="76"/>
    </row>
    <row r="193" spans="1:36" ht="19.5" customHeight="1" x14ac:dyDescent="0.3">
      <c r="A193" s="76"/>
      <c r="B193" s="149"/>
      <c r="C193" s="150"/>
      <c r="D193" s="162"/>
      <c r="E193" s="150"/>
      <c r="F193" s="116"/>
      <c r="G193" s="116"/>
      <c r="H193" s="163"/>
      <c r="I193" s="151"/>
      <c r="J193" s="127"/>
      <c r="K193" s="162"/>
      <c r="L193" s="162"/>
      <c r="M193" s="162"/>
      <c r="N193" s="164"/>
      <c r="O193" s="165"/>
      <c r="P193" s="165"/>
      <c r="Q193" s="165"/>
      <c r="R193" s="166"/>
      <c r="S193" s="83"/>
      <c r="T193" s="155"/>
      <c r="U193" s="76"/>
      <c r="V193" s="76"/>
      <c r="W193" s="76"/>
      <c r="X193" s="76"/>
      <c r="Y193" s="76"/>
      <c r="Z193" s="76"/>
      <c r="AA193" s="76"/>
      <c r="AB193" s="76"/>
      <c r="AC193" s="76"/>
      <c r="AD193" s="76"/>
      <c r="AE193" s="76"/>
      <c r="AF193" s="76"/>
      <c r="AG193" s="76"/>
      <c r="AH193" s="76"/>
      <c r="AI193" s="76"/>
      <c r="AJ193" s="76"/>
    </row>
    <row r="194" spans="1:36" ht="19.5" customHeight="1" x14ac:dyDescent="0.3">
      <c r="A194" s="76"/>
      <c r="B194" s="149"/>
      <c r="C194" s="150"/>
      <c r="D194" s="162"/>
      <c r="E194" s="150"/>
      <c r="F194" s="116"/>
      <c r="G194" s="116"/>
      <c r="H194" s="163"/>
      <c r="I194" s="151"/>
      <c r="J194" s="127"/>
      <c r="K194" s="162"/>
      <c r="L194" s="162"/>
      <c r="M194" s="162"/>
      <c r="N194" s="164"/>
      <c r="O194" s="165"/>
      <c r="P194" s="165"/>
      <c r="Q194" s="165"/>
      <c r="R194" s="166"/>
      <c r="S194" s="83"/>
      <c r="T194" s="155"/>
      <c r="U194" s="76"/>
      <c r="V194" s="76"/>
      <c r="W194" s="76"/>
      <c r="X194" s="76"/>
      <c r="Y194" s="76"/>
      <c r="Z194" s="76"/>
      <c r="AA194" s="76"/>
      <c r="AB194" s="76"/>
      <c r="AC194" s="76"/>
      <c r="AD194" s="76"/>
      <c r="AE194" s="76"/>
      <c r="AF194" s="76"/>
      <c r="AG194" s="76"/>
      <c r="AH194" s="76"/>
      <c r="AI194" s="76"/>
      <c r="AJ194" s="76"/>
    </row>
    <row r="195" spans="1:36" ht="19.5" customHeight="1" x14ac:dyDescent="0.3">
      <c r="A195" s="76"/>
      <c r="B195" s="149"/>
      <c r="C195" s="150"/>
      <c r="D195" s="162"/>
      <c r="E195" s="150"/>
      <c r="F195" s="116"/>
      <c r="G195" s="116"/>
      <c r="H195" s="163"/>
      <c r="I195" s="151"/>
      <c r="J195" s="127"/>
      <c r="K195" s="162"/>
      <c r="L195" s="162"/>
      <c r="M195" s="162"/>
      <c r="N195" s="164"/>
      <c r="O195" s="165"/>
      <c r="P195" s="165"/>
      <c r="Q195" s="165"/>
      <c r="R195" s="166"/>
      <c r="S195" s="83"/>
      <c r="T195" s="155"/>
      <c r="U195" s="76"/>
      <c r="V195" s="76"/>
      <c r="W195" s="76"/>
      <c r="X195" s="76"/>
      <c r="Y195" s="76"/>
      <c r="Z195" s="76"/>
      <c r="AA195" s="76"/>
      <c r="AB195" s="76"/>
      <c r="AC195" s="76"/>
      <c r="AD195" s="76"/>
      <c r="AE195" s="76"/>
      <c r="AF195" s="76"/>
      <c r="AG195" s="76"/>
      <c r="AH195" s="76"/>
      <c r="AI195" s="76"/>
      <c r="AJ195" s="76"/>
    </row>
    <row r="196" spans="1:36" ht="19.5" customHeight="1" x14ac:dyDescent="0.3">
      <c r="A196" s="76"/>
      <c r="B196" s="149"/>
      <c r="C196" s="150"/>
      <c r="D196" s="162"/>
      <c r="E196" s="150"/>
      <c r="F196" s="116"/>
      <c r="G196" s="116"/>
      <c r="H196" s="163"/>
      <c r="I196" s="151"/>
      <c r="J196" s="127"/>
      <c r="K196" s="162"/>
      <c r="L196" s="162"/>
      <c r="M196" s="162"/>
      <c r="N196" s="164"/>
      <c r="O196" s="165"/>
      <c r="P196" s="165"/>
      <c r="Q196" s="165"/>
      <c r="R196" s="166"/>
      <c r="S196" s="83"/>
      <c r="T196" s="155"/>
      <c r="U196" s="76"/>
      <c r="V196" s="76"/>
      <c r="W196" s="76"/>
      <c r="X196" s="76"/>
      <c r="Y196" s="76"/>
      <c r="Z196" s="76"/>
      <c r="AA196" s="76"/>
      <c r="AB196" s="76"/>
      <c r="AC196" s="76"/>
      <c r="AD196" s="76"/>
      <c r="AE196" s="76"/>
      <c r="AF196" s="76"/>
      <c r="AG196" s="76"/>
      <c r="AH196" s="76"/>
      <c r="AI196" s="76"/>
      <c r="AJ196" s="76"/>
    </row>
    <row r="197" spans="1:36" ht="19.5" customHeight="1" x14ac:dyDescent="0.3">
      <c r="A197" s="76"/>
      <c r="B197" s="149"/>
      <c r="C197" s="150"/>
      <c r="D197" s="162"/>
      <c r="E197" s="150"/>
      <c r="F197" s="116"/>
      <c r="G197" s="116"/>
      <c r="H197" s="163"/>
      <c r="I197" s="151"/>
      <c r="J197" s="127"/>
      <c r="K197" s="162"/>
      <c r="L197" s="162"/>
      <c r="M197" s="162"/>
      <c r="N197" s="164"/>
      <c r="O197" s="165"/>
      <c r="P197" s="165"/>
      <c r="Q197" s="165"/>
      <c r="R197" s="166"/>
      <c r="S197" s="83"/>
      <c r="T197" s="155"/>
      <c r="U197" s="76"/>
      <c r="V197" s="76"/>
      <c r="W197" s="76"/>
      <c r="X197" s="76"/>
      <c r="Y197" s="76"/>
      <c r="Z197" s="76"/>
      <c r="AA197" s="76"/>
      <c r="AB197" s="76"/>
      <c r="AC197" s="76"/>
      <c r="AD197" s="76"/>
      <c r="AE197" s="76"/>
      <c r="AF197" s="76"/>
      <c r="AG197" s="76"/>
      <c r="AH197" s="76"/>
      <c r="AI197" s="76"/>
      <c r="AJ197" s="76"/>
    </row>
    <row r="198" spans="1:36" ht="19.5" customHeight="1" x14ac:dyDescent="0.3">
      <c r="A198" s="76"/>
      <c r="B198" s="162"/>
      <c r="C198" s="162"/>
      <c r="D198" s="162"/>
      <c r="E198" s="163"/>
      <c r="F198" s="116"/>
      <c r="G198" s="163"/>
      <c r="H198" s="163"/>
      <c r="I198" s="151"/>
      <c r="J198" s="127"/>
      <c r="K198" s="162"/>
      <c r="L198" s="162"/>
      <c r="M198" s="162"/>
      <c r="N198" s="164"/>
      <c r="O198" s="165"/>
      <c r="P198" s="165"/>
      <c r="Q198" s="165"/>
      <c r="R198" s="166"/>
      <c r="S198" s="83"/>
      <c r="T198" s="155"/>
      <c r="U198" s="76"/>
      <c r="V198" s="76"/>
      <c r="W198" s="76"/>
      <c r="X198" s="76"/>
      <c r="Y198" s="76"/>
      <c r="Z198" s="76"/>
      <c r="AA198" s="76"/>
      <c r="AB198" s="76"/>
      <c r="AC198" s="76"/>
      <c r="AD198" s="76"/>
      <c r="AE198" s="76"/>
      <c r="AF198" s="76"/>
      <c r="AG198" s="76"/>
      <c r="AH198" s="76"/>
      <c r="AI198" s="76"/>
      <c r="AJ198" s="76"/>
    </row>
    <row r="199" spans="1:36" s="148" customFormat="1" ht="19.5" customHeight="1" x14ac:dyDescent="0.3">
      <c r="A199" s="138"/>
      <c r="B199" s="139"/>
      <c r="C199" s="139"/>
      <c r="D199" s="143"/>
      <c r="E199" s="158"/>
      <c r="F199" s="158"/>
      <c r="G199" s="158"/>
      <c r="H199" s="158"/>
      <c r="I199" s="142"/>
      <c r="J199" s="143"/>
      <c r="K199" s="143"/>
      <c r="L199" s="143"/>
      <c r="M199" s="143"/>
      <c r="N199" s="159"/>
      <c r="O199" s="145"/>
      <c r="P199" s="145"/>
      <c r="Q199" s="145"/>
      <c r="R199" s="146"/>
      <c r="S199" s="147"/>
      <c r="T199" s="155"/>
      <c r="U199" s="138"/>
      <c r="V199" s="138"/>
      <c r="W199" s="138"/>
      <c r="X199" s="138"/>
      <c r="Y199" s="138"/>
      <c r="Z199" s="138"/>
      <c r="AA199" s="138"/>
      <c r="AB199" s="138"/>
      <c r="AC199" s="138"/>
      <c r="AD199" s="138"/>
      <c r="AE199" s="138"/>
      <c r="AF199" s="138"/>
      <c r="AG199" s="138"/>
      <c r="AH199" s="138"/>
      <c r="AI199" s="138"/>
      <c r="AJ199" s="138"/>
    </row>
    <row r="200" spans="1:36" ht="19.5" customHeight="1" x14ac:dyDescent="0.3">
      <c r="A200" s="100"/>
      <c r="B200" s="173"/>
      <c r="C200" s="174"/>
      <c r="D200" s="186"/>
      <c r="E200" s="175"/>
      <c r="F200" s="116"/>
      <c r="G200" s="116"/>
      <c r="H200" s="163"/>
      <c r="I200" s="151"/>
      <c r="J200" s="118"/>
      <c r="K200" s="162"/>
      <c r="L200" s="162"/>
      <c r="M200" s="162"/>
      <c r="N200" s="164"/>
      <c r="O200" s="165"/>
      <c r="P200" s="165"/>
      <c r="Q200" s="165"/>
      <c r="R200" s="166"/>
      <c r="S200" s="121"/>
      <c r="T200" s="155"/>
      <c r="U200" s="100"/>
      <c r="V200" s="100"/>
      <c r="W200" s="100"/>
      <c r="X200" s="100"/>
      <c r="Y200" s="100"/>
      <c r="Z200" s="100"/>
      <c r="AA200" s="100"/>
      <c r="AB200" s="100"/>
      <c r="AC200" s="100"/>
      <c r="AD200" s="100"/>
      <c r="AE200" s="100"/>
      <c r="AF200" s="100"/>
      <c r="AG200" s="100"/>
      <c r="AH200" s="100"/>
      <c r="AI200" s="100"/>
      <c r="AJ200" s="100"/>
    </row>
    <row r="201" spans="1:36" ht="19.5" customHeight="1" x14ac:dyDescent="0.3">
      <c r="A201" s="100"/>
      <c r="B201" s="173"/>
      <c r="C201" s="174"/>
      <c r="D201" s="186"/>
      <c r="E201" s="175"/>
      <c r="F201" s="116"/>
      <c r="G201" s="116"/>
      <c r="H201" s="163"/>
      <c r="I201" s="151"/>
      <c r="J201" s="118"/>
      <c r="K201" s="162"/>
      <c r="L201" s="162"/>
      <c r="M201" s="162"/>
      <c r="N201" s="164"/>
      <c r="O201" s="165"/>
      <c r="P201" s="165"/>
      <c r="Q201" s="165"/>
      <c r="R201" s="166"/>
      <c r="S201" s="121"/>
      <c r="T201" s="155"/>
      <c r="U201" s="100"/>
      <c r="V201" s="100"/>
      <c r="W201" s="100"/>
      <c r="X201" s="100"/>
      <c r="Y201" s="100"/>
      <c r="Z201" s="100"/>
      <c r="AA201" s="100"/>
      <c r="AB201" s="100"/>
      <c r="AC201" s="100"/>
      <c r="AD201" s="100"/>
      <c r="AE201" s="100"/>
      <c r="AF201" s="100"/>
      <c r="AG201" s="100"/>
      <c r="AH201" s="100"/>
      <c r="AI201" s="100"/>
      <c r="AJ201" s="100"/>
    </row>
    <row r="202" spans="1:36" ht="19.5" customHeight="1" x14ac:dyDescent="0.3">
      <c r="A202" s="100"/>
      <c r="B202" s="173"/>
      <c r="C202" s="174"/>
      <c r="D202" s="186"/>
      <c r="E202" s="175"/>
      <c r="F202" s="116"/>
      <c r="G202" s="116"/>
      <c r="H202" s="163"/>
      <c r="I202" s="151"/>
      <c r="J202" s="118"/>
      <c r="K202" s="162"/>
      <c r="L202" s="162"/>
      <c r="M202" s="162"/>
      <c r="N202" s="164"/>
      <c r="O202" s="165"/>
      <c r="P202" s="165"/>
      <c r="Q202" s="165"/>
      <c r="R202" s="166"/>
      <c r="S202" s="121"/>
      <c r="T202" s="155"/>
      <c r="U202" s="100"/>
      <c r="V202" s="100"/>
      <c r="W202" s="100"/>
      <c r="X202" s="100"/>
      <c r="Y202" s="100"/>
      <c r="Z202" s="100"/>
      <c r="AA202" s="100"/>
      <c r="AB202" s="100"/>
      <c r="AC202" s="100"/>
      <c r="AD202" s="100"/>
      <c r="AE202" s="100"/>
      <c r="AF202" s="100"/>
      <c r="AG202" s="100"/>
      <c r="AH202" s="100"/>
      <c r="AI202" s="100"/>
      <c r="AJ202" s="100"/>
    </row>
    <row r="203" spans="1:36" ht="19.5" customHeight="1" x14ac:dyDescent="0.3">
      <c r="A203" s="100"/>
      <c r="B203" s="173"/>
      <c r="C203" s="174"/>
      <c r="D203" s="186"/>
      <c r="E203" s="175"/>
      <c r="F203" s="116"/>
      <c r="G203" s="116"/>
      <c r="H203" s="163"/>
      <c r="I203" s="151"/>
      <c r="J203" s="118"/>
      <c r="K203" s="162"/>
      <c r="L203" s="162"/>
      <c r="M203" s="162"/>
      <c r="N203" s="164"/>
      <c r="O203" s="165"/>
      <c r="P203" s="165"/>
      <c r="Q203" s="165"/>
      <c r="R203" s="166"/>
      <c r="S203" s="121"/>
      <c r="T203" s="155"/>
      <c r="U203" s="100"/>
      <c r="V203" s="100"/>
      <c r="W203" s="100"/>
      <c r="X203" s="100"/>
      <c r="Y203" s="100"/>
      <c r="Z203" s="100"/>
      <c r="AA203" s="100"/>
      <c r="AB203" s="100"/>
      <c r="AC203" s="100"/>
      <c r="AD203" s="100"/>
      <c r="AE203" s="100"/>
      <c r="AF203" s="100"/>
      <c r="AG203" s="100"/>
      <c r="AH203" s="100"/>
      <c r="AI203" s="100"/>
      <c r="AJ203" s="100"/>
    </row>
    <row r="204" spans="1:36" ht="19.5" customHeight="1" x14ac:dyDescent="0.3">
      <c r="A204" s="100"/>
      <c r="B204" s="173"/>
      <c r="C204" s="174"/>
      <c r="D204" s="186"/>
      <c r="E204" s="175"/>
      <c r="F204" s="116"/>
      <c r="G204" s="116"/>
      <c r="H204" s="163"/>
      <c r="I204" s="151"/>
      <c r="J204" s="118"/>
      <c r="K204" s="162"/>
      <c r="L204" s="162"/>
      <c r="M204" s="162"/>
      <c r="N204" s="164"/>
      <c r="O204" s="165"/>
      <c r="P204" s="165"/>
      <c r="Q204" s="165"/>
      <c r="R204" s="166"/>
      <c r="S204" s="121"/>
      <c r="T204" s="155"/>
      <c r="U204" s="100"/>
      <c r="V204" s="100"/>
      <c r="W204" s="100"/>
      <c r="X204" s="100"/>
      <c r="Y204" s="100"/>
      <c r="Z204" s="100"/>
      <c r="AA204" s="100"/>
      <c r="AB204" s="100"/>
      <c r="AC204" s="100"/>
      <c r="AD204" s="100"/>
      <c r="AE204" s="100"/>
      <c r="AF204" s="100"/>
      <c r="AG204" s="100"/>
      <c r="AH204" s="100"/>
      <c r="AI204" s="100"/>
      <c r="AJ204" s="100"/>
    </row>
    <row r="205" spans="1:36" ht="19.5" customHeight="1" x14ac:dyDescent="0.3">
      <c r="A205" s="100"/>
      <c r="B205" s="173"/>
      <c r="C205" s="174"/>
      <c r="D205" s="186"/>
      <c r="E205" s="175"/>
      <c r="F205" s="116"/>
      <c r="G205" s="116"/>
      <c r="H205" s="163"/>
      <c r="I205" s="151"/>
      <c r="J205" s="118"/>
      <c r="K205" s="162"/>
      <c r="L205" s="162"/>
      <c r="M205" s="162"/>
      <c r="N205" s="164"/>
      <c r="O205" s="165"/>
      <c r="P205" s="165"/>
      <c r="Q205" s="165"/>
      <c r="R205" s="166"/>
      <c r="S205" s="121"/>
      <c r="T205" s="155"/>
      <c r="U205" s="100"/>
      <c r="V205" s="100"/>
      <c r="W205" s="100"/>
      <c r="X205" s="100"/>
      <c r="Y205" s="100"/>
      <c r="Z205" s="100"/>
      <c r="AA205" s="100"/>
      <c r="AB205" s="100"/>
      <c r="AC205" s="100"/>
      <c r="AD205" s="100"/>
      <c r="AE205" s="100"/>
      <c r="AF205" s="100"/>
      <c r="AG205" s="100"/>
      <c r="AH205" s="100"/>
      <c r="AI205" s="100"/>
      <c r="AJ205" s="100"/>
    </row>
    <row r="206" spans="1:36" ht="19.5" customHeight="1" x14ac:dyDescent="0.3">
      <c r="A206" s="100"/>
      <c r="B206" s="173"/>
      <c r="C206" s="174"/>
      <c r="D206" s="186"/>
      <c r="E206" s="175"/>
      <c r="F206" s="116"/>
      <c r="G206" s="116"/>
      <c r="H206" s="163"/>
      <c r="I206" s="151"/>
      <c r="J206" s="118"/>
      <c r="K206" s="162"/>
      <c r="L206" s="162"/>
      <c r="M206" s="162"/>
      <c r="N206" s="164"/>
      <c r="O206" s="165"/>
      <c r="P206" s="165"/>
      <c r="Q206" s="165"/>
      <c r="R206" s="166"/>
      <c r="S206" s="121"/>
      <c r="T206" s="155"/>
      <c r="U206" s="100"/>
      <c r="V206" s="100"/>
      <c r="W206" s="100"/>
      <c r="X206" s="100"/>
      <c r="Y206" s="100"/>
      <c r="Z206" s="100"/>
      <c r="AA206" s="100"/>
      <c r="AB206" s="100"/>
      <c r="AC206" s="100"/>
      <c r="AD206" s="100"/>
      <c r="AE206" s="100"/>
      <c r="AF206" s="100"/>
      <c r="AG206" s="100"/>
      <c r="AH206" s="100"/>
      <c r="AI206" s="100"/>
      <c r="AJ206" s="100"/>
    </row>
    <row r="207" spans="1:36" ht="19.5" customHeight="1" x14ac:dyDescent="0.3">
      <c r="A207" s="100"/>
      <c r="B207" s="173"/>
      <c r="C207" s="174"/>
      <c r="D207" s="186"/>
      <c r="E207" s="175"/>
      <c r="F207" s="116"/>
      <c r="G207" s="116"/>
      <c r="H207" s="163"/>
      <c r="I207" s="151"/>
      <c r="J207" s="118"/>
      <c r="K207" s="162"/>
      <c r="L207" s="162"/>
      <c r="M207" s="162"/>
      <c r="N207" s="164"/>
      <c r="O207" s="165"/>
      <c r="P207" s="165"/>
      <c r="Q207" s="165"/>
      <c r="R207" s="166"/>
      <c r="S207" s="121"/>
      <c r="T207" s="155"/>
      <c r="U207" s="100"/>
      <c r="V207" s="100"/>
      <c r="W207" s="100"/>
      <c r="X207" s="100"/>
      <c r="Y207" s="100"/>
      <c r="Z207" s="100"/>
      <c r="AA207" s="100"/>
      <c r="AB207" s="100"/>
      <c r="AC207" s="100"/>
      <c r="AD207" s="100"/>
      <c r="AE207" s="100"/>
      <c r="AF207" s="100"/>
      <c r="AG207" s="100"/>
      <c r="AH207" s="100"/>
      <c r="AI207" s="100"/>
      <c r="AJ207" s="100"/>
    </row>
    <row r="208" spans="1:36" ht="19.5" customHeight="1" x14ac:dyDescent="0.3">
      <c r="A208" s="100"/>
      <c r="B208" s="173"/>
      <c r="C208" s="174"/>
      <c r="D208" s="186"/>
      <c r="E208" s="175"/>
      <c r="F208" s="116"/>
      <c r="G208" s="116"/>
      <c r="H208" s="163"/>
      <c r="I208" s="151"/>
      <c r="J208" s="118"/>
      <c r="K208" s="162"/>
      <c r="L208" s="162"/>
      <c r="M208" s="162"/>
      <c r="N208" s="164"/>
      <c r="O208" s="165"/>
      <c r="P208" s="165"/>
      <c r="Q208" s="165"/>
      <c r="R208" s="166"/>
      <c r="S208" s="121"/>
      <c r="T208" s="155"/>
      <c r="U208" s="100"/>
      <c r="V208" s="100"/>
      <c r="W208" s="100"/>
      <c r="X208" s="100"/>
      <c r="Y208" s="100"/>
      <c r="Z208" s="100"/>
      <c r="AA208" s="100"/>
      <c r="AB208" s="100"/>
      <c r="AC208" s="100"/>
      <c r="AD208" s="100"/>
      <c r="AE208" s="100"/>
      <c r="AF208" s="100"/>
      <c r="AG208" s="100"/>
      <c r="AH208" s="100"/>
      <c r="AI208" s="100"/>
      <c r="AJ208" s="100"/>
    </row>
    <row r="209" spans="1:36" ht="19.5" customHeight="1" x14ac:dyDescent="0.3">
      <c r="A209" s="100"/>
      <c r="B209" s="173"/>
      <c r="C209" s="174"/>
      <c r="D209" s="186"/>
      <c r="E209" s="175"/>
      <c r="F209" s="116"/>
      <c r="G209" s="116"/>
      <c r="H209" s="163"/>
      <c r="I209" s="151"/>
      <c r="J209" s="118"/>
      <c r="K209" s="162"/>
      <c r="L209" s="162"/>
      <c r="M209" s="162"/>
      <c r="N209" s="164"/>
      <c r="O209" s="165"/>
      <c r="P209" s="165"/>
      <c r="Q209" s="165"/>
      <c r="R209" s="166"/>
      <c r="S209" s="121"/>
      <c r="T209" s="155"/>
      <c r="U209" s="100"/>
      <c r="V209" s="100"/>
      <c r="W209" s="100"/>
      <c r="X209" s="100"/>
      <c r="Y209" s="100"/>
      <c r="Z209" s="100"/>
      <c r="AA209" s="100"/>
      <c r="AB209" s="100"/>
      <c r="AC209" s="100"/>
      <c r="AD209" s="100"/>
      <c r="AE209" s="100"/>
      <c r="AF209" s="100"/>
      <c r="AG209" s="100"/>
      <c r="AH209" s="100"/>
      <c r="AI209" s="100"/>
      <c r="AJ209" s="100"/>
    </row>
    <row r="210" spans="1:36" ht="19.5" customHeight="1" x14ac:dyDescent="0.3">
      <c r="A210" s="100"/>
      <c r="B210" s="173"/>
      <c r="C210" s="174"/>
      <c r="D210" s="186"/>
      <c r="E210" s="175"/>
      <c r="F210" s="116"/>
      <c r="G210" s="116"/>
      <c r="H210" s="163"/>
      <c r="I210" s="151"/>
      <c r="J210" s="118"/>
      <c r="K210" s="162"/>
      <c r="L210" s="162"/>
      <c r="M210" s="162"/>
      <c r="N210" s="164"/>
      <c r="O210" s="165"/>
      <c r="P210" s="165"/>
      <c r="Q210" s="165"/>
      <c r="R210" s="166"/>
      <c r="S210" s="121"/>
      <c r="T210" s="155"/>
      <c r="U210" s="100"/>
      <c r="V210" s="100"/>
      <c r="W210" s="100"/>
      <c r="X210" s="100"/>
      <c r="Y210" s="100"/>
      <c r="Z210" s="100"/>
      <c r="AA210" s="100"/>
      <c r="AB210" s="100"/>
      <c r="AC210" s="100"/>
      <c r="AD210" s="100"/>
      <c r="AE210" s="100"/>
      <c r="AF210" s="100"/>
      <c r="AG210" s="100"/>
      <c r="AH210" s="100"/>
      <c r="AI210" s="100"/>
      <c r="AJ210" s="100"/>
    </row>
    <row r="211" spans="1:36" ht="19.5" customHeight="1" x14ac:dyDescent="0.3">
      <c r="A211" s="100"/>
      <c r="B211" s="173"/>
      <c r="C211" s="174"/>
      <c r="D211" s="186"/>
      <c r="E211" s="175"/>
      <c r="F211" s="116"/>
      <c r="G211" s="116"/>
      <c r="H211" s="163"/>
      <c r="I211" s="151"/>
      <c r="J211" s="118"/>
      <c r="K211" s="162"/>
      <c r="L211" s="162"/>
      <c r="M211" s="162"/>
      <c r="N211" s="164"/>
      <c r="O211" s="165"/>
      <c r="P211" s="165"/>
      <c r="Q211" s="165"/>
      <c r="R211" s="166"/>
      <c r="S211" s="121"/>
      <c r="T211" s="155"/>
      <c r="U211" s="100"/>
      <c r="V211" s="100"/>
      <c r="W211" s="100"/>
      <c r="X211" s="100"/>
      <c r="Y211" s="100"/>
      <c r="Z211" s="100"/>
      <c r="AA211" s="100"/>
      <c r="AB211" s="100"/>
      <c r="AC211" s="100"/>
      <c r="AD211" s="100"/>
      <c r="AE211" s="100"/>
      <c r="AF211" s="100"/>
      <c r="AG211" s="100"/>
      <c r="AH211" s="100"/>
      <c r="AI211" s="100"/>
      <c r="AJ211" s="100"/>
    </row>
    <row r="212" spans="1:36" ht="19.5" customHeight="1" x14ac:dyDescent="0.3">
      <c r="A212" s="100"/>
      <c r="B212" s="173"/>
      <c r="C212" s="174"/>
      <c r="D212" s="186"/>
      <c r="E212" s="175"/>
      <c r="F212" s="116"/>
      <c r="G212" s="116"/>
      <c r="H212" s="163"/>
      <c r="I212" s="151"/>
      <c r="J212" s="118"/>
      <c r="K212" s="162"/>
      <c r="L212" s="162"/>
      <c r="M212" s="162"/>
      <c r="N212" s="164"/>
      <c r="O212" s="165"/>
      <c r="P212" s="165"/>
      <c r="Q212" s="165"/>
      <c r="R212" s="166"/>
      <c r="S212" s="121"/>
      <c r="T212" s="155"/>
      <c r="U212" s="100"/>
      <c r="V212" s="100"/>
      <c r="W212" s="100"/>
      <c r="X212" s="100"/>
      <c r="Y212" s="100"/>
      <c r="Z212" s="100"/>
      <c r="AA212" s="100"/>
      <c r="AB212" s="100"/>
      <c r="AC212" s="100"/>
      <c r="AD212" s="100"/>
      <c r="AE212" s="100"/>
      <c r="AF212" s="100"/>
      <c r="AG212" s="100"/>
      <c r="AH212" s="100"/>
      <c r="AI212" s="100"/>
      <c r="AJ212" s="100"/>
    </row>
    <row r="213" spans="1:36" ht="19.5" customHeight="1" x14ac:dyDescent="0.3">
      <c r="A213" s="100"/>
      <c r="B213" s="173"/>
      <c r="C213" s="174"/>
      <c r="D213" s="186"/>
      <c r="E213" s="175"/>
      <c r="F213" s="116"/>
      <c r="G213" s="116"/>
      <c r="H213" s="163"/>
      <c r="I213" s="151"/>
      <c r="J213" s="118"/>
      <c r="K213" s="162"/>
      <c r="L213" s="162"/>
      <c r="M213" s="162"/>
      <c r="N213" s="164"/>
      <c r="O213" s="165"/>
      <c r="P213" s="165"/>
      <c r="Q213" s="165"/>
      <c r="R213" s="166"/>
      <c r="S213" s="121"/>
      <c r="T213" s="155"/>
      <c r="U213" s="100"/>
      <c r="V213" s="100"/>
      <c r="W213" s="100"/>
      <c r="X213" s="100"/>
      <c r="Y213" s="100"/>
      <c r="Z213" s="100"/>
      <c r="AA213" s="100"/>
      <c r="AB213" s="100"/>
      <c r="AC213" s="100"/>
      <c r="AD213" s="100"/>
      <c r="AE213" s="100"/>
      <c r="AF213" s="100"/>
      <c r="AG213" s="100"/>
      <c r="AH213" s="100"/>
      <c r="AI213" s="100"/>
      <c r="AJ213" s="100"/>
    </row>
    <row r="214" spans="1:36" ht="19.5" customHeight="1" x14ac:dyDescent="0.3">
      <c r="A214" s="100"/>
      <c r="B214" s="173"/>
      <c r="C214" s="174"/>
      <c r="D214" s="186"/>
      <c r="E214" s="175"/>
      <c r="F214" s="116"/>
      <c r="G214" s="116"/>
      <c r="H214" s="163"/>
      <c r="I214" s="151"/>
      <c r="J214" s="118"/>
      <c r="K214" s="162"/>
      <c r="L214" s="162"/>
      <c r="M214" s="162"/>
      <c r="N214" s="164"/>
      <c r="O214" s="165"/>
      <c r="P214" s="165"/>
      <c r="Q214" s="165"/>
      <c r="R214" s="166"/>
      <c r="S214" s="121"/>
      <c r="T214" s="155"/>
      <c r="U214" s="100"/>
      <c r="V214" s="100"/>
      <c r="W214" s="100"/>
      <c r="X214" s="100"/>
      <c r="Y214" s="100"/>
      <c r="Z214" s="100"/>
      <c r="AA214" s="100"/>
      <c r="AB214" s="100"/>
      <c r="AC214" s="100"/>
      <c r="AD214" s="100"/>
      <c r="AE214" s="100"/>
      <c r="AF214" s="100"/>
      <c r="AG214" s="100"/>
      <c r="AH214" s="100"/>
      <c r="AI214" s="100"/>
      <c r="AJ214" s="100"/>
    </row>
    <row r="215" spans="1:36" ht="19.5" customHeight="1" x14ac:dyDescent="0.3">
      <c r="A215" s="100"/>
      <c r="B215" s="173"/>
      <c r="C215" s="174"/>
      <c r="D215" s="186"/>
      <c r="E215" s="175"/>
      <c r="F215" s="116"/>
      <c r="G215" s="116"/>
      <c r="H215" s="163"/>
      <c r="I215" s="151"/>
      <c r="J215" s="118"/>
      <c r="K215" s="162"/>
      <c r="L215" s="162"/>
      <c r="M215" s="162"/>
      <c r="N215" s="164"/>
      <c r="O215" s="165"/>
      <c r="P215" s="165"/>
      <c r="Q215" s="165"/>
      <c r="R215" s="166"/>
      <c r="S215" s="121"/>
      <c r="T215" s="155"/>
      <c r="U215" s="100"/>
      <c r="V215" s="100"/>
      <c r="W215" s="100"/>
      <c r="X215" s="100"/>
      <c r="Y215" s="100"/>
      <c r="Z215" s="100"/>
      <c r="AA215" s="100"/>
      <c r="AB215" s="100"/>
      <c r="AC215" s="100"/>
      <c r="AD215" s="100"/>
      <c r="AE215" s="100"/>
      <c r="AF215" s="100"/>
      <c r="AG215" s="100"/>
      <c r="AH215" s="100"/>
      <c r="AI215" s="100"/>
      <c r="AJ215" s="100"/>
    </row>
    <row r="216" spans="1:36" ht="19.5" customHeight="1" x14ac:dyDescent="0.3">
      <c r="A216" s="100"/>
      <c r="B216" s="173"/>
      <c r="C216" s="174"/>
      <c r="D216" s="186"/>
      <c r="E216" s="175"/>
      <c r="F216" s="116"/>
      <c r="G216" s="116"/>
      <c r="H216" s="163"/>
      <c r="I216" s="151"/>
      <c r="J216" s="118"/>
      <c r="K216" s="162"/>
      <c r="L216" s="162"/>
      <c r="M216" s="162"/>
      <c r="N216" s="164"/>
      <c r="O216" s="165"/>
      <c r="P216" s="165"/>
      <c r="Q216" s="165"/>
      <c r="R216" s="166"/>
      <c r="S216" s="121"/>
      <c r="T216" s="155"/>
      <c r="U216" s="100"/>
      <c r="V216" s="100"/>
      <c r="W216" s="100"/>
      <c r="X216" s="100"/>
      <c r="Y216" s="100"/>
      <c r="Z216" s="100"/>
      <c r="AA216" s="100"/>
      <c r="AB216" s="100"/>
      <c r="AC216" s="100"/>
      <c r="AD216" s="100"/>
      <c r="AE216" s="100"/>
      <c r="AF216" s="100"/>
      <c r="AG216" s="100"/>
      <c r="AH216" s="100"/>
      <c r="AI216" s="100"/>
      <c r="AJ216" s="100"/>
    </row>
    <row r="217" spans="1:36" ht="19.5" customHeight="1" x14ac:dyDescent="0.3">
      <c r="A217" s="100"/>
      <c r="B217" s="173"/>
      <c r="C217" s="174"/>
      <c r="D217" s="186"/>
      <c r="E217" s="175"/>
      <c r="F217" s="116"/>
      <c r="G217" s="116"/>
      <c r="H217" s="163"/>
      <c r="I217" s="151"/>
      <c r="J217" s="118"/>
      <c r="K217" s="162"/>
      <c r="L217" s="162"/>
      <c r="M217" s="162"/>
      <c r="N217" s="164"/>
      <c r="O217" s="165"/>
      <c r="P217" s="165"/>
      <c r="Q217" s="165"/>
      <c r="R217" s="166"/>
      <c r="S217" s="121"/>
      <c r="T217" s="155"/>
      <c r="U217" s="100"/>
      <c r="V217" s="100"/>
      <c r="W217" s="100"/>
      <c r="X217" s="100"/>
      <c r="Y217" s="100"/>
      <c r="Z217" s="100"/>
      <c r="AA217" s="100"/>
      <c r="AB217" s="100"/>
      <c r="AC217" s="100"/>
      <c r="AD217" s="100"/>
      <c r="AE217" s="100"/>
      <c r="AF217" s="100"/>
      <c r="AG217" s="100"/>
      <c r="AH217" s="100"/>
      <c r="AI217" s="100"/>
      <c r="AJ217" s="100"/>
    </row>
    <row r="218" spans="1:36" ht="19.5" customHeight="1" x14ac:dyDescent="0.3">
      <c r="A218" s="100"/>
      <c r="B218" s="173"/>
      <c r="C218" s="174"/>
      <c r="D218" s="186"/>
      <c r="E218" s="175"/>
      <c r="F218" s="116"/>
      <c r="G218" s="163"/>
      <c r="H218" s="163"/>
      <c r="I218" s="151"/>
      <c r="J218" s="118"/>
      <c r="K218" s="162"/>
      <c r="L218" s="162"/>
      <c r="M218" s="162"/>
      <c r="N218" s="164"/>
      <c r="O218" s="165"/>
      <c r="P218" s="165"/>
      <c r="Q218" s="165"/>
      <c r="R218" s="166"/>
      <c r="S218" s="121"/>
      <c r="T218" s="155"/>
      <c r="U218" s="76"/>
      <c r="V218" s="100"/>
      <c r="W218" s="100"/>
      <c r="X218" s="100"/>
      <c r="Y218" s="100"/>
      <c r="Z218" s="100"/>
      <c r="AA218" s="100"/>
      <c r="AB218" s="100"/>
      <c r="AC218" s="100"/>
      <c r="AD218" s="100"/>
      <c r="AE218" s="100"/>
      <c r="AF218" s="100"/>
      <c r="AG218" s="100"/>
      <c r="AH218" s="100"/>
      <c r="AI218" s="100"/>
      <c r="AJ218" s="100"/>
    </row>
    <row r="219" spans="1:36" ht="19.5" customHeight="1" x14ac:dyDescent="0.3">
      <c r="A219" s="100"/>
      <c r="B219" s="177"/>
      <c r="C219" s="178"/>
      <c r="D219" s="197"/>
      <c r="E219" s="178"/>
      <c r="F219" s="180"/>
      <c r="G219" s="163"/>
      <c r="H219" s="163"/>
      <c r="I219" s="151"/>
      <c r="J219" s="118"/>
      <c r="K219" s="162"/>
      <c r="L219" s="162"/>
      <c r="M219" s="162"/>
      <c r="N219" s="164"/>
      <c r="O219" s="165"/>
      <c r="P219" s="165"/>
      <c r="Q219" s="165"/>
      <c r="R219" s="166"/>
      <c r="S219" s="121"/>
      <c r="T219" s="155"/>
      <c r="U219" s="76"/>
      <c r="V219" s="100"/>
      <c r="W219" s="100"/>
      <c r="X219" s="100"/>
      <c r="Y219" s="100"/>
      <c r="Z219" s="100"/>
      <c r="AA219" s="100"/>
      <c r="AB219" s="100"/>
      <c r="AC219" s="100"/>
      <c r="AD219" s="100"/>
      <c r="AE219" s="100"/>
      <c r="AF219" s="100"/>
      <c r="AG219" s="100"/>
      <c r="AH219" s="100"/>
      <c r="AI219" s="100"/>
      <c r="AJ219" s="100"/>
    </row>
    <row r="220" spans="1:36" ht="19.5" customHeight="1" x14ac:dyDescent="0.3">
      <c r="A220" s="100"/>
      <c r="B220" s="177"/>
      <c r="C220" s="178"/>
      <c r="D220" s="197"/>
      <c r="E220" s="178"/>
      <c r="F220" s="180"/>
      <c r="G220" s="163"/>
      <c r="H220" s="163"/>
      <c r="I220" s="151"/>
      <c r="J220" s="118"/>
      <c r="K220" s="162"/>
      <c r="L220" s="162"/>
      <c r="M220" s="162"/>
      <c r="N220" s="164"/>
      <c r="O220" s="165"/>
      <c r="P220" s="165"/>
      <c r="Q220" s="165"/>
      <c r="R220" s="166"/>
      <c r="S220" s="121"/>
      <c r="T220" s="155"/>
      <c r="U220" s="76"/>
      <c r="V220" s="100"/>
      <c r="W220" s="100"/>
      <c r="X220" s="100"/>
      <c r="Y220" s="100"/>
      <c r="Z220" s="100"/>
      <c r="AA220" s="100"/>
      <c r="AB220" s="100"/>
      <c r="AC220" s="100"/>
      <c r="AD220" s="100"/>
      <c r="AE220" s="100"/>
      <c r="AF220" s="100"/>
      <c r="AG220" s="100"/>
      <c r="AH220" s="100"/>
      <c r="AI220" s="100"/>
      <c r="AJ220" s="100"/>
    </row>
    <row r="221" spans="1:36" ht="19.5" customHeight="1" x14ac:dyDescent="0.3">
      <c r="A221" s="100"/>
      <c r="B221" s="173"/>
      <c r="C221" s="173"/>
      <c r="D221" s="186"/>
      <c r="E221" s="175"/>
      <c r="F221" s="116"/>
      <c r="G221" s="163"/>
      <c r="H221" s="163"/>
      <c r="I221" s="151"/>
      <c r="J221" s="118"/>
      <c r="K221" s="162"/>
      <c r="L221" s="162"/>
      <c r="M221" s="162"/>
      <c r="N221" s="164"/>
      <c r="O221" s="165"/>
      <c r="P221" s="165"/>
      <c r="Q221" s="165"/>
      <c r="R221" s="166"/>
      <c r="S221" s="121"/>
      <c r="T221" s="155"/>
      <c r="U221" s="100"/>
      <c r="V221" s="100"/>
      <c r="W221" s="100"/>
      <c r="X221" s="100"/>
      <c r="Y221" s="100"/>
      <c r="Z221" s="100"/>
      <c r="AA221" s="100"/>
      <c r="AB221" s="100"/>
      <c r="AC221" s="100"/>
      <c r="AD221" s="100"/>
      <c r="AE221" s="100"/>
      <c r="AF221" s="100"/>
      <c r="AG221" s="100"/>
      <c r="AH221" s="100"/>
      <c r="AI221" s="100"/>
      <c r="AJ221" s="100"/>
    </row>
    <row r="222" spans="1:36" ht="19.5" customHeight="1" x14ac:dyDescent="0.3">
      <c r="A222" s="100"/>
      <c r="B222" s="173"/>
      <c r="C222" s="174"/>
      <c r="D222" s="186"/>
      <c r="E222" s="175"/>
      <c r="F222" s="116"/>
      <c r="G222" s="163"/>
      <c r="H222" s="163"/>
      <c r="I222" s="151"/>
      <c r="J222" s="118"/>
      <c r="K222" s="162"/>
      <c r="L222" s="162"/>
      <c r="M222" s="162"/>
      <c r="N222" s="164"/>
      <c r="O222" s="165"/>
      <c r="P222" s="165"/>
      <c r="Q222" s="165"/>
      <c r="R222" s="166"/>
      <c r="S222" s="121"/>
      <c r="T222" s="155"/>
      <c r="U222" s="100"/>
      <c r="V222" s="100"/>
      <c r="W222" s="100"/>
      <c r="X222" s="100"/>
      <c r="Y222" s="100"/>
      <c r="Z222" s="100"/>
      <c r="AA222" s="100"/>
      <c r="AB222" s="100"/>
      <c r="AC222" s="100"/>
      <c r="AD222" s="100"/>
      <c r="AE222" s="100"/>
      <c r="AF222" s="100"/>
      <c r="AG222" s="100"/>
      <c r="AH222" s="100"/>
      <c r="AI222" s="100"/>
      <c r="AJ222" s="100"/>
    </row>
    <row r="223" spans="1:36" ht="19.5" customHeight="1" x14ac:dyDescent="0.3">
      <c r="A223" s="100"/>
      <c r="B223" s="173"/>
      <c r="C223" s="174"/>
      <c r="D223" s="186"/>
      <c r="E223" s="175"/>
      <c r="F223" s="116"/>
      <c r="G223" s="163"/>
      <c r="H223" s="163"/>
      <c r="I223" s="151"/>
      <c r="J223" s="118"/>
      <c r="K223" s="162"/>
      <c r="L223" s="162"/>
      <c r="M223" s="162"/>
      <c r="N223" s="164"/>
      <c r="O223" s="165"/>
      <c r="P223" s="165"/>
      <c r="Q223" s="165"/>
      <c r="R223" s="166"/>
      <c r="S223" s="121"/>
      <c r="T223" s="155"/>
      <c r="U223" s="100"/>
      <c r="V223" s="100"/>
      <c r="W223" s="100"/>
      <c r="X223" s="100"/>
      <c r="Y223" s="100"/>
      <c r="Z223" s="100"/>
      <c r="AA223" s="100"/>
      <c r="AB223" s="100"/>
      <c r="AC223" s="100"/>
      <c r="AD223" s="100"/>
      <c r="AE223" s="100"/>
      <c r="AF223" s="100"/>
      <c r="AG223" s="100"/>
      <c r="AH223" s="100"/>
      <c r="AI223" s="100"/>
      <c r="AJ223" s="100"/>
    </row>
    <row r="224" spans="1:36" s="148" customFormat="1" ht="19.5" customHeight="1" x14ac:dyDescent="0.3">
      <c r="A224" s="138"/>
      <c r="B224" s="139"/>
      <c r="C224" s="139"/>
      <c r="D224" s="143"/>
      <c r="E224" s="158"/>
      <c r="F224" s="158"/>
      <c r="G224" s="158"/>
      <c r="H224" s="158"/>
      <c r="I224" s="142"/>
      <c r="J224" s="143"/>
      <c r="K224" s="143"/>
      <c r="L224" s="143"/>
      <c r="M224" s="143"/>
      <c r="N224" s="159"/>
      <c r="O224" s="145"/>
      <c r="P224" s="145"/>
      <c r="Q224" s="145"/>
      <c r="R224" s="146"/>
      <c r="S224" s="147"/>
      <c r="T224" s="155"/>
      <c r="U224" s="138"/>
      <c r="V224" s="138"/>
      <c r="W224" s="138"/>
      <c r="X224" s="138"/>
      <c r="Y224" s="138"/>
      <c r="Z224" s="138"/>
      <c r="AA224" s="138"/>
      <c r="AB224" s="138"/>
      <c r="AC224" s="138"/>
      <c r="AD224" s="138"/>
      <c r="AE224" s="138"/>
      <c r="AF224" s="138"/>
      <c r="AG224" s="138"/>
      <c r="AH224" s="138"/>
      <c r="AI224" s="138"/>
      <c r="AJ224" s="138"/>
    </row>
    <row r="225" spans="1:36" ht="19.5" customHeight="1" x14ac:dyDescent="0.3">
      <c r="A225" s="100"/>
      <c r="B225" s="173"/>
      <c r="C225" s="174"/>
      <c r="D225" s="186"/>
      <c r="E225" s="175"/>
      <c r="F225" s="116"/>
      <c r="G225" s="163"/>
      <c r="H225" s="163"/>
      <c r="I225" s="151"/>
      <c r="J225" s="118"/>
      <c r="K225" s="162"/>
      <c r="L225" s="162"/>
      <c r="M225" s="162"/>
      <c r="N225" s="164"/>
      <c r="O225" s="165"/>
      <c r="P225" s="165"/>
      <c r="Q225" s="165"/>
      <c r="R225" s="166"/>
      <c r="S225" s="121"/>
      <c r="T225" s="155"/>
      <c r="U225" s="100"/>
      <c r="V225" s="100"/>
      <c r="W225" s="100"/>
      <c r="X225" s="100"/>
      <c r="Y225" s="100"/>
      <c r="Z225" s="100"/>
      <c r="AA225" s="100"/>
      <c r="AB225" s="100"/>
      <c r="AC225" s="100"/>
      <c r="AD225" s="100"/>
      <c r="AE225" s="100"/>
      <c r="AF225" s="100"/>
      <c r="AG225" s="100"/>
      <c r="AH225" s="100"/>
      <c r="AI225" s="100"/>
      <c r="AJ225" s="100"/>
    </row>
    <row r="226" spans="1:36" ht="19.5" customHeight="1" x14ac:dyDescent="0.3">
      <c r="A226" s="100"/>
      <c r="B226" s="173"/>
      <c r="C226" s="174"/>
      <c r="D226" s="186"/>
      <c r="E226" s="175"/>
      <c r="F226" s="116"/>
      <c r="G226" s="163"/>
      <c r="H226" s="163"/>
      <c r="I226" s="151"/>
      <c r="J226" s="118"/>
      <c r="K226" s="162"/>
      <c r="L226" s="162"/>
      <c r="M226" s="162"/>
      <c r="N226" s="164"/>
      <c r="O226" s="165"/>
      <c r="P226" s="165"/>
      <c r="Q226" s="165"/>
      <c r="R226" s="166"/>
      <c r="S226" s="121"/>
      <c r="T226" s="155"/>
      <c r="U226" s="100"/>
      <c r="V226" s="100"/>
      <c r="W226" s="100"/>
      <c r="X226" s="100"/>
      <c r="Y226" s="100"/>
      <c r="Z226" s="100"/>
      <c r="AA226" s="100"/>
      <c r="AB226" s="100"/>
      <c r="AC226" s="100"/>
      <c r="AD226" s="100"/>
      <c r="AE226" s="100"/>
      <c r="AF226" s="100"/>
      <c r="AG226" s="100"/>
      <c r="AH226" s="100"/>
      <c r="AI226" s="100"/>
      <c r="AJ226" s="100"/>
    </row>
    <row r="227" spans="1:36" ht="19.5" customHeight="1" x14ac:dyDescent="0.3">
      <c r="A227" s="100"/>
      <c r="B227" s="173"/>
      <c r="C227" s="174"/>
      <c r="D227" s="186"/>
      <c r="E227" s="175"/>
      <c r="F227" s="116"/>
      <c r="G227" s="163"/>
      <c r="H227" s="163"/>
      <c r="I227" s="151"/>
      <c r="J227" s="118"/>
      <c r="K227" s="162"/>
      <c r="L227" s="162"/>
      <c r="M227" s="162"/>
      <c r="N227" s="164"/>
      <c r="O227" s="165"/>
      <c r="P227" s="165"/>
      <c r="Q227" s="165"/>
      <c r="R227" s="166"/>
      <c r="S227" s="121"/>
      <c r="T227" s="155"/>
      <c r="U227" s="100"/>
      <c r="V227" s="100"/>
      <c r="W227" s="100"/>
      <c r="X227" s="100"/>
      <c r="Y227" s="100"/>
      <c r="Z227" s="100"/>
      <c r="AA227" s="100"/>
      <c r="AB227" s="100"/>
      <c r="AC227" s="100"/>
      <c r="AD227" s="100"/>
      <c r="AE227" s="100"/>
      <c r="AF227" s="100"/>
      <c r="AG227" s="100"/>
      <c r="AH227" s="100"/>
      <c r="AI227" s="100"/>
      <c r="AJ227" s="100"/>
    </row>
    <row r="228" spans="1:36" ht="19.5" customHeight="1" x14ac:dyDescent="0.3">
      <c r="A228" s="100"/>
      <c r="B228" s="173"/>
      <c r="C228" s="174"/>
      <c r="D228" s="186"/>
      <c r="E228" s="175"/>
      <c r="F228" s="116"/>
      <c r="G228" s="163"/>
      <c r="H228" s="163"/>
      <c r="I228" s="151"/>
      <c r="J228" s="118"/>
      <c r="K228" s="162"/>
      <c r="L228" s="162"/>
      <c r="M228" s="162"/>
      <c r="N228" s="164"/>
      <c r="O228" s="165"/>
      <c r="P228" s="165"/>
      <c r="Q228" s="165"/>
      <c r="R228" s="166"/>
      <c r="S228" s="121"/>
      <c r="T228" s="155"/>
      <c r="U228" s="100"/>
      <c r="V228" s="100"/>
      <c r="W228" s="100"/>
      <c r="X228" s="100"/>
      <c r="Y228" s="100"/>
      <c r="Z228" s="100"/>
      <c r="AA228" s="100"/>
      <c r="AB228" s="100"/>
      <c r="AC228" s="100"/>
      <c r="AD228" s="100"/>
      <c r="AE228" s="100"/>
      <c r="AF228" s="100"/>
      <c r="AG228" s="100"/>
      <c r="AH228" s="100"/>
      <c r="AI228" s="100"/>
      <c r="AJ228" s="100"/>
    </row>
    <row r="229" spans="1:36" ht="19.5" customHeight="1" x14ac:dyDescent="0.3">
      <c r="A229" s="100"/>
      <c r="B229" s="173"/>
      <c r="C229" s="174"/>
      <c r="D229" s="186"/>
      <c r="E229" s="175"/>
      <c r="F229" s="116"/>
      <c r="G229" s="163"/>
      <c r="H229" s="163"/>
      <c r="I229" s="151"/>
      <c r="J229" s="118"/>
      <c r="K229" s="162"/>
      <c r="L229" s="162"/>
      <c r="M229" s="162"/>
      <c r="N229" s="164"/>
      <c r="O229" s="165"/>
      <c r="P229" s="165"/>
      <c r="Q229" s="165"/>
      <c r="R229" s="166"/>
      <c r="S229" s="121"/>
      <c r="T229" s="155"/>
      <c r="U229" s="100"/>
      <c r="V229" s="100"/>
      <c r="W229" s="100"/>
      <c r="X229" s="100"/>
      <c r="Y229" s="100"/>
      <c r="Z229" s="100"/>
      <c r="AA229" s="100"/>
      <c r="AB229" s="100"/>
      <c r="AC229" s="100"/>
      <c r="AD229" s="100"/>
      <c r="AE229" s="100"/>
      <c r="AF229" s="100"/>
      <c r="AG229" s="100"/>
      <c r="AH229" s="100"/>
      <c r="AI229" s="100"/>
      <c r="AJ229" s="100"/>
    </row>
    <row r="230" spans="1:36" ht="19.5" customHeight="1" x14ac:dyDescent="0.3">
      <c r="A230" s="100"/>
      <c r="B230" s="173"/>
      <c r="C230" s="174"/>
      <c r="D230" s="186"/>
      <c r="E230" s="175"/>
      <c r="F230" s="116"/>
      <c r="G230" s="198"/>
      <c r="H230" s="163"/>
      <c r="I230" s="151"/>
      <c r="J230" s="118"/>
      <c r="K230" s="162"/>
      <c r="L230" s="162"/>
      <c r="M230" s="162"/>
      <c r="N230" s="164"/>
      <c r="O230" s="165"/>
      <c r="P230" s="165"/>
      <c r="Q230" s="165"/>
      <c r="R230" s="166"/>
      <c r="S230" s="121"/>
      <c r="T230" s="155"/>
      <c r="U230" s="100"/>
      <c r="V230" s="100"/>
      <c r="W230" s="100"/>
      <c r="X230" s="100"/>
      <c r="Y230" s="100"/>
      <c r="Z230" s="100"/>
      <c r="AA230" s="100"/>
      <c r="AB230" s="100"/>
      <c r="AC230" s="100"/>
      <c r="AD230" s="100"/>
      <c r="AE230" s="100"/>
      <c r="AF230" s="100"/>
      <c r="AG230" s="100"/>
      <c r="AH230" s="100"/>
      <c r="AI230" s="100"/>
      <c r="AJ230" s="100"/>
    </row>
    <row r="231" spans="1:36" ht="19.5" customHeight="1" x14ac:dyDescent="0.3">
      <c r="A231" s="100"/>
      <c r="B231" s="173"/>
      <c r="C231" s="174"/>
      <c r="D231" s="186"/>
      <c r="E231" s="175"/>
      <c r="F231" s="116"/>
      <c r="G231" s="163"/>
      <c r="H231" s="163"/>
      <c r="I231" s="151"/>
      <c r="J231" s="118"/>
      <c r="K231" s="162"/>
      <c r="L231" s="162"/>
      <c r="M231" s="162"/>
      <c r="N231" s="164"/>
      <c r="O231" s="165"/>
      <c r="P231" s="165"/>
      <c r="Q231" s="165"/>
      <c r="R231" s="166"/>
      <c r="S231" s="121"/>
      <c r="T231" s="155"/>
      <c r="U231" s="100"/>
      <c r="V231" s="100"/>
      <c r="W231" s="100"/>
      <c r="X231" s="100"/>
      <c r="Y231" s="100"/>
      <c r="Z231" s="100"/>
      <c r="AA231" s="100"/>
      <c r="AB231" s="100"/>
      <c r="AC231" s="100"/>
      <c r="AD231" s="100"/>
      <c r="AE231" s="100"/>
      <c r="AF231" s="100"/>
      <c r="AG231" s="100"/>
      <c r="AH231" s="100"/>
      <c r="AI231" s="100"/>
      <c r="AJ231" s="100"/>
    </row>
    <row r="232" spans="1:36" ht="19.5" customHeight="1" x14ac:dyDescent="0.3">
      <c r="A232" s="100"/>
      <c r="B232" s="173"/>
      <c r="C232" s="174"/>
      <c r="D232" s="186"/>
      <c r="E232" s="175"/>
      <c r="F232" s="116"/>
      <c r="G232" s="198"/>
      <c r="H232" s="163"/>
      <c r="I232" s="151"/>
      <c r="J232" s="118"/>
      <c r="K232" s="162"/>
      <c r="L232" s="162"/>
      <c r="M232" s="162"/>
      <c r="N232" s="164"/>
      <c r="O232" s="165"/>
      <c r="P232" s="165"/>
      <c r="Q232" s="165"/>
      <c r="R232" s="166"/>
      <c r="S232" s="121"/>
      <c r="T232" s="155"/>
      <c r="U232" s="100"/>
      <c r="V232" s="100"/>
      <c r="W232" s="100"/>
      <c r="X232" s="100"/>
      <c r="Y232" s="100"/>
      <c r="Z232" s="100"/>
      <c r="AA232" s="100"/>
      <c r="AB232" s="100"/>
      <c r="AC232" s="100"/>
      <c r="AD232" s="100"/>
      <c r="AE232" s="100"/>
      <c r="AF232" s="100"/>
      <c r="AG232" s="100"/>
      <c r="AH232" s="100"/>
      <c r="AI232" s="100"/>
      <c r="AJ232" s="100"/>
    </row>
    <row r="233" spans="1:36" ht="19.5" customHeight="1" x14ac:dyDescent="0.3">
      <c r="A233" s="100"/>
      <c r="B233" s="173"/>
      <c r="C233" s="174"/>
      <c r="D233" s="186"/>
      <c r="E233" s="175"/>
      <c r="F233" s="116"/>
      <c r="G233" s="163"/>
      <c r="H233" s="163"/>
      <c r="I233" s="151"/>
      <c r="J233" s="118"/>
      <c r="K233" s="162"/>
      <c r="L233" s="162"/>
      <c r="M233" s="162"/>
      <c r="N233" s="164"/>
      <c r="O233" s="165"/>
      <c r="P233" s="165"/>
      <c r="Q233" s="165"/>
      <c r="R233" s="166"/>
      <c r="S233" s="121"/>
      <c r="T233" s="155"/>
      <c r="U233" s="100"/>
      <c r="V233" s="100"/>
      <c r="W233" s="100"/>
      <c r="X233" s="100"/>
      <c r="Y233" s="100"/>
      <c r="Z233" s="100"/>
      <c r="AA233" s="100"/>
      <c r="AB233" s="100"/>
      <c r="AC233" s="100"/>
      <c r="AD233" s="100"/>
      <c r="AE233" s="100"/>
      <c r="AF233" s="100"/>
      <c r="AG233" s="100"/>
      <c r="AH233" s="100"/>
      <c r="AI233" s="100"/>
      <c r="AJ233" s="100"/>
    </row>
    <row r="234" spans="1:36" ht="19.5" customHeight="1" x14ac:dyDescent="0.3">
      <c r="A234" s="100"/>
      <c r="B234" s="173"/>
      <c r="C234" s="174"/>
      <c r="D234" s="186"/>
      <c r="E234" s="175"/>
      <c r="F234" s="116"/>
      <c r="G234" s="198"/>
      <c r="H234" s="163"/>
      <c r="I234" s="151"/>
      <c r="J234" s="118"/>
      <c r="K234" s="162"/>
      <c r="L234" s="162"/>
      <c r="M234" s="162"/>
      <c r="N234" s="164"/>
      <c r="O234" s="165"/>
      <c r="P234" s="165"/>
      <c r="Q234" s="165"/>
      <c r="R234" s="166"/>
      <c r="S234" s="121"/>
      <c r="T234" s="155"/>
      <c r="U234" s="100"/>
      <c r="V234" s="100"/>
      <c r="W234" s="100"/>
      <c r="X234" s="100"/>
      <c r="Y234" s="100"/>
      <c r="Z234" s="100"/>
      <c r="AA234" s="100"/>
      <c r="AB234" s="100"/>
      <c r="AC234" s="100"/>
      <c r="AD234" s="100"/>
      <c r="AE234" s="100"/>
      <c r="AF234" s="100"/>
      <c r="AG234" s="100"/>
      <c r="AH234" s="100"/>
      <c r="AI234" s="100"/>
      <c r="AJ234" s="100"/>
    </row>
    <row r="235" spans="1:36" ht="19.5" customHeight="1" x14ac:dyDescent="0.3">
      <c r="A235" s="100"/>
      <c r="B235" s="173"/>
      <c r="C235" s="174"/>
      <c r="D235" s="186"/>
      <c r="E235" s="175"/>
      <c r="F235" s="116"/>
      <c r="G235" s="163"/>
      <c r="H235" s="163"/>
      <c r="I235" s="151"/>
      <c r="J235" s="118"/>
      <c r="K235" s="162"/>
      <c r="L235" s="162"/>
      <c r="M235" s="162"/>
      <c r="N235" s="164"/>
      <c r="O235" s="165"/>
      <c r="P235" s="165"/>
      <c r="Q235" s="165"/>
      <c r="R235" s="166"/>
      <c r="S235" s="121"/>
      <c r="T235" s="155"/>
      <c r="U235" s="100"/>
      <c r="V235" s="100"/>
      <c r="W235" s="100"/>
      <c r="X235" s="100"/>
      <c r="Y235" s="100"/>
      <c r="Z235" s="100"/>
      <c r="AA235" s="100"/>
      <c r="AB235" s="100"/>
      <c r="AC235" s="100"/>
      <c r="AD235" s="100"/>
      <c r="AE235" s="100"/>
      <c r="AF235" s="100"/>
      <c r="AG235" s="100"/>
      <c r="AH235" s="100"/>
      <c r="AI235" s="100"/>
      <c r="AJ235" s="100"/>
    </row>
    <row r="236" spans="1:36" ht="19.5" customHeight="1" x14ac:dyDescent="0.3">
      <c r="A236" s="100"/>
      <c r="B236" s="173"/>
      <c r="C236" s="174"/>
      <c r="D236" s="186"/>
      <c r="E236" s="175"/>
      <c r="F236" s="116"/>
      <c r="G236" s="163"/>
      <c r="H236" s="163"/>
      <c r="I236" s="151"/>
      <c r="J236" s="118"/>
      <c r="K236" s="162"/>
      <c r="L236" s="162"/>
      <c r="M236" s="162"/>
      <c r="N236" s="164"/>
      <c r="O236" s="165"/>
      <c r="P236" s="165"/>
      <c r="Q236" s="165"/>
      <c r="R236" s="166"/>
      <c r="S236" s="121"/>
      <c r="T236" s="155"/>
      <c r="U236" s="100"/>
      <c r="V236" s="100"/>
      <c r="W236" s="100"/>
      <c r="X236" s="100"/>
      <c r="Y236" s="100"/>
      <c r="Z236" s="100"/>
      <c r="AA236" s="100"/>
      <c r="AB236" s="100"/>
      <c r="AC236" s="100"/>
      <c r="AD236" s="100"/>
      <c r="AE236" s="100"/>
      <c r="AF236" s="100"/>
      <c r="AG236" s="100"/>
      <c r="AH236" s="100"/>
      <c r="AI236" s="100"/>
      <c r="AJ236" s="100"/>
    </row>
    <row r="237" spans="1:36" ht="19.5" customHeight="1" x14ac:dyDescent="0.3">
      <c r="A237" s="100"/>
      <c r="B237" s="173"/>
      <c r="C237" s="174"/>
      <c r="D237" s="186"/>
      <c r="E237" s="175"/>
      <c r="F237" s="116"/>
      <c r="G237" s="163"/>
      <c r="H237" s="163"/>
      <c r="I237" s="151"/>
      <c r="J237" s="118"/>
      <c r="K237" s="162"/>
      <c r="L237" s="162"/>
      <c r="M237" s="162"/>
      <c r="N237" s="164"/>
      <c r="O237" s="165"/>
      <c r="P237" s="165"/>
      <c r="Q237" s="165"/>
      <c r="R237" s="166"/>
      <c r="S237" s="121"/>
      <c r="T237" s="155"/>
      <c r="U237" s="100"/>
      <c r="V237" s="100"/>
      <c r="W237" s="100"/>
      <c r="X237" s="100"/>
      <c r="Y237" s="100"/>
      <c r="Z237" s="100"/>
      <c r="AA237" s="100"/>
      <c r="AB237" s="100"/>
      <c r="AC237" s="100"/>
      <c r="AD237" s="100"/>
      <c r="AE237" s="100"/>
      <c r="AF237" s="100"/>
      <c r="AG237" s="100"/>
      <c r="AH237" s="100"/>
      <c r="AI237" s="100"/>
      <c r="AJ237" s="100"/>
    </row>
    <row r="238" spans="1:36" ht="19.5" customHeight="1" x14ac:dyDescent="0.3">
      <c r="A238" s="100"/>
      <c r="B238" s="173"/>
      <c r="C238" s="174"/>
      <c r="D238" s="186"/>
      <c r="E238" s="175"/>
      <c r="F238" s="116"/>
      <c r="G238" s="163"/>
      <c r="H238" s="163"/>
      <c r="I238" s="151"/>
      <c r="J238" s="118"/>
      <c r="K238" s="162"/>
      <c r="L238" s="162"/>
      <c r="M238" s="162"/>
      <c r="N238" s="164"/>
      <c r="O238" s="165"/>
      <c r="P238" s="165"/>
      <c r="Q238" s="165"/>
      <c r="R238" s="166"/>
      <c r="S238" s="121"/>
      <c r="T238" s="155"/>
      <c r="U238" s="100"/>
      <c r="V238" s="100"/>
      <c r="W238" s="100"/>
      <c r="X238" s="100"/>
      <c r="Y238" s="100"/>
      <c r="Z238" s="100"/>
      <c r="AA238" s="100"/>
      <c r="AB238" s="100"/>
      <c r="AC238" s="100"/>
      <c r="AD238" s="100"/>
      <c r="AE238" s="100"/>
      <c r="AF238" s="100"/>
      <c r="AG238" s="100"/>
      <c r="AH238" s="100"/>
      <c r="AI238" s="100"/>
      <c r="AJ238" s="100"/>
    </row>
    <row r="239" spans="1:36" ht="19.5" customHeight="1" x14ac:dyDescent="0.3">
      <c r="A239" s="100"/>
      <c r="B239" s="173"/>
      <c r="C239" s="174"/>
      <c r="D239" s="186"/>
      <c r="E239" s="175"/>
      <c r="F239" s="116"/>
      <c r="G239" s="163"/>
      <c r="H239" s="163"/>
      <c r="I239" s="151"/>
      <c r="J239" s="118"/>
      <c r="K239" s="162"/>
      <c r="L239" s="162"/>
      <c r="M239" s="162"/>
      <c r="N239" s="164"/>
      <c r="O239" s="165"/>
      <c r="P239" s="165"/>
      <c r="Q239" s="165"/>
      <c r="R239" s="166"/>
      <c r="S239" s="121"/>
      <c r="T239" s="155"/>
      <c r="U239" s="100"/>
      <c r="V239" s="100"/>
      <c r="W239" s="100"/>
      <c r="X239" s="100"/>
      <c r="Y239" s="100"/>
      <c r="Z239" s="100"/>
      <c r="AA239" s="100"/>
      <c r="AB239" s="100"/>
      <c r="AC239" s="100"/>
      <c r="AD239" s="100"/>
      <c r="AE239" s="100"/>
      <c r="AF239" s="100"/>
      <c r="AG239" s="100"/>
      <c r="AH239" s="100"/>
      <c r="AI239" s="100"/>
      <c r="AJ239" s="100"/>
    </row>
    <row r="240" spans="1:36" ht="19.5" customHeight="1" x14ac:dyDescent="0.3">
      <c r="A240" s="100"/>
      <c r="B240" s="173"/>
      <c r="C240" s="174"/>
      <c r="D240" s="186"/>
      <c r="E240" s="175"/>
      <c r="F240" s="116"/>
      <c r="G240" s="163"/>
      <c r="H240" s="163"/>
      <c r="I240" s="151"/>
      <c r="J240" s="118"/>
      <c r="K240" s="162"/>
      <c r="L240" s="162"/>
      <c r="M240" s="162"/>
      <c r="N240" s="164"/>
      <c r="O240" s="165"/>
      <c r="P240" s="165"/>
      <c r="Q240" s="165"/>
      <c r="R240" s="166"/>
      <c r="S240" s="121"/>
      <c r="T240" s="155"/>
      <c r="U240" s="100"/>
      <c r="V240" s="100"/>
      <c r="W240" s="100"/>
      <c r="X240" s="100"/>
      <c r="Y240" s="100"/>
      <c r="Z240" s="100"/>
      <c r="AA240" s="100"/>
      <c r="AB240" s="100"/>
      <c r="AC240" s="100"/>
      <c r="AD240" s="100"/>
      <c r="AE240" s="100"/>
      <c r="AF240" s="100"/>
      <c r="AG240" s="100"/>
      <c r="AH240" s="100"/>
      <c r="AI240" s="100"/>
      <c r="AJ240" s="100"/>
    </row>
    <row r="241" spans="1:36" s="189" customFormat="1" ht="19.5" customHeight="1" x14ac:dyDescent="0.3">
      <c r="A241" s="100"/>
      <c r="B241" s="199"/>
      <c r="C241" s="199"/>
      <c r="D241" s="199"/>
      <c r="E241" s="200"/>
      <c r="F241" s="200"/>
      <c r="G241" s="200"/>
      <c r="H241" s="200"/>
      <c r="I241" s="201"/>
      <c r="J241" s="202"/>
      <c r="K241" s="202"/>
      <c r="L241" s="202"/>
      <c r="M241" s="202"/>
      <c r="N241" s="203"/>
      <c r="O241" s="204"/>
      <c r="P241" s="204"/>
      <c r="Q241" s="204"/>
      <c r="R241" s="205"/>
      <c r="S241" s="206"/>
      <c r="T241" s="207"/>
      <c r="U241" s="100"/>
      <c r="V241" s="100"/>
      <c r="W241" s="100"/>
      <c r="X241" s="100"/>
      <c r="Y241" s="100"/>
      <c r="Z241" s="100"/>
      <c r="AA241" s="100"/>
      <c r="AB241" s="100"/>
      <c r="AC241" s="100"/>
      <c r="AD241" s="100"/>
      <c r="AE241" s="100"/>
      <c r="AF241" s="100"/>
      <c r="AG241" s="100"/>
      <c r="AH241" s="100"/>
      <c r="AI241" s="100"/>
      <c r="AJ241" s="100"/>
    </row>
    <row r="242" spans="1:36" s="148" customFormat="1" ht="19.5" customHeight="1" x14ac:dyDescent="0.3">
      <c r="A242" s="138"/>
      <c r="B242" s="139"/>
      <c r="C242" s="140"/>
      <c r="D242" s="140"/>
      <c r="E242" s="141"/>
      <c r="F242" s="141"/>
      <c r="G242" s="141"/>
      <c r="H242" s="141"/>
      <c r="I242" s="142"/>
      <c r="J242" s="143"/>
      <c r="K242" s="140"/>
      <c r="L242" s="140"/>
      <c r="M242" s="140"/>
      <c r="N242" s="159"/>
      <c r="O242" s="160"/>
      <c r="P242" s="160"/>
      <c r="Q242" s="160"/>
      <c r="R242" s="161"/>
      <c r="S242" s="147"/>
      <c r="T242" s="155"/>
      <c r="U242" s="138"/>
      <c r="V242" s="138"/>
      <c r="W242" s="138"/>
      <c r="X242" s="138"/>
      <c r="Y242" s="138"/>
      <c r="Z242" s="138"/>
      <c r="AA242" s="138"/>
      <c r="AB242" s="138"/>
      <c r="AC242" s="138"/>
      <c r="AD242" s="138"/>
      <c r="AE242" s="138"/>
      <c r="AF242" s="138"/>
      <c r="AG242" s="138"/>
      <c r="AH242" s="138"/>
      <c r="AI242" s="138"/>
      <c r="AJ242" s="138"/>
    </row>
    <row r="243" spans="1:36" ht="19.5" customHeight="1" x14ac:dyDescent="0.3">
      <c r="A243" s="76"/>
      <c r="B243" s="170"/>
      <c r="C243" s="171"/>
      <c r="D243" s="162"/>
      <c r="E243" s="171"/>
      <c r="F243" s="116"/>
      <c r="G243" s="116"/>
      <c r="H243" s="163"/>
      <c r="I243" s="151"/>
      <c r="J243" s="127"/>
      <c r="K243" s="162"/>
      <c r="L243" s="162"/>
      <c r="M243" s="162"/>
      <c r="N243" s="164"/>
      <c r="O243" s="165"/>
      <c r="P243" s="165"/>
      <c r="Q243" s="165"/>
      <c r="R243" s="166"/>
      <c r="S243" s="83"/>
      <c r="T243" s="155"/>
      <c r="U243" s="76"/>
      <c r="V243" s="76"/>
      <c r="W243" s="76"/>
      <c r="X243" s="76"/>
      <c r="Y243" s="76"/>
      <c r="Z243" s="76"/>
      <c r="AA243" s="76"/>
      <c r="AB243" s="76"/>
      <c r="AC243" s="76"/>
      <c r="AD243" s="76"/>
      <c r="AE243" s="76"/>
      <c r="AF243" s="76"/>
      <c r="AG243" s="76"/>
      <c r="AH243" s="76"/>
      <c r="AI243" s="76"/>
      <c r="AJ243" s="76"/>
    </row>
    <row r="244" spans="1:36" ht="19.5" customHeight="1" x14ac:dyDescent="0.3">
      <c r="A244" s="76"/>
      <c r="B244" s="170"/>
      <c r="C244" s="171"/>
      <c r="D244" s="162"/>
      <c r="E244" s="171"/>
      <c r="F244" s="116"/>
      <c r="G244" s="116"/>
      <c r="H244" s="163"/>
      <c r="I244" s="151"/>
      <c r="J244" s="127"/>
      <c r="K244" s="162"/>
      <c r="L244" s="162"/>
      <c r="M244" s="162"/>
      <c r="N244" s="164"/>
      <c r="O244" s="165"/>
      <c r="P244" s="165"/>
      <c r="Q244" s="165"/>
      <c r="R244" s="166"/>
      <c r="S244" s="83"/>
      <c r="T244" s="155"/>
      <c r="U244" s="76"/>
      <c r="V244" s="76"/>
      <c r="W244" s="76"/>
      <c r="X244" s="76"/>
      <c r="Y244" s="76"/>
      <c r="Z244" s="76"/>
      <c r="AA244" s="76"/>
      <c r="AB244" s="76"/>
      <c r="AC244" s="76"/>
      <c r="AD244" s="76"/>
      <c r="AE244" s="76"/>
      <c r="AF244" s="76"/>
      <c r="AG244" s="76"/>
      <c r="AH244" s="76"/>
      <c r="AI244" s="76"/>
      <c r="AJ244" s="76"/>
    </row>
    <row r="245" spans="1:36" ht="32.25" customHeight="1" x14ac:dyDescent="0.3">
      <c r="A245" s="76"/>
      <c r="B245" s="170"/>
      <c r="C245" s="171"/>
      <c r="D245" s="162"/>
      <c r="E245" s="171"/>
      <c r="F245" s="116"/>
      <c r="G245" s="116"/>
      <c r="H245" s="163"/>
      <c r="I245" s="151"/>
      <c r="J245" s="127"/>
      <c r="K245" s="162"/>
      <c r="L245" s="162"/>
      <c r="M245" s="162"/>
      <c r="N245" s="164"/>
      <c r="O245" s="165"/>
      <c r="P245" s="165"/>
      <c r="Q245" s="165"/>
      <c r="R245" s="166"/>
      <c r="S245" s="83"/>
      <c r="T245" s="155"/>
      <c r="U245" s="76"/>
      <c r="V245" s="76"/>
      <c r="W245" s="76"/>
      <c r="X245" s="76"/>
      <c r="Y245" s="76"/>
      <c r="Z245" s="76"/>
      <c r="AA245" s="76"/>
      <c r="AB245" s="76"/>
      <c r="AC245" s="76"/>
      <c r="AD245" s="76"/>
      <c r="AE245" s="76"/>
      <c r="AF245" s="76"/>
      <c r="AG245" s="76"/>
      <c r="AH245" s="76"/>
      <c r="AI245" s="76"/>
      <c r="AJ245" s="76"/>
    </row>
    <row r="246" spans="1:36" ht="19.5" customHeight="1" x14ac:dyDescent="0.3">
      <c r="A246" s="76"/>
      <c r="B246" s="170"/>
      <c r="C246" s="171"/>
      <c r="D246" s="162"/>
      <c r="E246" s="171"/>
      <c r="F246" s="116"/>
      <c r="G246" s="116"/>
      <c r="H246" s="163"/>
      <c r="I246" s="151"/>
      <c r="J246" s="127"/>
      <c r="K246" s="162"/>
      <c r="L246" s="162"/>
      <c r="M246" s="162"/>
      <c r="N246" s="164"/>
      <c r="O246" s="165"/>
      <c r="P246" s="165"/>
      <c r="Q246" s="165"/>
      <c r="R246" s="166"/>
      <c r="S246" s="83"/>
      <c r="T246" s="155"/>
      <c r="U246" s="76"/>
      <c r="V246" s="76"/>
      <c r="W246" s="76"/>
      <c r="X246" s="76"/>
      <c r="Y246" s="76"/>
      <c r="Z246" s="76"/>
      <c r="AA246" s="76"/>
      <c r="AB246" s="76"/>
      <c r="AC246" s="76"/>
      <c r="AD246" s="76"/>
      <c r="AE246" s="76"/>
      <c r="AF246" s="76"/>
      <c r="AG246" s="76"/>
      <c r="AH246" s="76"/>
      <c r="AI246" s="76"/>
      <c r="AJ246" s="76"/>
    </row>
    <row r="247" spans="1:36" ht="19.5" customHeight="1" x14ac:dyDescent="0.3">
      <c r="A247" s="76"/>
      <c r="B247" s="170"/>
      <c r="C247" s="171"/>
      <c r="D247" s="162"/>
      <c r="E247" s="171"/>
      <c r="F247" s="116"/>
      <c r="G247" s="116"/>
      <c r="H247" s="163"/>
      <c r="I247" s="151"/>
      <c r="J247" s="127"/>
      <c r="K247" s="162"/>
      <c r="L247" s="162"/>
      <c r="M247" s="162"/>
      <c r="N247" s="164"/>
      <c r="O247" s="165"/>
      <c r="P247" s="165"/>
      <c r="Q247" s="165"/>
      <c r="R247" s="166"/>
      <c r="S247" s="83"/>
      <c r="T247" s="155"/>
      <c r="U247" s="76"/>
      <c r="V247" s="76"/>
      <c r="W247" s="76"/>
      <c r="X247" s="76"/>
      <c r="Y247" s="76"/>
      <c r="Z247" s="76"/>
      <c r="AA247" s="76"/>
      <c r="AB247" s="76"/>
      <c r="AC247" s="76"/>
      <c r="AD247" s="76"/>
      <c r="AE247" s="76"/>
      <c r="AF247" s="76"/>
      <c r="AG247" s="76"/>
      <c r="AH247" s="76"/>
      <c r="AI247" s="76"/>
      <c r="AJ247" s="76"/>
    </row>
    <row r="248" spans="1:36" ht="19.5" customHeight="1" x14ac:dyDescent="0.3">
      <c r="A248" s="76"/>
      <c r="B248" s="170"/>
      <c r="C248" s="171"/>
      <c r="D248" s="162"/>
      <c r="E248" s="171"/>
      <c r="F248" s="116"/>
      <c r="G248" s="116"/>
      <c r="H248" s="163"/>
      <c r="I248" s="151"/>
      <c r="J248" s="127"/>
      <c r="K248" s="162"/>
      <c r="L248" s="162"/>
      <c r="M248" s="162"/>
      <c r="N248" s="164"/>
      <c r="O248" s="165"/>
      <c r="P248" s="165"/>
      <c r="Q248" s="165"/>
      <c r="R248" s="166"/>
      <c r="S248" s="83"/>
      <c r="T248" s="155"/>
      <c r="U248" s="76"/>
      <c r="V248" s="76"/>
      <c r="W248" s="76"/>
      <c r="X248" s="76"/>
      <c r="Y248" s="76"/>
      <c r="Z248" s="76"/>
      <c r="AA248" s="76"/>
      <c r="AB248" s="76"/>
      <c r="AC248" s="76"/>
      <c r="AD248" s="76"/>
      <c r="AE248" s="76"/>
      <c r="AF248" s="76"/>
      <c r="AG248" s="76"/>
      <c r="AH248" s="76"/>
      <c r="AI248" s="76"/>
      <c r="AJ248" s="76"/>
    </row>
    <row r="249" spans="1:36" ht="19.5" customHeight="1" x14ac:dyDescent="0.3">
      <c r="A249" s="76"/>
      <c r="B249" s="170"/>
      <c r="C249" s="171"/>
      <c r="D249" s="162"/>
      <c r="E249" s="171"/>
      <c r="F249" s="116"/>
      <c r="G249" s="116"/>
      <c r="H249" s="163"/>
      <c r="I249" s="151"/>
      <c r="J249" s="127"/>
      <c r="K249" s="162"/>
      <c r="L249" s="162"/>
      <c r="M249" s="162"/>
      <c r="N249" s="164"/>
      <c r="O249" s="165"/>
      <c r="P249" s="165"/>
      <c r="Q249" s="165"/>
      <c r="R249" s="166"/>
      <c r="S249" s="83"/>
      <c r="T249" s="155"/>
      <c r="U249" s="76"/>
      <c r="V249" s="76"/>
      <c r="W249" s="76"/>
      <c r="X249" s="76"/>
      <c r="Y249" s="76"/>
      <c r="Z249" s="76"/>
      <c r="AA249" s="76"/>
      <c r="AB249" s="76"/>
      <c r="AC249" s="76"/>
      <c r="AD249" s="76"/>
      <c r="AE249" s="76"/>
      <c r="AF249" s="76"/>
      <c r="AG249" s="76"/>
      <c r="AH249" s="76"/>
      <c r="AI249" s="76"/>
      <c r="AJ249" s="76"/>
    </row>
    <row r="250" spans="1:36" ht="19.5" customHeight="1" x14ac:dyDescent="0.3">
      <c r="A250" s="76"/>
      <c r="B250" s="162"/>
      <c r="C250" s="162"/>
      <c r="D250" s="162"/>
      <c r="E250" s="163"/>
      <c r="F250" s="116"/>
      <c r="G250" s="163"/>
      <c r="H250" s="163"/>
      <c r="I250" s="151"/>
      <c r="J250" s="127"/>
      <c r="K250" s="162"/>
      <c r="L250" s="162"/>
      <c r="M250" s="162"/>
      <c r="N250" s="164"/>
      <c r="O250" s="165"/>
      <c r="P250" s="165"/>
      <c r="Q250" s="165"/>
      <c r="R250" s="166"/>
      <c r="S250" s="83"/>
      <c r="T250" s="155"/>
      <c r="U250" s="76"/>
      <c r="V250" s="76"/>
      <c r="W250" s="76"/>
      <c r="X250" s="76"/>
      <c r="Y250" s="76"/>
      <c r="Z250" s="76"/>
      <c r="AA250" s="76"/>
      <c r="AB250" s="76"/>
      <c r="AC250" s="76"/>
      <c r="AD250" s="76"/>
      <c r="AE250" s="76"/>
      <c r="AF250" s="76"/>
      <c r="AG250" s="76"/>
      <c r="AH250" s="76"/>
      <c r="AI250" s="76"/>
      <c r="AJ250" s="76"/>
    </row>
    <row r="251" spans="1:36" s="148" customFormat="1" ht="19.5" customHeight="1" x14ac:dyDescent="0.3">
      <c r="A251" s="138"/>
      <c r="B251" s="139"/>
      <c r="C251" s="140"/>
      <c r="D251" s="140"/>
      <c r="E251" s="141"/>
      <c r="F251" s="141"/>
      <c r="G251" s="141"/>
      <c r="H251" s="141"/>
      <c r="I251" s="142"/>
      <c r="J251" s="143"/>
      <c r="K251" s="140"/>
      <c r="L251" s="140"/>
      <c r="M251" s="140"/>
      <c r="N251" s="159"/>
      <c r="O251" s="160"/>
      <c r="P251" s="160"/>
      <c r="Q251" s="160"/>
      <c r="R251" s="161"/>
      <c r="S251" s="147"/>
      <c r="T251" s="155"/>
      <c r="U251" s="138"/>
      <c r="V251" s="138"/>
      <c r="W251" s="138"/>
      <c r="X251" s="138"/>
      <c r="Y251" s="138"/>
      <c r="Z251" s="138"/>
      <c r="AA251" s="138"/>
      <c r="AB251" s="138"/>
      <c r="AC251" s="138"/>
      <c r="AD251" s="138"/>
      <c r="AE251" s="138"/>
      <c r="AF251" s="138"/>
      <c r="AG251" s="138"/>
      <c r="AH251" s="138"/>
      <c r="AI251" s="138"/>
      <c r="AJ251" s="138"/>
    </row>
    <row r="252" spans="1:36" ht="19.5" customHeight="1" x14ac:dyDescent="0.3">
      <c r="A252" s="76"/>
      <c r="B252" s="170"/>
      <c r="C252" s="171"/>
      <c r="D252" s="162"/>
      <c r="E252" s="208"/>
      <c r="F252" s="116"/>
      <c r="G252" s="116"/>
      <c r="H252" s="163"/>
      <c r="I252" s="151"/>
      <c r="J252" s="127"/>
      <c r="K252" s="162"/>
      <c r="L252" s="162"/>
      <c r="M252" s="162"/>
      <c r="N252" s="164"/>
      <c r="O252" s="165"/>
      <c r="P252" s="165"/>
      <c r="Q252" s="165"/>
      <c r="R252" s="166"/>
      <c r="S252" s="83"/>
      <c r="T252" s="155"/>
      <c r="U252" s="76"/>
      <c r="V252" s="76"/>
      <c r="W252" s="76"/>
      <c r="X252" s="76"/>
      <c r="Y252" s="76"/>
      <c r="Z252" s="76"/>
      <c r="AA252" s="76"/>
      <c r="AB252" s="76"/>
      <c r="AC252" s="76"/>
      <c r="AD252" s="76"/>
      <c r="AE252" s="76"/>
      <c r="AF252" s="76"/>
      <c r="AG252" s="76"/>
      <c r="AH252" s="76"/>
      <c r="AI252" s="76"/>
      <c r="AJ252" s="76"/>
    </row>
    <row r="253" spans="1:36" ht="19.5" customHeight="1" x14ac:dyDescent="0.3">
      <c r="A253" s="76"/>
      <c r="B253" s="170"/>
      <c r="C253" s="171"/>
      <c r="D253" s="162"/>
      <c r="E253" s="208"/>
      <c r="F253" s="116"/>
      <c r="G253" s="116"/>
      <c r="H253" s="163"/>
      <c r="I253" s="151"/>
      <c r="J253" s="127"/>
      <c r="K253" s="162"/>
      <c r="L253" s="162"/>
      <c r="M253" s="162"/>
      <c r="N253" s="164"/>
      <c r="O253" s="165"/>
      <c r="P253" s="165"/>
      <c r="Q253" s="165"/>
      <c r="R253" s="166"/>
      <c r="S253" s="83"/>
      <c r="T253" s="155"/>
      <c r="U253" s="76"/>
      <c r="V253" s="76"/>
      <c r="W253" s="76"/>
      <c r="X253" s="76"/>
      <c r="Y253" s="76"/>
      <c r="Z253" s="76"/>
      <c r="AA253" s="76"/>
      <c r="AB253" s="76"/>
      <c r="AC253" s="76"/>
      <c r="AD253" s="76"/>
      <c r="AE253" s="76"/>
      <c r="AF253" s="76"/>
      <c r="AG253" s="76"/>
      <c r="AH253" s="76"/>
      <c r="AI253" s="76"/>
      <c r="AJ253" s="76"/>
    </row>
    <row r="254" spans="1:36" ht="19.5" customHeight="1" x14ac:dyDescent="0.3">
      <c r="A254" s="76"/>
      <c r="B254" s="170"/>
      <c r="C254" s="171"/>
      <c r="D254" s="162"/>
      <c r="E254" s="208"/>
      <c r="F254" s="116"/>
      <c r="G254" s="116"/>
      <c r="H254" s="163"/>
      <c r="I254" s="151"/>
      <c r="J254" s="127"/>
      <c r="K254" s="162"/>
      <c r="L254" s="162"/>
      <c r="M254" s="162"/>
      <c r="N254" s="164"/>
      <c r="O254" s="165"/>
      <c r="P254" s="165"/>
      <c r="Q254" s="165"/>
      <c r="R254" s="166"/>
      <c r="S254" s="83"/>
      <c r="T254" s="155"/>
      <c r="U254" s="76"/>
      <c r="V254" s="76"/>
      <c r="W254" s="76"/>
      <c r="X254" s="76"/>
      <c r="Y254" s="76"/>
      <c r="Z254" s="76"/>
      <c r="AA254" s="76"/>
      <c r="AB254" s="76"/>
      <c r="AC254" s="76"/>
      <c r="AD254" s="76"/>
      <c r="AE254" s="76"/>
      <c r="AF254" s="76"/>
      <c r="AG254" s="76"/>
      <c r="AH254" s="76"/>
      <c r="AI254" s="76"/>
      <c r="AJ254" s="76"/>
    </row>
    <row r="255" spans="1:36" ht="19.5" customHeight="1" x14ac:dyDescent="0.3">
      <c r="A255" s="76"/>
      <c r="B255" s="170"/>
      <c r="C255" s="171"/>
      <c r="D255" s="162"/>
      <c r="E255" s="208"/>
      <c r="F255" s="116"/>
      <c r="G255" s="116"/>
      <c r="H255" s="163"/>
      <c r="I255" s="151"/>
      <c r="J255" s="127"/>
      <c r="K255" s="162"/>
      <c r="L255" s="162"/>
      <c r="M255" s="162"/>
      <c r="N255" s="164"/>
      <c r="O255" s="165"/>
      <c r="P255" s="165"/>
      <c r="Q255" s="165"/>
      <c r="R255" s="166"/>
      <c r="S255" s="83"/>
      <c r="T255" s="155"/>
      <c r="U255" s="76"/>
      <c r="V255" s="76"/>
      <c r="W255" s="76"/>
      <c r="X255" s="76"/>
      <c r="Y255" s="76"/>
      <c r="Z255" s="76"/>
      <c r="AA255" s="76"/>
      <c r="AB255" s="76"/>
      <c r="AC255" s="76"/>
      <c r="AD255" s="76"/>
      <c r="AE255" s="76"/>
      <c r="AF255" s="76"/>
      <c r="AG255" s="76"/>
      <c r="AH255" s="76"/>
      <c r="AI255" s="76"/>
      <c r="AJ255" s="76"/>
    </row>
    <row r="256" spans="1:36" ht="19.5" customHeight="1" x14ac:dyDescent="0.3">
      <c r="A256" s="76"/>
      <c r="B256" s="170"/>
      <c r="C256" s="171"/>
      <c r="D256" s="162"/>
      <c r="E256" s="208"/>
      <c r="F256" s="116"/>
      <c r="G256" s="116"/>
      <c r="H256" s="163"/>
      <c r="I256" s="151"/>
      <c r="J256" s="127"/>
      <c r="K256" s="162"/>
      <c r="L256" s="162"/>
      <c r="M256" s="162"/>
      <c r="N256" s="164"/>
      <c r="O256" s="165"/>
      <c r="P256" s="165"/>
      <c r="Q256" s="165"/>
      <c r="R256" s="166"/>
      <c r="S256" s="83"/>
      <c r="T256" s="155"/>
      <c r="U256" s="76"/>
      <c r="V256" s="76"/>
      <c r="W256" s="76"/>
      <c r="X256" s="76"/>
      <c r="Y256" s="76"/>
      <c r="Z256" s="76"/>
      <c r="AA256" s="76"/>
      <c r="AB256" s="76"/>
      <c r="AC256" s="76"/>
      <c r="AD256" s="76"/>
      <c r="AE256" s="76"/>
      <c r="AF256" s="76"/>
      <c r="AG256" s="76"/>
      <c r="AH256" s="76"/>
      <c r="AI256" s="76"/>
      <c r="AJ256" s="76"/>
    </row>
    <row r="257" spans="1:36" ht="19.5" customHeight="1" x14ac:dyDescent="0.3">
      <c r="A257" s="76"/>
      <c r="B257" s="170"/>
      <c r="C257" s="171"/>
      <c r="D257" s="162"/>
      <c r="E257" s="208"/>
      <c r="F257" s="116"/>
      <c r="G257" s="116"/>
      <c r="H257" s="163"/>
      <c r="I257" s="151"/>
      <c r="J257" s="127"/>
      <c r="K257" s="162"/>
      <c r="L257" s="162"/>
      <c r="M257" s="162"/>
      <c r="N257" s="164"/>
      <c r="O257" s="165"/>
      <c r="P257" s="165"/>
      <c r="Q257" s="165"/>
      <c r="R257" s="166"/>
      <c r="S257" s="83"/>
      <c r="T257" s="155"/>
      <c r="U257" s="76"/>
      <c r="V257" s="76"/>
      <c r="W257" s="76"/>
      <c r="X257" s="76"/>
      <c r="Y257" s="76"/>
      <c r="Z257" s="76"/>
      <c r="AA257" s="76"/>
      <c r="AB257" s="76"/>
      <c r="AC257" s="76"/>
      <c r="AD257" s="76"/>
      <c r="AE257" s="76"/>
      <c r="AF257" s="76"/>
      <c r="AG257" s="76"/>
      <c r="AH257" s="76"/>
      <c r="AI257" s="76"/>
      <c r="AJ257" s="76"/>
    </row>
    <row r="258" spans="1:36" ht="19.5" customHeight="1" x14ac:dyDescent="0.3">
      <c r="A258" s="76"/>
      <c r="B258" s="170"/>
      <c r="C258" s="171"/>
      <c r="D258" s="162"/>
      <c r="E258" s="208"/>
      <c r="F258" s="116"/>
      <c r="G258" s="116"/>
      <c r="H258" s="163"/>
      <c r="I258" s="151"/>
      <c r="J258" s="127"/>
      <c r="K258" s="162"/>
      <c r="L258" s="162"/>
      <c r="M258" s="162"/>
      <c r="N258" s="164"/>
      <c r="O258" s="165"/>
      <c r="P258" s="165"/>
      <c r="Q258" s="165"/>
      <c r="R258" s="166"/>
      <c r="S258" s="83"/>
      <c r="T258" s="155"/>
      <c r="U258" s="76"/>
      <c r="V258" s="76"/>
      <c r="W258" s="76"/>
      <c r="X258" s="76"/>
      <c r="Y258" s="76"/>
      <c r="Z258" s="76"/>
      <c r="AA258" s="76"/>
      <c r="AB258" s="76"/>
      <c r="AC258" s="76"/>
      <c r="AD258" s="76"/>
      <c r="AE258" s="76"/>
      <c r="AF258" s="76"/>
      <c r="AG258" s="76"/>
      <c r="AH258" s="76"/>
      <c r="AI258" s="76"/>
      <c r="AJ258" s="76"/>
    </row>
    <row r="259" spans="1:36" ht="19.5" customHeight="1" x14ac:dyDescent="0.3">
      <c r="A259" s="76"/>
      <c r="B259" s="170"/>
      <c r="C259" s="171"/>
      <c r="D259" s="162"/>
      <c r="E259" s="208"/>
      <c r="F259" s="116"/>
      <c r="G259" s="116"/>
      <c r="H259" s="163"/>
      <c r="I259" s="151"/>
      <c r="J259" s="127"/>
      <c r="K259" s="162"/>
      <c r="L259" s="162"/>
      <c r="M259" s="162"/>
      <c r="N259" s="164"/>
      <c r="O259" s="165"/>
      <c r="P259" s="165"/>
      <c r="Q259" s="165"/>
      <c r="R259" s="166"/>
      <c r="S259" s="83"/>
      <c r="T259" s="155"/>
      <c r="U259" s="76"/>
      <c r="V259" s="76"/>
      <c r="W259" s="76"/>
      <c r="X259" s="76"/>
      <c r="Y259" s="76"/>
      <c r="Z259" s="76"/>
      <c r="AA259" s="76"/>
      <c r="AB259" s="76"/>
      <c r="AC259" s="76"/>
      <c r="AD259" s="76"/>
      <c r="AE259" s="76"/>
      <c r="AF259" s="76"/>
      <c r="AG259" s="76"/>
      <c r="AH259" s="76"/>
      <c r="AI259" s="76"/>
      <c r="AJ259" s="76"/>
    </row>
    <row r="260" spans="1:36" ht="19.5" customHeight="1" x14ac:dyDescent="0.3">
      <c r="A260" s="76"/>
      <c r="B260" s="170"/>
      <c r="C260" s="171"/>
      <c r="D260" s="162"/>
      <c r="E260" s="208"/>
      <c r="F260" s="116"/>
      <c r="G260" s="116"/>
      <c r="H260" s="163"/>
      <c r="I260" s="151"/>
      <c r="J260" s="127"/>
      <c r="K260" s="162"/>
      <c r="L260" s="162"/>
      <c r="M260" s="162"/>
      <c r="N260" s="164"/>
      <c r="O260" s="165"/>
      <c r="P260" s="165"/>
      <c r="Q260" s="165"/>
      <c r="R260" s="166"/>
      <c r="S260" s="83"/>
      <c r="T260" s="155"/>
      <c r="U260" s="76"/>
      <c r="V260" s="76"/>
      <c r="W260" s="76"/>
      <c r="X260" s="76"/>
      <c r="Y260" s="76"/>
      <c r="Z260" s="76"/>
      <c r="AA260" s="76"/>
      <c r="AB260" s="76"/>
      <c r="AC260" s="76"/>
      <c r="AD260" s="76"/>
      <c r="AE260" s="76"/>
      <c r="AF260" s="76"/>
      <c r="AG260" s="76"/>
      <c r="AH260" s="76"/>
      <c r="AI260" s="76"/>
      <c r="AJ260" s="76"/>
    </row>
    <row r="261" spans="1:36" ht="19.5" customHeight="1" x14ac:dyDescent="0.3">
      <c r="A261" s="76"/>
      <c r="B261" s="170"/>
      <c r="C261" s="171"/>
      <c r="D261" s="162"/>
      <c r="E261" s="208"/>
      <c r="F261" s="116"/>
      <c r="G261" s="116"/>
      <c r="H261" s="163"/>
      <c r="I261" s="151"/>
      <c r="J261" s="127"/>
      <c r="K261" s="162"/>
      <c r="L261" s="162"/>
      <c r="M261" s="162"/>
      <c r="N261" s="164"/>
      <c r="O261" s="165"/>
      <c r="P261" s="165"/>
      <c r="Q261" s="165"/>
      <c r="R261" s="166"/>
      <c r="S261" s="83"/>
      <c r="T261" s="155"/>
      <c r="U261" s="76"/>
      <c r="V261" s="76"/>
      <c r="W261" s="76"/>
      <c r="X261" s="76"/>
      <c r="Y261" s="76"/>
      <c r="Z261" s="76"/>
      <c r="AA261" s="76"/>
      <c r="AB261" s="76"/>
      <c r="AC261" s="76"/>
      <c r="AD261" s="76"/>
      <c r="AE261" s="76"/>
      <c r="AF261" s="76"/>
      <c r="AG261" s="76"/>
      <c r="AH261" s="76"/>
      <c r="AI261" s="76"/>
      <c r="AJ261" s="76"/>
    </row>
    <row r="262" spans="1:36" ht="19.5" customHeight="1" x14ac:dyDescent="0.3">
      <c r="A262" s="76"/>
      <c r="B262" s="170"/>
      <c r="C262" s="171"/>
      <c r="D262" s="162"/>
      <c r="E262" s="208"/>
      <c r="F262" s="116"/>
      <c r="G262" s="116"/>
      <c r="H262" s="163"/>
      <c r="I262" s="151"/>
      <c r="J262" s="127"/>
      <c r="K262" s="162"/>
      <c r="L262" s="162"/>
      <c r="M262" s="162"/>
      <c r="N262" s="164"/>
      <c r="O262" s="165"/>
      <c r="P262" s="165"/>
      <c r="Q262" s="165"/>
      <c r="R262" s="166"/>
      <c r="S262" s="83"/>
      <c r="T262" s="155"/>
      <c r="U262" s="76"/>
      <c r="V262" s="76"/>
      <c r="W262" s="76"/>
      <c r="X262" s="76"/>
      <c r="Y262" s="76"/>
      <c r="Z262" s="76"/>
      <c r="AA262" s="76"/>
      <c r="AB262" s="76"/>
      <c r="AC262" s="76"/>
      <c r="AD262" s="76"/>
      <c r="AE262" s="76"/>
      <c r="AF262" s="76"/>
      <c r="AG262" s="76"/>
      <c r="AH262" s="76"/>
      <c r="AI262" s="76"/>
      <c r="AJ262" s="76"/>
    </row>
    <row r="263" spans="1:36" ht="19.5" customHeight="1" x14ac:dyDescent="0.3">
      <c r="A263" s="76"/>
      <c r="B263" s="170"/>
      <c r="C263" s="171"/>
      <c r="D263" s="162"/>
      <c r="E263" s="208"/>
      <c r="F263" s="116"/>
      <c r="G263" s="116"/>
      <c r="H263" s="163"/>
      <c r="I263" s="151"/>
      <c r="J263" s="127"/>
      <c r="K263" s="162"/>
      <c r="L263" s="162"/>
      <c r="M263" s="162"/>
      <c r="N263" s="164"/>
      <c r="O263" s="165"/>
      <c r="P263" s="165"/>
      <c r="Q263" s="165"/>
      <c r="R263" s="166"/>
      <c r="S263" s="83"/>
      <c r="T263" s="155"/>
      <c r="U263" s="76"/>
      <c r="V263" s="76"/>
      <c r="W263" s="76"/>
      <c r="X263" s="76"/>
      <c r="Y263" s="76"/>
      <c r="Z263" s="76"/>
      <c r="AA263" s="76"/>
      <c r="AB263" s="76"/>
      <c r="AC263" s="76"/>
      <c r="AD263" s="76"/>
      <c r="AE263" s="76"/>
      <c r="AF263" s="76"/>
      <c r="AG263" s="76"/>
      <c r="AH263" s="76"/>
      <c r="AI263" s="76"/>
      <c r="AJ263" s="76"/>
    </row>
    <row r="264" spans="1:36" ht="19.5" customHeight="1" x14ac:dyDescent="0.3">
      <c r="A264" s="76"/>
      <c r="B264" s="170"/>
      <c r="C264" s="171"/>
      <c r="D264" s="162"/>
      <c r="E264" s="208"/>
      <c r="F264" s="116"/>
      <c r="G264" s="116"/>
      <c r="H264" s="163"/>
      <c r="I264" s="151"/>
      <c r="J264" s="127"/>
      <c r="K264" s="162"/>
      <c r="L264" s="162"/>
      <c r="M264" s="162"/>
      <c r="N264" s="164"/>
      <c r="O264" s="165"/>
      <c r="P264" s="165"/>
      <c r="Q264" s="165"/>
      <c r="R264" s="166"/>
      <c r="S264" s="83"/>
      <c r="T264" s="155"/>
      <c r="U264" s="76"/>
      <c r="V264" s="76"/>
      <c r="W264" s="76"/>
      <c r="X264" s="76"/>
      <c r="Y264" s="76"/>
      <c r="Z264" s="76"/>
      <c r="AA264" s="76"/>
      <c r="AB264" s="76"/>
      <c r="AC264" s="76"/>
      <c r="AD264" s="76"/>
      <c r="AE264" s="76"/>
      <c r="AF264" s="76"/>
      <c r="AG264" s="76"/>
      <c r="AH264" s="76"/>
      <c r="AI264" s="76"/>
      <c r="AJ264" s="76"/>
    </row>
    <row r="265" spans="1:36" ht="19.5" customHeight="1" x14ac:dyDescent="0.3">
      <c r="A265" s="76"/>
      <c r="B265" s="170"/>
      <c r="C265" s="171"/>
      <c r="D265" s="162"/>
      <c r="E265" s="208"/>
      <c r="F265" s="116"/>
      <c r="G265" s="116"/>
      <c r="H265" s="163"/>
      <c r="I265" s="151"/>
      <c r="J265" s="127"/>
      <c r="K265" s="162"/>
      <c r="L265" s="162"/>
      <c r="M265" s="162"/>
      <c r="N265" s="164"/>
      <c r="O265" s="165"/>
      <c r="P265" s="165"/>
      <c r="Q265" s="165"/>
      <c r="R265" s="166"/>
      <c r="S265" s="83"/>
      <c r="T265" s="155"/>
      <c r="U265" s="76"/>
      <c r="V265" s="76"/>
      <c r="W265" s="76"/>
      <c r="X265" s="76"/>
      <c r="Y265" s="76"/>
      <c r="Z265" s="76"/>
      <c r="AA265" s="76"/>
      <c r="AB265" s="76"/>
      <c r="AC265" s="76"/>
      <c r="AD265" s="76"/>
      <c r="AE265" s="76"/>
      <c r="AF265" s="76"/>
      <c r="AG265" s="76"/>
      <c r="AH265" s="76"/>
      <c r="AI265" s="76"/>
      <c r="AJ265" s="76"/>
    </row>
    <row r="266" spans="1:36" ht="19.5" customHeight="1" x14ac:dyDescent="0.3">
      <c r="A266" s="76"/>
      <c r="B266" s="170"/>
      <c r="C266" s="171"/>
      <c r="D266" s="162"/>
      <c r="E266" s="208"/>
      <c r="F266" s="116"/>
      <c r="G266" s="116"/>
      <c r="H266" s="163"/>
      <c r="I266" s="151"/>
      <c r="J266" s="127"/>
      <c r="K266" s="162"/>
      <c r="L266" s="162"/>
      <c r="M266" s="162"/>
      <c r="N266" s="164"/>
      <c r="O266" s="165"/>
      <c r="P266" s="165"/>
      <c r="Q266" s="165"/>
      <c r="R266" s="166"/>
      <c r="S266" s="83"/>
      <c r="T266" s="155"/>
      <c r="U266" s="76"/>
      <c r="V266" s="76"/>
      <c r="W266" s="76"/>
      <c r="X266" s="76"/>
      <c r="Y266" s="76"/>
      <c r="Z266" s="76"/>
      <c r="AA266" s="76"/>
      <c r="AB266" s="76"/>
      <c r="AC266" s="76"/>
      <c r="AD266" s="76"/>
      <c r="AE266" s="76"/>
      <c r="AF266" s="76"/>
      <c r="AG266" s="76"/>
      <c r="AH266" s="76"/>
      <c r="AI266" s="76"/>
      <c r="AJ266" s="76"/>
    </row>
    <row r="267" spans="1:36" ht="19.5" customHeight="1" x14ac:dyDescent="0.3">
      <c r="A267" s="76"/>
      <c r="B267" s="170"/>
      <c r="C267" s="171"/>
      <c r="D267" s="162"/>
      <c r="E267" s="208"/>
      <c r="F267" s="116"/>
      <c r="G267" s="116"/>
      <c r="H267" s="163"/>
      <c r="I267" s="151"/>
      <c r="J267" s="127"/>
      <c r="K267" s="162"/>
      <c r="L267" s="162"/>
      <c r="M267" s="162"/>
      <c r="N267" s="164"/>
      <c r="O267" s="165"/>
      <c r="P267" s="165"/>
      <c r="Q267" s="165"/>
      <c r="R267" s="166"/>
      <c r="S267" s="83"/>
      <c r="T267" s="155"/>
      <c r="U267" s="76"/>
      <c r="V267" s="76"/>
      <c r="W267" s="76"/>
      <c r="X267" s="76"/>
      <c r="Y267" s="76"/>
      <c r="Z267" s="76"/>
      <c r="AA267" s="76"/>
      <c r="AB267" s="76"/>
      <c r="AC267" s="76"/>
      <c r="AD267" s="76"/>
      <c r="AE267" s="76"/>
      <c r="AF267" s="76"/>
      <c r="AG267" s="76"/>
      <c r="AH267" s="76"/>
      <c r="AI267" s="76"/>
      <c r="AJ267" s="76"/>
    </row>
    <row r="268" spans="1:36" ht="19.5" customHeight="1" x14ac:dyDescent="0.3">
      <c r="A268" s="76"/>
      <c r="B268" s="170"/>
      <c r="C268" s="171"/>
      <c r="D268" s="162"/>
      <c r="E268" s="208"/>
      <c r="F268" s="170"/>
      <c r="G268" s="116"/>
      <c r="H268" s="163"/>
      <c r="I268" s="151"/>
      <c r="J268" s="127"/>
      <c r="K268" s="162"/>
      <c r="L268" s="162"/>
      <c r="M268" s="162"/>
      <c r="N268" s="164"/>
      <c r="O268" s="165"/>
      <c r="P268" s="165"/>
      <c r="Q268" s="165"/>
      <c r="R268" s="166"/>
      <c r="S268" s="83"/>
      <c r="T268" s="155"/>
      <c r="U268" s="76"/>
      <c r="V268" s="76"/>
      <c r="W268" s="76"/>
      <c r="X268" s="76"/>
      <c r="Y268" s="76"/>
      <c r="Z268" s="76"/>
      <c r="AA268" s="76"/>
      <c r="AB268" s="76"/>
      <c r="AC268" s="76"/>
      <c r="AD268" s="76"/>
      <c r="AE268" s="76"/>
      <c r="AF268" s="76"/>
      <c r="AG268" s="76"/>
      <c r="AH268" s="76"/>
      <c r="AI268" s="76"/>
      <c r="AJ268" s="76"/>
    </row>
    <row r="269" spans="1:36" s="148" customFormat="1" ht="19.5" customHeight="1" x14ac:dyDescent="0.3">
      <c r="A269" s="138"/>
      <c r="B269" s="139"/>
      <c r="C269" s="140"/>
      <c r="D269" s="140"/>
      <c r="E269" s="141"/>
      <c r="F269" s="141"/>
      <c r="G269" s="141"/>
      <c r="H269" s="141"/>
      <c r="I269" s="142"/>
      <c r="J269" s="143"/>
      <c r="K269" s="140"/>
      <c r="L269" s="140"/>
      <c r="M269" s="140"/>
      <c r="N269" s="144"/>
      <c r="O269" s="145"/>
      <c r="P269" s="145"/>
      <c r="Q269" s="145"/>
      <c r="R269" s="146"/>
      <c r="S269" s="147"/>
      <c r="T269" s="155"/>
      <c r="U269" s="138"/>
      <c r="V269" s="138"/>
      <c r="W269" s="138"/>
      <c r="X269" s="138"/>
      <c r="Y269" s="138"/>
      <c r="Z269" s="138"/>
      <c r="AA269" s="138"/>
      <c r="AB269" s="138"/>
      <c r="AC269" s="138"/>
      <c r="AD269" s="138"/>
      <c r="AE269" s="138"/>
      <c r="AF269" s="138"/>
      <c r="AG269" s="138"/>
      <c r="AH269" s="138"/>
      <c r="AI269" s="138"/>
      <c r="AJ269" s="138"/>
    </row>
    <row r="270" spans="1:36" ht="19.5" customHeight="1" x14ac:dyDescent="0.3">
      <c r="A270" s="76"/>
      <c r="B270" s="170"/>
      <c r="C270" s="171"/>
      <c r="D270" s="162"/>
      <c r="E270" s="171"/>
      <c r="F270" s="116"/>
      <c r="G270" s="116"/>
      <c r="H270" s="163"/>
      <c r="I270" s="151"/>
      <c r="J270" s="127"/>
      <c r="K270" s="162"/>
      <c r="L270" s="162"/>
      <c r="M270" s="162"/>
      <c r="N270" s="164"/>
      <c r="O270" s="165"/>
      <c r="P270" s="165"/>
      <c r="Q270" s="165"/>
      <c r="R270" s="166"/>
      <c r="S270" s="83"/>
      <c r="T270" s="155"/>
      <c r="U270" s="76"/>
      <c r="V270" s="76"/>
      <c r="W270" s="76"/>
      <c r="X270" s="76"/>
      <c r="Y270" s="76"/>
      <c r="Z270" s="76"/>
      <c r="AA270" s="76"/>
      <c r="AB270" s="76"/>
      <c r="AC270" s="76"/>
      <c r="AD270" s="76"/>
      <c r="AE270" s="76"/>
      <c r="AF270" s="76"/>
      <c r="AG270" s="76"/>
      <c r="AH270" s="76"/>
      <c r="AI270" s="76"/>
      <c r="AJ270" s="76"/>
    </row>
    <row r="271" spans="1:36" ht="19.5" customHeight="1" x14ac:dyDescent="0.3">
      <c r="A271" s="76"/>
      <c r="B271" s="170"/>
      <c r="C271" s="171"/>
      <c r="D271" s="162"/>
      <c r="E271" s="171"/>
      <c r="F271" s="116"/>
      <c r="G271" s="116"/>
      <c r="H271" s="163"/>
      <c r="I271" s="151"/>
      <c r="J271" s="127"/>
      <c r="K271" s="162"/>
      <c r="L271" s="162"/>
      <c r="M271" s="162"/>
      <c r="N271" s="164"/>
      <c r="O271" s="165"/>
      <c r="P271" s="165"/>
      <c r="Q271" s="165"/>
      <c r="R271" s="166"/>
      <c r="S271" s="83"/>
      <c r="T271" s="155"/>
      <c r="U271" s="76"/>
      <c r="V271" s="76"/>
      <c r="W271" s="76"/>
      <c r="X271" s="76"/>
      <c r="Y271" s="76"/>
      <c r="Z271" s="76"/>
      <c r="AA271" s="76"/>
      <c r="AB271" s="76"/>
      <c r="AC271" s="76"/>
      <c r="AD271" s="76"/>
      <c r="AE271" s="76"/>
      <c r="AF271" s="76"/>
      <c r="AG271" s="76"/>
      <c r="AH271" s="76"/>
      <c r="AI271" s="76"/>
      <c r="AJ271" s="76"/>
    </row>
    <row r="272" spans="1:36" ht="19.5" customHeight="1" x14ac:dyDescent="0.3">
      <c r="A272" s="76"/>
      <c r="B272" s="170"/>
      <c r="C272" s="171"/>
      <c r="D272" s="162"/>
      <c r="E272" s="171"/>
      <c r="F272" s="116"/>
      <c r="G272" s="116"/>
      <c r="H272" s="163"/>
      <c r="I272" s="151"/>
      <c r="J272" s="127"/>
      <c r="K272" s="162"/>
      <c r="L272" s="162"/>
      <c r="M272" s="162"/>
      <c r="N272" s="164"/>
      <c r="O272" s="165"/>
      <c r="P272" s="165"/>
      <c r="Q272" s="165"/>
      <c r="R272" s="166"/>
      <c r="S272" s="83"/>
      <c r="T272" s="155"/>
      <c r="U272" s="76"/>
      <c r="V272" s="76"/>
      <c r="W272" s="76"/>
      <c r="X272" s="76"/>
      <c r="Y272" s="76"/>
      <c r="Z272" s="76"/>
      <c r="AA272" s="76"/>
      <c r="AB272" s="76"/>
      <c r="AC272" s="76"/>
      <c r="AD272" s="76"/>
      <c r="AE272" s="76"/>
      <c r="AF272" s="76"/>
      <c r="AG272" s="76"/>
      <c r="AH272" s="76"/>
      <c r="AI272" s="76"/>
      <c r="AJ272" s="76"/>
    </row>
    <row r="273" spans="1:36" ht="19.5" customHeight="1" x14ac:dyDescent="0.3">
      <c r="A273" s="76"/>
      <c r="B273" s="170"/>
      <c r="C273" s="171"/>
      <c r="D273" s="162"/>
      <c r="E273" s="171"/>
      <c r="F273" s="116"/>
      <c r="G273" s="116"/>
      <c r="H273" s="163"/>
      <c r="I273" s="151"/>
      <c r="J273" s="127"/>
      <c r="K273" s="162"/>
      <c r="L273" s="162"/>
      <c r="M273" s="162"/>
      <c r="N273" s="164"/>
      <c r="O273" s="165"/>
      <c r="P273" s="165"/>
      <c r="Q273" s="165"/>
      <c r="R273" s="166"/>
      <c r="S273" s="83"/>
      <c r="T273" s="155"/>
      <c r="U273" s="76"/>
      <c r="V273" s="76"/>
      <c r="W273" s="76"/>
      <c r="X273" s="76"/>
      <c r="Y273" s="76"/>
      <c r="Z273" s="76"/>
      <c r="AA273" s="76"/>
      <c r="AB273" s="76"/>
      <c r="AC273" s="76"/>
      <c r="AD273" s="76"/>
      <c r="AE273" s="76"/>
      <c r="AF273" s="76"/>
      <c r="AG273" s="76"/>
      <c r="AH273" s="76"/>
      <c r="AI273" s="76"/>
      <c r="AJ273" s="76"/>
    </row>
    <row r="274" spans="1:36" ht="19.5" customHeight="1" x14ac:dyDescent="0.3">
      <c r="A274" s="76"/>
      <c r="B274" s="170"/>
      <c r="C274" s="171"/>
      <c r="D274" s="162"/>
      <c r="E274" s="171"/>
      <c r="F274" s="116"/>
      <c r="G274" s="116"/>
      <c r="H274" s="163"/>
      <c r="I274" s="151"/>
      <c r="J274" s="127"/>
      <c r="K274" s="162"/>
      <c r="L274" s="162"/>
      <c r="M274" s="162"/>
      <c r="N274" s="164"/>
      <c r="O274" s="165"/>
      <c r="P274" s="165"/>
      <c r="Q274" s="165"/>
      <c r="R274" s="166"/>
      <c r="S274" s="83"/>
      <c r="T274" s="155"/>
      <c r="U274" s="76"/>
      <c r="V274" s="76"/>
      <c r="W274" s="76"/>
      <c r="X274" s="76"/>
      <c r="Y274" s="76"/>
      <c r="Z274" s="76"/>
      <c r="AA274" s="76"/>
      <c r="AB274" s="76"/>
      <c r="AC274" s="76"/>
      <c r="AD274" s="76"/>
      <c r="AE274" s="76"/>
      <c r="AF274" s="76"/>
      <c r="AG274" s="76"/>
      <c r="AH274" s="76"/>
      <c r="AI274" s="76"/>
      <c r="AJ274" s="76"/>
    </row>
    <row r="275" spans="1:36" ht="19.5" customHeight="1" x14ac:dyDescent="0.3">
      <c r="A275" s="76"/>
      <c r="B275" s="162"/>
      <c r="C275" s="162"/>
      <c r="D275" s="162"/>
      <c r="E275" s="163"/>
      <c r="F275" s="116"/>
      <c r="G275" s="163"/>
      <c r="H275" s="163"/>
      <c r="I275" s="151"/>
      <c r="J275" s="127"/>
      <c r="K275" s="162"/>
      <c r="L275" s="162"/>
      <c r="M275" s="162"/>
      <c r="N275" s="164"/>
      <c r="O275" s="165"/>
      <c r="P275" s="165"/>
      <c r="Q275" s="165"/>
      <c r="R275" s="166"/>
      <c r="S275" s="83"/>
      <c r="T275" s="155"/>
      <c r="U275" s="76"/>
      <c r="V275" s="76"/>
      <c r="W275" s="76"/>
      <c r="X275" s="76"/>
      <c r="Y275" s="76"/>
      <c r="Z275" s="76"/>
      <c r="AA275" s="76"/>
      <c r="AB275" s="76"/>
      <c r="AC275" s="76"/>
      <c r="AD275" s="76"/>
      <c r="AE275" s="76"/>
      <c r="AF275" s="76"/>
      <c r="AG275" s="76"/>
      <c r="AH275" s="76"/>
      <c r="AI275" s="76"/>
      <c r="AJ275" s="76"/>
    </row>
    <row r="276" spans="1:36" s="148" customFormat="1" ht="19.5" customHeight="1" x14ac:dyDescent="0.3">
      <c r="A276" s="138"/>
      <c r="B276" s="139"/>
      <c r="C276" s="140"/>
      <c r="D276" s="140"/>
      <c r="E276" s="141"/>
      <c r="F276" s="141"/>
      <c r="G276" s="141"/>
      <c r="H276" s="141"/>
      <c r="I276" s="142"/>
      <c r="J276" s="143"/>
      <c r="K276" s="140"/>
      <c r="L276" s="140"/>
      <c r="M276" s="140"/>
      <c r="N276" s="144"/>
      <c r="O276" s="145"/>
      <c r="P276" s="145"/>
      <c r="Q276" s="145"/>
      <c r="R276" s="146"/>
      <c r="S276" s="147"/>
      <c r="T276" s="155"/>
      <c r="U276" s="138"/>
      <c r="V276" s="138"/>
      <c r="W276" s="138"/>
      <c r="X276" s="138"/>
      <c r="Y276" s="138"/>
      <c r="Z276" s="138"/>
      <c r="AA276" s="138"/>
      <c r="AB276" s="138"/>
      <c r="AC276" s="138"/>
      <c r="AD276" s="138"/>
      <c r="AE276" s="138"/>
      <c r="AF276" s="138"/>
      <c r="AG276" s="138"/>
      <c r="AH276" s="138"/>
      <c r="AI276" s="138"/>
      <c r="AJ276" s="138"/>
    </row>
    <row r="277" spans="1:36" ht="19.5" customHeight="1" x14ac:dyDescent="0.3">
      <c r="A277" s="76"/>
      <c r="B277" s="170"/>
      <c r="C277" s="171"/>
      <c r="D277" s="162"/>
      <c r="E277" s="171"/>
      <c r="F277" s="116"/>
      <c r="G277" s="116"/>
      <c r="H277" s="163"/>
      <c r="I277" s="151"/>
      <c r="J277" s="127"/>
      <c r="K277" s="162"/>
      <c r="L277" s="162"/>
      <c r="M277" s="162"/>
      <c r="N277" s="164"/>
      <c r="O277" s="165"/>
      <c r="P277" s="165"/>
      <c r="Q277" s="165"/>
      <c r="R277" s="166"/>
      <c r="S277" s="83"/>
      <c r="T277" s="155"/>
      <c r="U277" s="76"/>
      <c r="V277" s="76"/>
      <c r="W277" s="76"/>
      <c r="X277" s="76"/>
      <c r="Y277" s="76"/>
      <c r="Z277" s="76"/>
      <c r="AA277" s="76"/>
      <c r="AB277" s="76"/>
      <c r="AC277" s="76"/>
      <c r="AD277" s="76"/>
      <c r="AE277" s="76"/>
      <c r="AF277" s="76"/>
      <c r="AG277" s="76"/>
      <c r="AH277" s="76"/>
      <c r="AI277" s="76"/>
      <c r="AJ277" s="76"/>
    </row>
    <row r="278" spans="1:36" ht="19.5" customHeight="1" x14ac:dyDescent="0.3">
      <c r="A278" s="76"/>
      <c r="B278" s="170"/>
      <c r="C278" s="171"/>
      <c r="D278" s="162"/>
      <c r="E278" s="171"/>
      <c r="F278" s="116"/>
      <c r="G278" s="116"/>
      <c r="H278" s="163"/>
      <c r="I278" s="151"/>
      <c r="J278" s="127"/>
      <c r="K278" s="162"/>
      <c r="L278" s="162"/>
      <c r="M278" s="162"/>
      <c r="N278" s="164"/>
      <c r="O278" s="165"/>
      <c r="P278" s="165"/>
      <c r="Q278" s="165"/>
      <c r="R278" s="166"/>
      <c r="S278" s="83"/>
      <c r="T278" s="155"/>
      <c r="U278" s="76"/>
      <c r="V278" s="76"/>
      <c r="W278" s="76"/>
      <c r="X278" s="76"/>
      <c r="Y278" s="76"/>
      <c r="Z278" s="76"/>
      <c r="AA278" s="76"/>
      <c r="AB278" s="76"/>
      <c r="AC278" s="76"/>
      <c r="AD278" s="76"/>
      <c r="AE278" s="76"/>
      <c r="AF278" s="76"/>
      <c r="AG278" s="76"/>
      <c r="AH278" s="76"/>
      <c r="AI278" s="76"/>
      <c r="AJ278" s="76"/>
    </row>
    <row r="279" spans="1:36" ht="19.5" customHeight="1" x14ac:dyDescent="0.3">
      <c r="A279" s="76"/>
      <c r="B279" s="170"/>
      <c r="C279" s="171"/>
      <c r="D279" s="162"/>
      <c r="E279" s="171"/>
      <c r="F279" s="116"/>
      <c r="G279" s="116"/>
      <c r="H279" s="163"/>
      <c r="I279" s="151"/>
      <c r="J279" s="127"/>
      <c r="K279" s="162"/>
      <c r="L279" s="162"/>
      <c r="M279" s="162"/>
      <c r="N279" s="164"/>
      <c r="O279" s="165"/>
      <c r="P279" s="165"/>
      <c r="Q279" s="165"/>
      <c r="R279" s="166"/>
      <c r="S279" s="83"/>
      <c r="T279" s="155"/>
      <c r="U279" s="76"/>
      <c r="V279" s="76"/>
      <c r="W279" s="76"/>
      <c r="X279" s="76"/>
      <c r="Y279" s="76"/>
      <c r="Z279" s="76"/>
      <c r="AA279" s="76"/>
      <c r="AB279" s="76"/>
      <c r="AC279" s="76"/>
      <c r="AD279" s="76"/>
      <c r="AE279" s="76"/>
      <c r="AF279" s="76"/>
      <c r="AG279" s="76"/>
      <c r="AH279" s="76"/>
      <c r="AI279" s="76"/>
      <c r="AJ279" s="76"/>
    </row>
    <row r="280" spans="1:36" ht="19.5" customHeight="1" x14ac:dyDescent="0.3">
      <c r="A280" s="76"/>
      <c r="B280" s="170"/>
      <c r="C280" s="171"/>
      <c r="D280" s="162"/>
      <c r="E280" s="171"/>
      <c r="F280" s="116"/>
      <c r="G280" s="116"/>
      <c r="H280" s="163"/>
      <c r="I280" s="151"/>
      <c r="J280" s="127"/>
      <c r="K280" s="162"/>
      <c r="L280" s="162"/>
      <c r="M280" s="162"/>
      <c r="N280" s="164"/>
      <c r="O280" s="165"/>
      <c r="P280" s="165"/>
      <c r="Q280" s="165"/>
      <c r="R280" s="166"/>
      <c r="S280" s="83"/>
      <c r="T280" s="155"/>
      <c r="U280" s="76"/>
      <c r="V280" s="76"/>
      <c r="W280" s="76"/>
      <c r="X280" s="76"/>
      <c r="Y280" s="76"/>
      <c r="Z280" s="76"/>
      <c r="AA280" s="76"/>
      <c r="AB280" s="76"/>
      <c r="AC280" s="76"/>
      <c r="AD280" s="76"/>
      <c r="AE280" s="76"/>
      <c r="AF280" s="76"/>
      <c r="AG280" s="76"/>
      <c r="AH280" s="76"/>
      <c r="AI280" s="76"/>
      <c r="AJ280" s="76"/>
    </row>
    <row r="281" spans="1:36" ht="19.5" customHeight="1" x14ac:dyDescent="0.3">
      <c r="A281" s="76"/>
      <c r="B281" s="170"/>
      <c r="C281" s="171"/>
      <c r="D281" s="162"/>
      <c r="E281" s="171"/>
      <c r="F281" s="116"/>
      <c r="G281" s="116"/>
      <c r="H281" s="163"/>
      <c r="I281" s="151"/>
      <c r="J281" s="127"/>
      <c r="K281" s="162"/>
      <c r="L281" s="162"/>
      <c r="M281" s="162"/>
      <c r="N281" s="164"/>
      <c r="O281" s="165"/>
      <c r="P281" s="165"/>
      <c r="Q281" s="165"/>
      <c r="R281" s="166"/>
      <c r="S281" s="83"/>
      <c r="T281" s="155"/>
      <c r="U281" s="76"/>
      <c r="V281" s="76"/>
      <c r="W281" s="76"/>
      <c r="X281" s="76"/>
      <c r="Y281" s="76"/>
      <c r="Z281" s="76"/>
      <c r="AA281" s="76"/>
      <c r="AB281" s="76"/>
      <c r="AC281" s="76"/>
      <c r="AD281" s="76"/>
      <c r="AE281" s="76"/>
      <c r="AF281" s="76"/>
      <c r="AG281" s="76"/>
      <c r="AH281" s="76"/>
      <c r="AI281" s="76"/>
      <c r="AJ281" s="76"/>
    </row>
    <row r="282" spans="1:36" ht="19.5" customHeight="1" x14ac:dyDescent="0.3">
      <c r="A282" s="76"/>
      <c r="B282" s="170"/>
      <c r="C282" s="171"/>
      <c r="D282" s="162"/>
      <c r="E282" s="171"/>
      <c r="F282" s="116"/>
      <c r="G282" s="116"/>
      <c r="H282" s="163"/>
      <c r="I282" s="151"/>
      <c r="J282" s="127"/>
      <c r="K282" s="162"/>
      <c r="L282" s="162"/>
      <c r="M282" s="162"/>
      <c r="N282" s="164"/>
      <c r="O282" s="165"/>
      <c r="P282" s="165"/>
      <c r="Q282" s="165"/>
      <c r="R282" s="166"/>
      <c r="S282" s="83"/>
      <c r="T282" s="155"/>
      <c r="U282" s="76"/>
      <c r="V282" s="76"/>
      <c r="W282" s="76"/>
      <c r="X282" s="76"/>
      <c r="Y282" s="76"/>
      <c r="Z282" s="76"/>
      <c r="AA282" s="76"/>
      <c r="AB282" s="76"/>
      <c r="AC282" s="76"/>
      <c r="AD282" s="76"/>
      <c r="AE282" s="76"/>
      <c r="AF282" s="76"/>
      <c r="AG282" s="76"/>
      <c r="AH282" s="76"/>
      <c r="AI282" s="76"/>
      <c r="AJ282" s="76"/>
    </row>
    <row r="283" spans="1:36" ht="19.5" customHeight="1" x14ac:dyDescent="0.3">
      <c r="A283" s="76"/>
      <c r="B283" s="170"/>
      <c r="C283" s="171"/>
      <c r="D283" s="162"/>
      <c r="E283" s="171"/>
      <c r="F283" s="116"/>
      <c r="G283" s="116"/>
      <c r="H283" s="163"/>
      <c r="I283" s="151"/>
      <c r="J283" s="127"/>
      <c r="K283" s="162"/>
      <c r="L283" s="162"/>
      <c r="M283" s="162"/>
      <c r="N283" s="164"/>
      <c r="O283" s="165"/>
      <c r="P283" s="165"/>
      <c r="Q283" s="165"/>
      <c r="R283" s="166"/>
      <c r="S283" s="83"/>
      <c r="T283" s="155"/>
      <c r="U283" s="76"/>
      <c r="V283" s="76"/>
      <c r="W283" s="76"/>
      <c r="X283" s="76"/>
      <c r="Y283" s="76"/>
      <c r="Z283" s="76"/>
      <c r="AA283" s="76"/>
      <c r="AB283" s="76"/>
      <c r="AC283" s="76"/>
      <c r="AD283" s="76"/>
      <c r="AE283" s="76"/>
      <c r="AF283" s="76"/>
      <c r="AG283" s="76"/>
      <c r="AH283" s="76"/>
      <c r="AI283" s="76"/>
      <c r="AJ283" s="76"/>
    </row>
    <row r="284" spans="1:36" ht="19.5" customHeight="1" x14ac:dyDescent="0.3">
      <c r="A284" s="76"/>
      <c r="B284" s="170"/>
      <c r="C284" s="171"/>
      <c r="D284" s="162"/>
      <c r="E284" s="171"/>
      <c r="F284" s="116"/>
      <c r="G284" s="116"/>
      <c r="H284" s="163"/>
      <c r="I284" s="151"/>
      <c r="J284" s="127"/>
      <c r="K284" s="162"/>
      <c r="L284" s="162"/>
      <c r="M284" s="162"/>
      <c r="N284" s="164"/>
      <c r="O284" s="165"/>
      <c r="P284" s="165"/>
      <c r="Q284" s="165"/>
      <c r="R284" s="166"/>
      <c r="S284" s="83"/>
      <c r="T284" s="155"/>
      <c r="U284" s="76"/>
      <c r="V284" s="76"/>
      <c r="W284" s="76"/>
      <c r="X284" s="76"/>
      <c r="Y284" s="76"/>
      <c r="Z284" s="76"/>
      <c r="AA284" s="76"/>
      <c r="AB284" s="76"/>
      <c r="AC284" s="76"/>
      <c r="AD284" s="76"/>
      <c r="AE284" s="76"/>
      <c r="AF284" s="76"/>
      <c r="AG284" s="76"/>
      <c r="AH284" s="76"/>
      <c r="AI284" s="76"/>
      <c r="AJ284" s="76"/>
    </row>
    <row r="285" spans="1:36" ht="19.5" customHeight="1" x14ac:dyDescent="0.3">
      <c r="A285" s="76"/>
      <c r="B285" s="172"/>
      <c r="C285" s="209"/>
      <c r="D285" s="162"/>
      <c r="E285" s="209"/>
      <c r="F285" s="116"/>
      <c r="G285" s="116"/>
      <c r="H285" s="163"/>
      <c r="I285" s="151"/>
      <c r="J285" s="127"/>
      <c r="K285" s="162"/>
      <c r="L285" s="162"/>
      <c r="M285" s="162"/>
      <c r="N285" s="164"/>
      <c r="O285" s="165"/>
      <c r="P285" s="165"/>
      <c r="Q285" s="165"/>
      <c r="R285" s="166"/>
      <c r="S285" s="83"/>
      <c r="T285" s="155"/>
      <c r="U285" s="76"/>
      <c r="V285" s="76"/>
      <c r="W285" s="76"/>
      <c r="X285" s="76"/>
      <c r="Y285" s="76"/>
      <c r="Z285" s="76"/>
      <c r="AA285" s="76"/>
      <c r="AB285" s="76"/>
      <c r="AC285" s="76"/>
      <c r="AD285" s="76"/>
      <c r="AE285" s="76"/>
      <c r="AF285" s="76"/>
      <c r="AG285" s="76"/>
      <c r="AH285" s="76"/>
      <c r="AI285" s="76"/>
      <c r="AJ285" s="76"/>
    </row>
    <row r="286" spans="1:36" s="148" customFormat="1" ht="19.5" customHeight="1" x14ac:dyDescent="0.3">
      <c r="A286" s="138"/>
      <c r="B286" s="139"/>
      <c r="C286" s="139"/>
      <c r="D286" s="140"/>
      <c r="E286" s="141"/>
      <c r="F286" s="141"/>
      <c r="G286" s="141"/>
      <c r="H286" s="141"/>
      <c r="I286" s="142"/>
      <c r="J286" s="143"/>
      <c r="K286" s="140"/>
      <c r="L286" s="140"/>
      <c r="M286" s="140"/>
      <c r="N286" s="144"/>
      <c r="O286" s="145"/>
      <c r="P286" s="145"/>
      <c r="Q286" s="145"/>
      <c r="R286" s="146"/>
      <c r="S286" s="147"/>
      <c r="T286" s="155"/>
      <c r="U286" s="138"/>
      <c r="V286" s="138"/>
      <c r="W286" s="138"/>
      <c r="X286" s="138"/>
      <c r="Y286" s="138"/>
      <c r="Z286" s="138"/>
      <c r="AA286" s="138"/>
      <c r="AB286" s="138"/>
      <c r="AC286" s="138"/>
      <c r="AD286" s="138"/>
      <c r="AE286" s="138"/>
      <c r="AF286" s="138"/>
      <c r="AG286" s="138"/>
      <c r="AH286" s="138"/>
      <c r="AI286" s="138"/>
      <c r="AJ286" s="138"/>
    </row>
    <row r="287" spans="1:36" ht="19.5" customHeight="1" x14ac:dyDescent="0.3">
      <c r="A287" s="76"/>
      <c r="B287" s="184"/>
      <c r="C287" s="185"/>
      <c r="D287" s="162"/>
      <c r="E287" s="185"/>
      <c r="F287" s="116"/>
      <c r="G287" s="116"/>
      <c r="H287" s="163"/>
      <c r="I287" s="151"/>
      <c r="J287" s="127"/>
      <c r="K287" s="162"/>
      <c r="L287" s="162"/>
      <c r="M287" s="162"/>
      <c r="N287" s="164"/>
      <c r="O287" s="165"/>
      <c r="P287" s="165"/>
      <c r="Q287" s="165"/>
      <c r="R287" s="166"/>
      <c r="S287" s="83"/>
      <c r="T287" s="155"/>
      <c r="U287" s="76"/>
      <c r="V287" s="76"/>
      <c r="W287" s="76"/>
      <c r="X287" s="76"/>
      <c r="Y287" s="76"/>
      <c r="Z287" s="76"/>
      <c r="AA287" s="76"/>
      <c r="AB287" s="76"/>
      <c r="AC287" s="76"/>
      <c r="AD287" s="76"/>
      <c r="AE287" s="76"/>
      <c r="AF287" s="76"/>
      <c r="AG287" s="76"/>
      <c r="AH287" s="76"/>
      <c r="AI287" s="76"/>
      <c r="AJ287" s="76"/>
    </row>
    <row r="288" spans="1:36" ht="19.5" customHeight="1" x14ac:dyDescent="0.3">
      <c r="A288" s="76"/>
      <c r="B288" s="184"/>
      <c r="C288" s="185"/>
      <c r="D288" s="162"/>
      <c r="E288" s="185"/>
      <c r="F288" s="116"/>
      <c r="G288" s="116"/>
      <c r="H288" s="163"/>
      <c r="I288" s="151"/>
      <c r="J288" s="127"/>
      <c r="K288" s="162"/>
      <c r="L288" s="162"/>
      <c r="M288" s="162"/>
      <c r="N288" s="164"/>
      <c r="O288" s="165"/>
      <c r="P288" s="165"/>
      <c r="Q288" s="165"/>
      <c r="R288" s="166"/>
      <c r="S288" s="83"/>
      <c r="T288" s="155"/>
      <c r="U288" s="76"/>
      <c r="V288" s="76"/>
      <c r="W288" s="76"/>
      <c r="X288" s="76"/>
      <c r="Y288" s="76"/>
      <c r="Z288" s="76"/>
      <c r="AA288" s="76"/>
      <c r="AB288" s="76"/>
      <c r="AC288" s="76"/>
      <c r="AD288" s="76"/>
      <c r="AE288" s="76"/>
      <c r="AF288" s="76"/>
      <c r="AG288" s="76"/>
      <c r="AH288" s="76"/>
      <c r="AI288" s="76"/>
      <c r="AJ288" s="76"/>
    </row>
    <row r="289" spans="1:36" ht="19.5" customHeight="1" x14ac:dyDescent="0.3">
      <c r="A289" s="76"/>
      <c r="B289" s="184"/>
      <c r="C289" s="185"/>
      <c r="D289" s="162"/>
      <c r="E289" s="185"/>
      <c r="F289" s="116"/>
      <c r="G289" s="116"/>
      <c r="H289" s="163"/>
      <c r="I289" s="151"/>
      <c r="J289" s="127"/>
      <c r="K289" s="162"/>
      <c r="L289" s="162"/>
      <c r="M289" s="162"/>
      <c r="N289" s="164"/>
      <c r="O289" s="165"/>
      <c r="P289" s="165"/>
      <c r="Q289" s="165"/>
      <c r="R289" s="166"/>
      <c r="S289" s="83"/>
      <c r="T289" s="155"/>
      <c r="U289" s="76"/>
      <c r="V289" s="76"/>
      <c r="W289" s="76"/>
      <c r="X289" s="76"/>
      <c r="Y289" s="76"/>
      <c r="Z289" s="76"/>
      <c r="AA289" s="76"/>
      <c r="AB289" s="76"/>
      <c r="AC289" s="76"/>
      <c r="AD289" s="76"/>
      <c r="AE289" s="76"/>
      <c r="AF289" s="76"/>
      <c r="AG289" s="76"/>
      <c r="AH289" s="76"/>
      <c r="AI289" s="76"/>
      <c r="AJ289" s="76"/>
    </row>
    <row r="290" spans="1:36" ht="19.5" customHeight="1" x14ac:dyDescent="0.3">
      <c r="A290" s="76"/>
      <c r="B290" s="184"/>
      <c r="C290" s="185"/>
      <c r="D290" s="162"/>
      <c r="E290" s="185"/>
      <c r="F290" s="116"/>
      <c r="G290" s="116"/>
      <c r="H290" s="163"/>
      <c r="I290" s="151"/>
      <c r="J290" s="127"/>
      <c r="K290" s="162"/>
      <c r="L290" s="162"/>
      <c r="M290" s="162"/>
      <c r="N290" s="164"/>
      <c r="O290" s="165"/>
      <c r="P290" s="165"/>
      <c r="Q290" s="165"/>
      <c r="R290" s="166"/>
      <c r="S290" s="83"/>
      <c r="T290" s="155"/>
      <c r="U290" s="76"/>
      <c r="V290" s="76"/>
      <c r="W290" s="76"/>
      <c r="X290" s="76"/>
      <c r="Y290" s="76"/>
      <c r="Z290" s="76"/>
      <c r="AA290" s="76"/>
      <c r="AB290" s="76"/>
      <c r="AC290" s="76"/>
      <c r="AD290" s="76"/>
      <c r="AE290" s="76"/>
      <c r="AF290" s="76"/>
      <c r="AG290" s="76"/>
      <c r="AH290" s="76"/>
      <c r="AI290" s="76"/>
      <c r="AJ290" s="76"/>
    </row>
    <row r="291" spans="1:36" ht="19.5" customHeight="1" x14ac:dyDescent="0.3">
      <c r="A291" s="76"/>
      <c r="B291" s="184"/>
      <c r="C291" s="185"/>
      <c r="D291" s="162"/>
      <c r="E291" s="185"/>
      <c r="F291" s="116"/>
      <c r="G291" s="116"/>
      <c r="H291" s="163"/>
      <c r="I291" s="151"/>
      <c r="J291" s="127"/>
      <c r="K291" s="162"/>
      <c r="L291" s="162"/>
      <c r="M291" s="162"/>
      <c r="N291" s="164"/>
      <c r="O291" s="165"/>
      <c r="P291" s="165"/>
      <c r="Q291" s="165"/>
      <c r="R291" s="166"/>
      <c r="S291" s="83"/>
      <c r="T291" s="155"/>
      <c r="U291" s="76"/>
      <c r="V291" s="76"/>
      <c r="W291" s="76"/>
      <c r="X291" s="76"/>
      <c r="Y291" s="76"/>
      <c r="Z291" s="76"/>
      <c r="AA291" s="76"/>
      <c r="AB291" s="76"/>
      <c r="AC291" s="76"/>
      <c r="AD291" s="76"/>
      <c r="AE291" s="76"/>
      <c r="AF291" s="76"/>
      <c r="AG291" s="76"/>
      <c r="AH291" s="76"/>
      <c r="AI291" s="76"/>
      <c r="AJ291" s="76"/>
    </row>
    <row r="292" spans="1:36" ht="19.5" customHeight="1" x14ac:dyDescent="0.3">
      <c r="A292" s="76"/>
      <c r="B292" s="184"/>
      <c r="C292" s="185"/>
      <c r="D292" s="162"/>
      <c r="E292" s="185"/>
      <c r="F292" s="116"/>
      <c r="G292" s="116"/>
      <c r="H292" s="163"/>
      <c r="I292" s="151"/>
      <c r="J292" s="127"/>
      <c r="K292" s="162"/>
      <c r="L292" s="162"/>
      <c r="M292" s="162"/>
      <c r="N292" s="164"/>
      <c r="O292" s="165"/>
      <c r="P292" s="165"/>
      <c r="Q292" s="165"/>
      <c r="R292" s="166"/>
      <c r="S292" s="83"/>
      <c r="T292" s="155"/>
      <c r="U292" s="76"/>
      <c r="V292" s="76"/>
      <c r="W292" s="76"/>
      <c r="X292" s="76"/>
      <c r="Y292" s="76"/>
      <c r="Z292" s="76"/>
      <c r="AA292" s="76"/>
      <c r="AB292" s="76"/>
      <c r="AC292" s="76"/>
      <c r="AD292" s="76"/>
      <c r="AE292" s="76"/>
      <c r="AF292" s="76"/>
      <c r="AG292" s="76"/>
      <c r="AH292" s="76"/>
      <c r="AI292" s="76"/>
      <c r="AJ292" s="76"/>
    </row>
    <row r="293" spans="1:36" ht="19.5" customHeight="1" x14ac:dyDescent="0.3">
      <c r="A293" s="76"/>
      <c r="B293" s="184"/>
      <c r="C293" s="185"/>
      <c r="D293" s="162"/>
      <c r="E293" s="185"/>
      <c r="F293" s="116"/>
      <c r="G293" s="116"/>
      <c r="H293" s="163"/>
      <c r="I293" s="151"/>
      <c r="J293" s="127"/>
      <c r="K293" s="162"/>
      <c r="L293" s="162"/>
      <c r="M293" s="162"/>
      <c r="N293" s="164"/>
      <c r="O293" s="165"/>
      <c r="P293" s="165"/>
      <c r="Q293" s="165"/>
      <c r="R293" s="166"/>
      <c r="S293" s="83"/>
      <c r="T293" s="155"/>
      <c r="U293" s="76"/>
      <c r="V293" s="76"/>
      <c r="W293" s="76"/>
      <c r="X293" s="76"/>
      <c r="Y293" s="76"/>
      <c r="Z293" s="76"/>
      <c r="AA293" s="76"/>
      <c r="AB293" s="76"/>
      <c r="AC293" s="76"/>
      <c r="AD293" s="76"/>
      <c r="AE293" s="76"/>
      <c r="AF293" s="76"/>
      <c r="AG293" s="76"/>
      <c r="AH293" s="76"/>
      <c r="AI293" s="76"/>
      <c r="AJ293" s="76"/>
    </row>
    <row r="294" spans="1:36" ht="19.5" customHeight="1" x14ac:dyDescent="0.3">
      <c r="A294" s="76"/>
      <c r="B294" s="184"/>
      <c r="C294" s="185"/>
      <c r="D294" s="162"/>
      <c r="E294" s="185"/>
      <c r="F294" s="116"/>
      <c r="G294" s="116"/>
      <c r="H294" s="163"/>
      <c r="I294" s="151"/>
      <c r="J294" s="127"/>
      <c r="K294" s="162"/>
      <c r="L294" s="162"/>
      <c r="M294" s="162"/>
      <c r="N294" s="164"/>
      <c r="O294" s="165"/>
      <c r="P294" s="165"/>
      <c r="Q294" s="165"/>
      <c r="R294" s="166"/>
      <c r="S294" s="83"/>
      <c r="T294" s="155"/>
      <c r="U294" s="76"/>
      <c r="V294" s="76"/>
      <c r="W294" s="76"/>
      <c r="X294" s="76"/>
      <c r="Y294" s="76"/>
      <c r="Z294" s="76"/>
      <c r="AA294" s="76"/>
      <c r="AB294" s="76"/>
      <c r="AC294" s="76"/>
      <c r="AD294" s="76"/>
      <c r="AE294" s="76"/>
      <c r="AF294" s="76"/>
      <c r="AG294" s="76"/>
      <c r="AH294" s="76"/>
      <c r="AI294" s="76"/>
      <c r="AJ294" s="76"/>
    </row>
    <row r="295" spans="1:36" ht="19.5" customHeight="1" x14ac:dyDescent="0.3">
      <c r="A295" s="76"/>
      <c r="B295" s="184"/>
      <c r="C295" s="185"/>
      <c r="D295" s="162"/>
      <c r="E295" s="185"/>
      <c r="F295" s="116"/>
      <c r="G295" s="116"/>
      <c r="H295" s="163"/>
      <c r="I295" s="151"/>
      <c r="J295" s="127"/>
      <c r="K295" s="162"/>
      <c r="L295" s="162"/>
      <c r="M295" s="162"/>
      <c r="N295" s="164"/>
      <c r="O295" s="165"/>
      <c r="P295" s="165"/>
      <c r="Q295" s="165"/>
      <c r="R295" s="166"/>
      <c r="S295" s="83"/>
      <c r="T295" s="155"/>
      <c r="U295" s="76"/>
      <c r="V295" s="76"/>
      <c r="W295" s="76"/>
      <c r="X295" s="76"/>
      <c r="Y295" s="76"/>
      <c r="Z295" s="76"/>
      <c r="AA295" s="76"/>
      <c r="AB295" s="76"/>
      <c r="AC295" s="76"/>
      <c r="AD295" s="76"/>
      <c r="AE295" s="76"/>
      <c r="AF295" s="76"/>
      <c r="AG295" s="76"/>
      <c r="AH295" s="76"/>
      <c r="AI295" s="76"/>
      <c r="AJ295" s="76"/>
    </row>
    <row r="296" spans="1:36" ht="19.5" customHeight="1" x14ac:dyDescent="0.3">
      <c r="A296" s="76"/>
      <c r="B296" s="184"/>
      <c r="C296" s="185"/>
      <c r="D296" s="162"/>
      <c r="E296" s="185"/>
      <c r="F296" s="116"/>
      <c r="G296" s="116"/>
      <c r="H296" s="163"/>
      <c r="I296" s="151"/>
      <c r="J296" s="127"/>
      <c r="K296" s="162"/>
      <c r="L296" s="162"/>
      <c r="M296" s="162"/>
      <c r="N296" s="164"/>
      <c r="O296" s="165"/>
      <c r="P296" s="165"/>
      <c r="Q296" s="165"/>
      <c r="R296" s="166"/>
      <c r="S296" s="83"/>
      <c r="T296" s="155"/>
      <c r="U296" s="76"/>
      <c r="V296" s="76"/>
      <c r="W296" s="76"/>
      <c r="X296" s="76"/>
      <c r="Y296" s="76"/>
      <c r="Z296" s="76"/>
      <c r="AA296" s="76"/>
      <c r="AB296" s="76"/>
      <c r="AC296" s="76"/>
      <c r="AD296" s="76"/>
      <c r="AE296" s="76"/>
      <c r="AF296" s="76"/>
      <c r="AG296" s="76"/>
      <c r="AH296" s="76"/>
      <c r="AI296" s="76"/>
      <c r="AJ296" s="76"/>
    </row>
    <row r="297" spans="1:36" ht="19.5" customHeight="1" x14ac:dyDescent="0.3">
      <c r="A297" s="76"/>
      <c r="B297" s="184"/>
      <c r="C297" s="185"/>
      <c r="D297" s="162"/>
      <c r="E297" s="185"/>
      <c r="F297" s="116"/>
      <c r="G297" s="116"/>
      <c r="H297" s="163"/>
      <c r="I297" s="151"/>
      <c r="J297" s="127"/>
      <c r="K297" s="162"/>
      <c r="L297" s="162"/>
      <c r="M297" s="162"/>
      <c r="N297" s="164"/>
      <c r="O297" s="165"/>
      <c r="P297" s="165"/>
      <c r="Q297" s="165"/>
      <c r="R297" s="166"/>
      <c r="S297" s="83"/>
      <c r="T297" s="155"/>
      <c r="U297" s="76"/>
      <c r="V297" s="76"/>
      <c r="W297" s="76"/>
      <c r="X297" s="76"/>
      <c r="Y297" s="76"/>
      <c r="Z297" s="76"/>
      <c r="AA297" s="76"/>
      <c r="AB297" s="76"/>
      <c r="AC297" s="76"/>
      <c r="AD297" s="76"/>
      <c r="AE297" s="76"/>
      <c r="AF297" s="76"/>
      <c r="AG297" s="76"/>
      <c r="AH297" s="76"/>
      <c r="AI297" s="76"/>
      <c r="AJ297" s="76"/>
    </row>
    <row r="298" spans="1:36" ht="19.5" customHeight="1" x14ac:dyDescent="0.3">
      <c r="A298" s="76"/>
      <c r="B298" s="184"/>
      <c r="C298" s="185"/>
      <c r="D298" s="162"/>
      <c r="E298" s="185"/>
      <c r="F298" s="116"/>
      <c r="G298" s="116"/>
      <c r="H298" s="163"/>
      <c r="I298" s="151"/>
      <c r="J298" s="127"/>
      <c r="K298" s="162"/>
      <c r="L298" s="162"/>
      <c r="M298" s="162"/>
      <c r="N298" s="164"/>
      <c r="O298" s="165"/>
      <c r="P298" s="165"/>
      <c r="Q298" s="165"/>
      <c r="R298" s="166"/>
      <c r="S298" s="83"/>
      <c r="T298" s="155"/>
      <c r="U298" s="76"/>
      <c r="V298" s="76"/>
      <c r="W298" s="76"/>
      <c r="X298" s="76"/>
      <c r="Y298" s="76"/>
      <c r="Z298" s="76"/>
      <c r="AA298" s="76"/>
      <c r="AB298" s="76"/>
      <c r="AC298" s="76"/>
      <c r="AD298" s="76"/>
      <c r="AE298" s="76"/>
      <c r="AF298" s="76"/>
      <c r="AG298" s="76"/>
      <c r="AH298" s="76"/>
      <c r="AI298" s="76"/>
      <c r="AJ298" s="76"/>
    </row>
    <row r="299" spans="1:36" s="148" customFormat="1" ht="19.5" customHeight="1" x14ac:dyDescent="0.3">
      <c r="A299" s="138"/>
      <c r="B299" s="139"/>
      <c r="C299" s="139"/>
      <c r="D299" s="210"/>
      <c r="E299" s="211"/>
      <c r="F299" s="211"/>
      <c r="G299" s="211"/>
      <c r="H299" s="211"/>
      <c r="I299" s="142"/>
      <c r="J299" s="143"/>
      <c r="K299" s="140"/>
      <c r="L299" s="140"/>
      <c r="M299" s="140"/>
      <c r="N299" s="144"/>
      <c r="O299" s="145"/>
      <c r="P299" s="145"/>
      <c r="Q299" s="145"/>
      <c r="R299" s="146"/>
      <c r="S299" s="147"/>
      <c r="T299" s="155"/>
      <c r="U299" s="138"/>
      <c r="V299" s="138"/>
      <c r="W299" s="138"/>
      <c r="X299" s="138"/>
      <c r="Y299" s="138"/>
      <c r="Z299" s="138"/>
      <c r="AA299" s="138"/>
      <c r="AB299" s="138"/>
      <c r="AC299" s="138"/>
      <c r="AD299" s="138"/>
      <c r="AE299" s="138"/>
      <c r="AF299" s="138"/>
      <c r="AG299" s="138"/>
      <c r="AH299" s="138"/>
      <c r="AI299" s="138"/>
      <c r="AJ299" s="138"/>
    </row>
    <row r="300" spans="1:36" ht="19.5" customHeight="1" x14ac:dyDescent="0.3">
      <c r="A300" s="76"/>
      <c r="B300" s="184"/>
      <c r="C300" s="185"/>
      <c r="D300" s="162"/>
      <c r="E300" s="185"/>
      <c r="F300" s="116"/>
      <c r="G300" s="116"/>
      <c r="H300" s="163"/>
      <c r="I300" s="151"/>
      <c r="J300" s="127"/>
      <c r="K300" s="162"/>
      <c r="L300" s="162"/>
      <c r="M300" s="162"/>
      <c r="N300" s="164"/>
      <c r="O300" s="165"/>
      <c r="P300" s="165"/>
      <c r="Q300" s="165"/>
      <c r="R300" s="166"/>
      <c r="S300" s="83"/>
      <c r="T300" s="155"/>
      <c r="U300" s="76"/>
      <c r="V300" s="76"/>
      <c r="W300" s="76"/>
      <c r="X300" s="76"/>
      <c r="Y300" s="76"/>
      <c r="Z300" s="76"/>
      <c r="AA300" s="76"/>
      <c r="AB300" s="76"/>
      <c r="AC300" s="76"/>
      <c r="AD300" s="76"/>
      <c r="AE300" s="76"/>
      <c r="AF300" s="76"/>
      <c r="AG300" s="76"/>
      <c r="AH300" s="76"/>
      <c r="AI300" s="76"/>
      <c r="AJ300" s="76"/>
    </row>
    <row r="301" spans="1:36" ht="19.5" customHeight="1" x14ac:dyDescent="0.3">
      <c r="A301" s="76"/>
      <c r="B301" s="184"/>
      <c r="C301" s="185"/>
      <c r="D301" s="162"/>
      <c r="E301" s="185"/>
      <c r="F301" s="116"/>
      <c r="G301" s="116"/>
      <c r="H301" s="163"/>
      <c r="I301" s="151"/>
      <c r="J301" s="127"/>
      <c r="K301" s="162"/>
      <c r="L301" s="162"/>
      <c r="M301" s="162"/>
      <c r="N301" s="164"/>
      <c r="O301" s="165"/>
      <c r="P301" s="165"/>
      <c r="Q301" s="165"/>
      <c r="R301" s="166"/>
      <c r="S301" s="83"/>
      <c r="T301" s="155"/>
      <c r="U301" s="76"/>
      <c r="V301" s="76"/>
      <c r="W301" s="76"/>
      <c r="X301" s="76"/>
      <c r="Y301" s="76"/>
      <c r="Z301" s="76"/>
      <c r="AA301" s="76"/>
      <c r="AB301" s="76"/>
      <c r="AC301" s="76"/>
      <c r="AD301" s="76"/>
      <c r="AE301" s="76"/>
      <c r="AF301" s="76"/>
      <c r="AG301" s="76"/>
      <c r="AH301" s="76"/>
      <c r="AI301" s="76"/>
      <c r="AJ301" s="76"/>
    </row>
    <row r="302" spans="1:36" ht="19.5" customHeight="1" x14ac:dyDescent="0.3">
      <c r="A302" s="76"/>
      <c r="B302" s="184"/>
      <c r="C302" s="185"/>
      <c r="D302" s="162"/>
      <c r="E302" s="185"/>
      <c r="F302" s="116"/>
      <c r="G302" s="116"/>
      <c r="H302" s="163"/>
      <c r="I302" s="151"/>
      <c r="J302" s="127"/>
      <c r="K302" s="162"/>
      <c r="L302" s="162"/>
      <c r="M302" s="162"/>
      <c r="N302" s="164"/>
      <c r="O302" s="165"/>
      <c r="P302" s="165"/>
      <c r="Q302" s="165"/>
      <c r="R302" s="166"/>
      <c r="S302" s="83"/>
      <c r="T302" s="155"/>
      <c r="U302" s="76"/>
      <c r="V302" s="76"/>
      <c r="W302" s="76"/>
      <c r="X302" s="76"/>
      <c r="Y302" s="76"/>
      <c r="Z302" s="76"/>
      <c r="AA302" s="76"/>
      <c r="AB302" s="76"/>
      <c r="AC302" s="76"/>
      <c r="AD302" s="76"/>
      <c r="AE302" s="76"/>
      <c r="AF302" s="76"/>
      <c r="AG302" s="76"/>
      <c r="AH302" s="76"/>
      <c r="AI302" s="76"/>
      <c r="AJ302" s="76"/>
    </row>
    <row r="303" spans="1:36" ht="12.75" customHeight="1" x14ac:dyDescent="0.3">
      <c r="A303" s="76"/>
      <c r="B303" s="184"/>
      <c r="C303" s="185"/>
      <c r="D303" s="162"/>
      <c r="E303" s="185"/>
      <c r="F303" s="116"/>
      <c r="G303" s="116"/>
      <c r="H303" s="163"/>
      <c r="I303" s="151"/>
      <c r="J303" s="127"/>
      <c r="K303" s="162"/>
      <c r="L303" s="162"/>
      <c r="M303" s="162"/>
      <c r="N303" s="164"/>
      <c r="O303" s="165"/>
      <c r="P303" s="165"/>
      <c r="Q303" s="165"/>
      <c r="R303" s="166"/>
      <c r="S303" s="83"/>
      <c r="T303" s="155"/>
      <c r="U303" s="76"/>
      <c r="V303" s="76"/>
      <c r="W303" s="76"/>
      <c r="X303" s="76"/>
      <c r="Y303" s="76"/>
      <c r="Z303" s="76"/>
      <c r="AA303" s="76"/>
      <c r="AB303" s="76"/>
      <c r="AC303" s="76"/>
      <c r="AD303" s="76"/>
      <c r="AE303" s="76"/>
      <c r="AF303" s="76"/>
      <c r="AG303" s="76"/>
      <c r="AH303" s="76"/>
      <c r="AI303" s="76"/>
      <c r="AJ303" s="76"/>
    </row>
    <row r="304" spans="1:36" ht="12.75" customHeight="1" x14ac:dyDescent="0.3">
      <c r="A304" s="76"/>
      <c r="B304" s="184"/>
      <c r="C304" s="185"/>
      <c r="D304" s="162"/>
      <c r="E304" s="185"/>
      <c r="F304" s="116"/>
      <c r="G304" s="116"/>
      <c r="H304" s="163"/>
      <c r="I304" s="151"/>
      <c r="J304" s="127"/>
      <c r="K304" s="162"/>
      <c r="L304" s="162"/>
      <c r="M304" s="162"/>
      <c r="N304" s="164"/>
      <c r="O304" s="165"/>
      <c r="P304" s="165"/>
      <c r="Q304" s="165"/>
      <c r="R304" s="166"/>
      <c r="S304" s="83"/>
      <c r="T304" s="155"/>
      <c r="U304" s="76"/>
      <c r="V304" s="76"/>
      <c r="W304" s="76"/>
      <c r="X304" s="76"/>
      <c r="Y304" s="76"/>
      <c r="Z304" s="76"/>
      <c r="AA304" s="76"/>
      <c r="AB304" s="76"/>
      <c r="AC304" s="76"/>
      <c r="AD304" s="76"/>
      <c r="AE304" s="76"/>
      <c r="AF304" s="76"/>
      <c r="AG304" s="76"/>
      <c r="AH304" s="76"/>
      <c r="AI304" s="76"/>
      <c r="AJ304" s="76"/>
    </row>
    <row r="305" spans="2:20" ht="15" customHeight="1" x14ac:dyDescent="0.3">
      <c r="B305" s="184"/>
      <c r="C305" s="185"/>
      <c r="D305" s="212"/>
      <c r="E305" s="185"/>
      <c r="F305" s="116"/>
      <c r="G305" s="116"/>
      <c r="H305" s="163"/>
      <c r="I305" s="151"/>
      <c r="J305" s="183"/>
      <c r="K305" s="162"/>
      <c r="L305" s="162"/>
      <c r="M305" s="162"/>
      <c r="N305" s="164"/>
      <c r="O305" s="165"/>
      <c r="P305" s="165"/>
      <c r="Q305" s="165"/>
      <c r="R305" s="166"/>
      <c r="T305" s="155"/>
    </row>
  </sheetData>
  <mergeCells count="18">
    <mergeCell ref="R7:R8"/>
    <mergeCell ref="B7:B8"/>
    <mergeCell ref="C7:C8"/>
    <mergeCell ref="D7:D8"/>
    <mergeCell ref="E7:E8"/>
    <mergeCell ref="K7:K8"/>
    <mergeCell ref="L7:L8"/>
    <mergeCell ref="M7:M8"/>
    <mergeCell ref="N7:N8"/>
    <mergeCell ref="O7:O8"/>
    <mergeCell ref="P7:P8"/>
    <mergeCell ref="Q7:Q8"/>
    <mergeCell ref="C4:D4"/>
    <mergeCell ref="L4:M4"/>
    <mergeCell ref="N4:O4"/>
    <mergeCell ref="C5:D5"/>
    <mergeCell ref="L5:M5"/>
    <mergeCell ref="N5:O5"/>
  </mergeCells>
  <conditionalFormatting sqref="J2:J3 J6:J304">
    <cfRule type="cellIs" dxfId="199" priority="1" operator="equal">
      <formula>"Disc"</formula>
    </cfRule>
  </conditionalFormatting>
  <conditionalFormatting sqref="T15:T17 T20:T28 T103:T132">
    <cfRule type="expression" dxfId="198" priority="15">
      <formula>T15:T246&gt;30%</formula>
    </cfRule>
  </conditionalFormatting>
  <conditionalFormatting sqref="T18:T19 T94:T100">
    <cfRule type="expression" dxfId="197" priority="13">
      <formula>T18:T250&gt;30%</formula>
    </cfRule>
  </conditionalFormatting>
  <conditionalFormatting sqref="T29:T35 T66:T81">
    <cfRule type="expression" dxfId="196" priority="2">
      <formula>T29:T268&gt;30%</formula>
    </cfRule>
  </conditionalFormatting>
  <conditionalFormatting sqref="T36:T42">
    <cfRule type="expression" dxfId="195" priority="17">
      <formula>T36:T274&gt;30%</formula>
    </cfRule>
  </conditionalFormatting>
  <conditionalFormatting sqref="T43:T49 T60:T63">
    <cfRule type="expression" dxfId="194" priority="18">
      <formula>T43:T285&gt;30%</formula>
    </cfRule>
  </conditionalFormatting>
  <conditionalFormatting sqref="T50:T54">
    <cfRule type="expression" dxfId="193" priority="3">
      <formula>T50:T286&gt;30%</formula>
    </cfRule>
  </conditionalFormatting>
  <conditionalFormatting sqref="T55:T58">
    <cfRule type="expression" dxfId="192" priority="14">
      <formula>T55:T299&gt;30%</formula>
    </cfRule>
  </conditionalFormatting>
  <conditionalFormatting sqref="T59">
    <cfRule type="expression" dxfId="191" priority="6">
      <formula>T59:T302&gt;30%</formula>
    </cfRule>
  </conditionalFormatting>
  <conditionalFormatting sqref="T64:T65">
    <cfRule type="expression" dxfId="190" priority="11">
      <formula>T64:T305&gt;30%</formula>
    </cfRule>
  </conditionalFormatting>
  <conditionalFormatting sqref="T82:T93 T101:T102">
    <cfRule type="expression" dxfId="189" priority="12">
      <formula>T82:T315&gt;30%</formula>
    </cfRule>
  </conditionalFormatting>
  <conditionalFormatting sqref="T133:T134 T143:T168">
    <cfRule type="expression" dxfId="188" priority="21">
      <formula>T133:T363&gt;30%</formula>
    </cfRule>
  </conditionalFormatting>
  <conditionalFormatting sqref="T135">
    <cfRule type="expression" dxfId="187" priority="5">
      <formula>T135:T369&gt;30%</formula>
    </cfRule>
  </conditionalFormatting>
  <conditionalFormatting sqref="T136:T142">
    <cfRule type="expression" dxfId="186" priority="7">
      <formula>T136:T371&gt;30%</formula>
    </cfRule>
  </conditionalFormatting>
  <conditionalFormatting sqref="T169:T189">
    <cfRule type="expression" dxfId="185" priority="22">
      <formula>T169:T398&gt;30%</formula>
    </cfRule>
  </conditionalFormatting>
  <conditionalFormatting sqref="T190">
    <cfRule type="expression" dxfId="184" priority="4">
      <formula>T190:T412&gt;30%</formula>
    </cfRule>
  </conditionalFormatting>
  <conditionalFormatting sqref="T191:T239">
    <cfRule type="expression" dxfId="183" priority="23">
      <formula>T191:T405&gt;30%</formula>
    </cfRule>
  </conditionalFormatting>
  <conditionalFormatting sqref="T240">
    <cfRule type="expression" dxfId="182" priority="9">
      <formula>T240:T455&gt;30%</formula>
    </cfRule>
  </conditionalFormatting>
  <conditionalFormatting sqref="T241:T267">
    <cfRule type="expression" dxfId="181" priority="19">
      <formula>T241:T438&gt;30%</formula>
    </cfRule>
  </conditionalFormatting>
  <conditionalFormatting sqref="T268">
    <cfRule type="expression" dxfId="180" priority="16">
      <formula>T268:T463&gt;30%</formula>
    </cfRule>
  </conditionalFormatting>
  <conditionalFormatting sqref="T269:T285">
    <cfRule type="expression" dxfId="179" priority="20">
      <formula>T269:T458&gt;30%</formula>
    </cfRule>
  </conditionalFormatting>
  <conditionalFormatting sqref="T286:T298">
    <cfRule type="expression" dxfId="178" priority="10">
      <formula>T286:T477&gt;30%</formula>
    </cfRule>
  </conditionalFormatting>
  <conditionalFormatting sqref="T299:T305">
    <cfRule type="expression" dxfId="177" priority="8">
      <formula>T299:T482&gt;30%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05"/>
  <sheetViews>
    <sheetView zoomScale="85" zoomScaleNormal="85" workbookViewId="0">
      <selection activeCell="B22" sqref="B22"/>
    </sheetView>
  </sheetViews>
  <sheetFormatPr defaultColWidth="12.54296875" defaultRowHeight="13" outlineLevelCol="1" x14ac:dyDescent="0.3"/>
  <cols>
    <col min="1" max="1" width="1.453125" style="84" customWidth="1"/>
    <col min="2" max="2" width="19.81640625" style="84" customWidth="1"/>
    <col min="3" max="3" width="48.1796875" style="84" customWidth="1"/>
    <col min="4" max="4" width="14.26953125" style="84" customWidth="1"/>
    <col min="5" max="5" width="7.81640625" style="84" customWidth="1"/>
    <col min="6" max="6" width="15.26953125" style="84" customWidth="1"/>
    <col min="7" max="7" width="11.81640625" style="84" customWidth="1"/>
    <col min="8" max="8" width="14" style="84" customWidth="1"/>
    <col min="9" max="9" width="13.81640625" style="84" customWidth="1"/>
    <col min="10" max="10" width="5.453125" style="84" customWidth="1"/>
    <col min="11" max="11" width="19.81640625" style="84" customWidth="1" outlineLevel="1"/>
    <col min="12" max="12" width="20" style="84" customWidth="1" outlineLevel="1"/>
    <col min="13" max="13" width="21.54296875" style="84" customWidth="1" outlineLevel="1"/>
    <col min="14" max="14" width="14" style="84" customWidth="1" outlineLevel="1"/>
    <col min="15" max="15" width="18.26953125" style="84" customWidth="1" outlineLevel="1"/>
    <col min="16" max="16" width="12" style="84" customWidth="1" outlineLevel="1"/>
    <col min="17" max="17" width="18.54296875" style="84" bestFit="1" customWidth="1" outlineLevel="1"/>
    <col min="18" max="18" width="19" style="84" customWidth="1" outlineLevel="1"/>
    <col min="19" max="19" width="1.453125" style="84" customWidth="1"/>
    <col min="20" max="20" width="13.7265625" style="84" customWidth="1"/>
    <col min="21" max="36" width="7.54296875" style="84" customWidth="1"/>
    <col min="37" max="16384" width="12.54296875" style="84"/>
  </cols>
  <sheetData>
    <row r="1" spans="1:36" ht="4.5" customHeight="1" x14ac:dyDescent="0.3">
      <c r="A1" s="76"/>
      <c r="B1" s="76"/>
      <c r="C1" s="76"/>
      <c r="D1" s="76"/>
      <c r="E1" s="77"/>
      <c r="F1" s="78"/>
      <c r="G1" s="77"/>
      <c r="H1" s="77"/>
      <c r="I1" s="79"/>
      <c r="J1" s="76"/>
      <c r="K1" s="76"/>
      <c r="L1" s="76"/>
      <c r="M1" s="76"/>
      <c r="N1" s="80"/>
      <c r="O1" s="81"/>
      <c r="P1" s="81"/>
      <c r="Q1" s="81"/>
      <c r="R1" s="82"/>
      <c r="S1" s="83"/>
      <c r="T1" s="76"/>
      <c r="U1" s="76"/>
      <c r="V1" s="76"/>
      <c r="W1" s="76"/>
      <c r="X1" s="76"/>
      <c r="Y1" s="76"/>
      <c r="Z1" s="76"/>
      <c r="AA1" s="76"/>
      <c r="AB1" s="76"/>
      <c r="AC1" s="76"/>
      <c r="AD1" s="76"/>
      <c r="AE1" s="76"/>
      <c r="AF1" s="76"/>
      <c r="AG1" s="76"/>
      <c r="AH1" s="76"/>
      <c r="AI1" s="76"/>
      <c r="AJ1" s="76"/>
    </row>
    <row r="2" spans="1:36" ht="24.75" customHeight="1" x14ac:dyDescent="0.3">
      <c r="A2" s="85"/>
      <c r="B2" s="86"/>
      <c r="C2" s="85"/>
      <c r="D2" s="85"/>
      <c r="E2" s="87"/>
      <c r="F2" s="88"/>
      <c r="G2" s="89"/>
      <c r="H2" s="89"/>
      <c r="I2" s="90"/>
      <c r="J2" s="85"/>
      <c r="K2" s="91"/>
      <c r="L2" s="91"/>
      <c r="M2" s="91"/>
      <c r="N2" s="92"/>
      <c r="O2" s="93"/>
      <c r="P2" s="93"/>
      <c r="Q2" s="81"/>
      <c r="R2" s="82"/>
      <c r="S2" s="94"/>
      <c r="T2" s="85"/>
      <c r="U2" s="85"/>
      <c r="V2" s="85"/>
      <c r="W2" s="85"/>
      <c r="X2" s="85"/>
      <c r="Y2" s="85"/>
      <c r="Z2" s="85"/>
      <c r="AA2" s="85"/>
      <c r="AB2" s="85"/>
      <c r="AC2" s="85"/>
      <c r="AD2" s="85"/>
      <c r="AE2" s="85"/>
      <c r="AF2" s="85"/>
      <c r="AG2" s="85"/>
      <c r="AH2" s="85"/>
      <c r="AI2" s="85"/>
      <c r="AJ2" s="85"/>
    </row>
    <row r="3" spans="1:36" ht="34.5" customHeight="1" x14ac:dyDescent="0.3">
      <c r="A3" s="76"/>
      <c r="B3" s="86"/>
      <c r="C3" s="76"/>
      <c r="D3" s="76"/>
      <c r="E3" s="77"/>
      <c r="F3" s="78"/>
      <c r="G3" s="77"/>
      <c r="H3" s="77"/>
      <c r="I3" s="79"/>
      <c r="J3" s="76"/>
      <c r="K3" s="95"/>
      <c r="L3" s="96"/>
      <c r="M3" s="4"/>
      <c r="N3" s="97"/>
      <c r="O3" s="98"/>
      <c r="P3" s="93"/>
      <c r="Q3" s="81"/>
      <c r="R3" s="82"/>
      <c r="S3" s="83"/>
      <c r="T3" s="76"/>
      <c r="U3" s="76"/>
      <c r="V3" s="76"/>
      <c r="W3" s="76"/>
      <c r="X3" s="76"/>
      <c r="Y3" s="76"/>
      <c r="Z3" s="76"/>
      <c r="AA3" s="76"/>
      <c r="AB3" s="76"/>
      <c r="AC3" s="76"/>
      <c r="AD3" s="76"/>
      <c r="AE3" s="76"/>
      <c r="AF3" s="76"/>
      <c r="AG3" s="76"/>
      <c r="AH3" s="76"/>
      <c r="AI3" s="76"/>
      <c r="AJ3" s="76"/>
    </row>
    <row r="4" spans="1:36" ht="30" customHeight="1" thickBot="1" x14ac:dyDescent="0.35">
      <c r="A4" s="76"/>
      <c r="B4" s="99"/>
      <c r="C4" s="701"/>
      <c r="D4" s="702"/>
      <c r="E4" s="100"/>
      <c r="F4" s="78"/>
      <c r="G4" s="77"/>
      <c r="H4" s="77"/>
      <c r="I4" s="79"/>
      <c r="J4" s="76"/>
      <c r="K4" s="101"/>
      <c r="L4" s="703"/>
      <c r="M4" s="703"/>
      <c r="N4" s="703"/>
      <c r="O4" s="703"/>
      <c r="P4" s="102"/>
      <c r="Q4" s="2"/>
      <c r="R4" s="103"/>
      <c r="S4" s="83"/>
      <c r="T4" s="76"/>
      <c r="U4" s="76"/>
      <c r="V4" s="76"/>
      <c r="W4" s="76"/>
      <c r="X4" s="76"/>
      <c r="Y4" s="76"/>
      <c r="Z4" s="76"/>
      <c r="AA4" s="76"/>
      <c r="AB4" s="76"/>
      <c r="AC4" s="76"/>
      <c r="AD4" s="76"/>
      <c r="AE4" s="76"/>
      <c r="AF4" s="76"/>
      <c r="AG4" s="76"/>
      <c r="AH4" s="76"/>
      <c r="AI4" s="76"/>
      <c r="AJ4" s="76"/>
    </row>
    <row r="5" spans="1:36" ht="30" customHeight="1" thickBot="1" x14ac:dyDescent="0.35">
      <c r="A5" s="76"/>
      <c r="B5" s="99"/>
      <c r="C5" s="701"/>
      <c r="D5" s="702"/>
      <c r="E5" s="100"/>
      <c r="F5" s="78"/>
      <c r="G5" s="77"/>
      <c r="H5" s="77"/>
      <c r="I5" s="79"/>
      <c r="J5" s="76"/>
      <c r="K5" s="104"/>
      <c r="L5" s="704"/>
      <c r="M5" s="704"/>
      <c r="N5" s="654"/>
      <c r="O5" s="654"/>
      <c r="P5" s="105"/>
      <c r="Q5" s="81"/>
      <c r="R5" s="82"/>
      <c r="S5" s="83"/>
      <c r="T5" s="76"/>
      <c r="U5" s="76"/>
      <c r="V5" s="76"/>
      <c r="W5" s="76"/>
      <c r="X5" s="76"/>
      <c r="Y5" s="76"/>
      <c r="Z5" s="76"/>
      <c r="AA5" s="76"/>
      <c r="AB5" s="76"/>
      <c r="AC5" s="76"/>
      <c r="AD5" s="76"/>
      <c r="AE5" s="76"/>
      <c r="AF5" s="76"/>
      <c r="AG5" s="76"/>
      <c r="AH5" s="76"/>
      <c r="AI5" s="76"/>
      <c r="AJ5" s="76"/>
    </row>
    <row r="6" spans="1:36" ht="4.5" customHeight="1" x14ac:dyDescent="0.3">
      <c r="A6" s="76"/>
      <c r="B6" s="76"/>
      <c r="C6" s="76"/>
      <c r="D6" s="76"/>
      <c r="E6" s="77"/>
      <c r="F6" s="78"/>
      <c r="G6" s="77"/>
      <c r="H6" s="77"/>
      <c r="I6" s="79"/>
      <c r="J6" s="100"/>
      <c r="K6" s="76"/>
      <c r="L6" s="76"/>
      <c r="M6" s="76"/>
      <c r="N6" s="80"/>
      <c r="O6" s="81"/>
      <c r="P6" s="81"/>
      <c r="Q6" s="81"/>
      <c r="R6" s="82"/>
      <c r="S6" s="83"/>
      <c r="T6" s="76"/>
      <c r="U6" s="76"/>
      <c r="V6" s="76"/>
      <c r="W6" s="76"/>
      <c r="X6" s="76"/>
      <c r="Y6" s="76"/>
      <c r="Z6" s="76"/>
      <c r="AA6" s="76"/>
      <c r="AB6" s="76"/>
      <c r="AC6" s="76"/>
      <c r="AD6" s="76"/>
      <c r="AE6" s="76"/>
      <c r="AF6" s="76"/>
      <c r="AG6" s="76"/>
      <c r="AH6" s="76"/>
      <c r="AI6" s="76"/>
      <c r="AJ6" s="76"/>
    </row>
    <row r="7" spans="1:36" ht="19.5" customHeight="1" x14ac:dyDescent="0.3">
      <c r="A7" s="100"/>
      <c r="B7" s="707"/>
      <c r="C7" s="709"/>
      <c r="D7" s="709"/>
      <c r="E7" s="711"/>
      <c r="F7" s="106"/>
      <c r="G7" s="106"/>
      <c r="H7" s="106"/>
      <c r="I7" s="108"/>
      <c r="J7" s="106"/>
      <c r="K7" s="709"/>
      <c r="L7" s="709"/>
      <c r="M7" s="709"/>
      <c r="N7" s="713"/>
      <c r="O7" s="715"/>
      <c r="P7" s="715"/>
      <c r="Q7" s="715"/>
      <c r="R7" s="705"/>
      <c r="S7" s="110"/>
      <c r="T7" s="100"/>
      <c r="U7" s="100"/>
      <c r="V7" s="100"/>
      <c r="W7" s="100"/>
      <c r="X7" s="100"/>
      <c r="Y7" s="100"/>
      <c r="Z7" s="100"/>
      <c r="AA7" s="100"/>
      <c r="AB7" s="100"/>
      <c r="AC7" s="100"/>
      <c r="AD7" s="100"/>
      <c r="AE7" s="100"/>
      <c r="AF7" s="100"/>
      <c r="AG7" s="100"/>
      <c r="AH7" s="100"/>
      <c r="AI7" s="100"/>
      <c r="AJ7" s="100"/>
    </row>
    <row r="8" spans="1:36" ht="30" customHeight="1" x14ac:dyDescent="0.3">
      <c r="A8" s="111"/>
      <c r="B8" s="708"/>
      <c r="C8" s="710"/>
      <c r="D8" s="710"/>
      <c r="E8" s="712"/>
      <c r="F8" s="107"/>
      <c r="G8" s="107"/>
      <c r="H8" s="107"/>
      <c r="I8" s="112"/>
      <c r="J8" s="113"/>
      <c r="K8" s="710"/>
      <c r="L8" s="710"/>
      <c r="M8" s="710"/>
      <c r="N8" s="714"/>
      <c r="O8" s="716"/>
      <c r="P8" s="716"/>
      <c r="Q8" s="716"/>
      <c r="R8" s="706"/>
      <c r="S8" s="114"/>
      <c r="T8" s="115"/>
      <c r="U8" s="115"/>
      <c r="V8" s="115"/>
      <c r="W8" s="115"/>
      <c r="X8" s="115"/>
      <c r="Y8" s="115"/>
      <c r="Z8" s="115"/>
      <c r="AA8" s="115"/>
      <c r="AB8" s="115"/>
      <c r="AC8" s="115"/>
      <c r="AD8" s="115"/>
      <c r="AE8" s="115"/>
      <c r="AF8" s="115"/>
      <c r="AG8" s="115"/>
      <c r="AH8" s="115"/>
      <c r="AI8" s="115"/>
      <c r="AJ8" s="115"/>
    </row>
    <row r="9" spans="1:36" ht="11.25" customHeight="1" x14ac:dyDescent="0.3">
      <c r="A9" s="100"/>
      <c r="B9" s="106"/>
      <c r="C9" s="116"/>
      <c r="D9" s="106"/>
      <c r="E9" s="106"/>
      <c r="F9" s="106"/>
      <c r="G9" s="106"/>
      <c r="H9" s="106"/>
      <c r="I9" s="117"/>
      <c r="J9" s="118"/>
      <c r="K9" s="118"/>
      <c r="L9" s="118"/>
      <c r="M9" s="118"/>
      <c r="N9" s="109"/>
      <c r="O9" s="119"/>
      <c r="P9" s="119"/>
      <c r="Q9" s="119"/>
      <c r="R9" s="120"/>
      <c r="S9" s="121"/>
      <c r="T9" s="100"/>
      <c r="U9" s="100"/>
      <c r="V9" s="100"/>
      <c r="W9" s="100"/>
      <c r="X9" s="100"/>
      <c r="Y9" s="100"/>
      <c r="Z9" s="100"/>
      <c r="AA9" s="100"/>
      <c r="AB9" s="100"/>
      <c r="AC9" s="100"/>
      <c r="AD9" s="100"/>
      <c r="AE9" s="100"/>
      <c r="AF9" s="100"/>
      <c r="AG9" s="100"/>
      <c r="AH9" s="100"/>
      <c r="AI9" s="100"/>
      <c r="AJ9" s="100"/>
    </row>
    <row r="10" spans="1:36" ht="12" customHeight="1" x14ac:dyDescent="0.3">
      <c r="A10" s="100"/>
      <c r="B10" s="122"/>
      <c r="C10" s="123"/>
      <c r="D10" s="122"/>
      <c r="E10" s="124"/>
      <c r="F10" s="123"/>
      <c r="G10" s="125"/>
      <c r="H10" s="125"/>
      <c r="I10" s="126"/>
      <c r="J10" s="118"/>
      <c r="K10" s="118"/>
      <c r="L10" s="118"/>
      <c r="M10" s="118"/>
      <c r="N10" s="109"/>
      <c r="O10" s="119"/>
      <c r="P10" s="119"/>
      <c r="Q10" s="119"/>
      <c r="R10" s="120"/>
      <c r="S10" s="121"/>
      <c r="T10" s="121"/>
      <c r="U10" s="121"/>
      <c r="V10" s="121"/>
      <c r="W10" s="121"/>
      <c r="X10" s="121"/>
      <c r="Y10" s="121"/>
      <c r="Z10" s="121"/>
      <c r="AA10" s="121"/>
      <c r="AB10" s="121"/>
      <c r="AC10" s="121"/>
      <c r="AD10" s="121"/>
      <c r="AE10" s="121"/>
      <c r="AF10" s="121"/>
      <c r="AG10" s="121"/>
      <c r="AH10" s="121"/>
      <c r="AI10" s="121"/>
      <c r="AJ10" s="121"/>
    </row>
    <row r="11" spans="1:36" ht="12" customHeight="1" x14ac:dyDescent="0.3">
      <c r="A11" s="100"/>
      <c r="B11" s="118"/>
      <c r="C11" s="127"/>
      <c r="D11" s="118"/>
      <c r="E11" s="106"/>
      <c r="F11" s="127"/>
      <c r="G11" s="128"/>
      <c r="H11" s="128"/>
      <c r="I11" s="129"/>
      <c r="J11" s="118"/>
      <c r="K11" s="118"/>
      <c r="L11" s="118"/>
      <c r="M11" s="118"/>
      <c r="N11" s="109"/>
      <c r="O11" s="119"/>
      <c r="P11" s="119"/>
      <c r="Q11" s="119"/>
      <c r="R11" s="120"/>
      <c r="S11" s="121"/>
      <c r="T11" s="121"/>
      <c r="U11" s="121"/>
      <c r="V11" s="121"/>
      <c r="W11" s="121"/>
      <c r="X11" s="121"/>
      <c r="Y11" s="121"/>
      <c r="Z11" s="121"/>
      <c r="AA11" s="121"/>
      <c r="AB11" s="121"/>
      <c r="AC11" s="121"/>
      <c r="AD11" s="121"/>
      <c r="AE11" s="121"/>
      <c r="AF11" s="121"/>
      <c r="AG11" s="121"/>
      <c r="AH11" s="121"/>
      <c r="AI11" s="121"/>
      <c r="AJ11" s="121"/>
    </row>
    <row r="12" spans="1:36" ht="16.5" customHeight="1" x14ac:dyDescent="0.3">
      <c r="A12" s="100"/>
      <c r="B12" s="130"/>
      <c r="C12" s="131"/>
      <c r="D12" s="131"/>
      <c r="E12" s="132"/>
      <c r="F12" s="132"/>
      <c r="G12" s="133"/>
      <c r="H12" s="132"/>
      <c r="I12" s="126"/>
      <c r="J12" s="134"/>
      <c r="K12" s="134"/>
      <c r="L12" s="134"/>
      <c r="M12" s="134"/>
      <c r="N12" s="135"/>
      <c r="O12" s="136"/>
      <c r="P12" s="136"/>
      <c r="Q12" s="136"/>
      <c r="R12" s="137"/>
      <c r="S12" s="121"/>
      <c r="T12" s="100"/>
      <c r="U12" s="100"/>
      <c r="V12" s="100"/>
      <c r="W12" s="100"/>
      <c r="X12" s="100"/>
      <c r="Y12" s="100"/>
      <c r="Z12" s="100"/>
      <c r="AA12" s="100"/>
      <c r="AB12" s="100"/>
      <c r="AC12" s="100"/>
      <c r="AD12" s="100"/>
      <c r="AE12" s="100"/>
      <c r="AF12" s="100"/>
      <c r="AG12" s="100"/>
      <c r="AH12" s="100"/>
      <c r="AI12" s="100"/>
      <c r="AJ12" s="100"/>
    </row>
    <row r="13" spans="1:36" ht="12" customHeight="1" x14ac:dyDescent="0.3">
      <c r="A13" s="100"/>
      <c r="B13" s="118"/>
      <c r="C13" s="127"/>
      <c r="D13" s="118"/>
      <c r="E13" s="106"/>
      <c r="F13" s="127"/>
      <c r="G13" s="128"/>
      <c r="H13" s="128"/>
      <c r="I13" s="129"/>
      <c r="J13" s="118"/>
      <c r="K13" s="118"/>
      <c r="L13" s="118"/>
      <c r="M13" s="118"/>
      <c r="N13" s="109"/>
      <c r="O13" s="119"/>
      <c r="P13" s="119"/>
      <c r="Q13" s="119"/>
      <c r="R13" s="120"/>
      <c r="S13" s="121"/>
      <c r="T13" s="121"/>
      <c r="U13" s="121"/>
      <c r="V13" s="121"/>
      <c r="W13" s="121"/>
      <c r="X13" s="121"/>
      <c r="Y13" s="121"/>
      <c r="Z13" s="121"/>
      <c r="AA13" s="121"/>
      <c r="AB13" s="121"/>
      <c r="AC13" s="121"/>
      <c r="AD13" s="121"/>
      <c r="AE13" s="121"/>
      <c r="AF13" s="121"/>
      <c r="AG13" s="121"/>
      <c r="AH13" s="121"/>
      <c r="AI13" s="121"/>
      <c r="AJ13" s="121"/>
    </row>
    <row r="14" spans="1:36" s="148" customFormat="1" ht="12" customHeight="1" x14ac:dyDescent="0.3">
      <c r="A14" s="138"/>
      <c r="B14" s="139"/>
      <c r="C14" s="140"/>
      <c r="D14" s="140"/>
      <c r="E14" s="141"/>
      <c r="F14" s="141"/>
      <c r="G14" s="141"/>
      <c r="H14" s="141"/>
      <c r="I14" s="142"/>
      <c r="J14" s="143"/>
      <c r="K14" s="140"/>
      <c r="L14" s="140"/>
      <c r="M14" s="140"/>
      <c r="N14" s="144"/>
      <c r="O14" s="145"/>
      <c r="P14" s="145"/>
      <c r="Q14" s="145"/>
      <c r="R14" s="146"/>
      <c r="S14" s="147"/>
      <c r="T14" s="138"/>
      <c r="U14" s="138"/>
      <c r="V14" s="138"/>
      <c r="W14" s="138"/>
      <c r="X14" s="138"/>
      <c r="Y14" s="138"/>
      <c r="Z14" s="138"/>
      <c r="AA14" s="138"/>
      <c r="AB14" s="138"/>
      <c r="AC14" s="138"/>
      <c r="AD14" s="138"/>
      <c r="AE14" s="138"/>
      <c r="AF14" s="138"/>
      <c r="AG14" s="138"/>
      <c r="AH14" s="138"/>
      <c r="AI14" s="138"/>
      <c r="AJ14" s="138"/>
    </row>
    <row r="15" spans="1:36" ht="19.5" customHeight="1" x14ac:dyDescent="0.3">
      <c r="A15" s="76"/>
      <c r="B15" s="149"/>
      <c r="C15" s="150"/>
      <c r="D15" s="150"/>
      <c r="E15" s="150"/>
      <c r="F15" s="116"/>
      <c r="G15" s="116"/>
      <c r="H15" s="116"/>
      <c r="I15" s="151"/>
      <c r="J15" s="127"/>
      <c r="K15" s="127"/>
      <c r="L15" s="127"/>
      <c r="M15" s="127"/>
      <c r="N15" s="152"/>
      <c r="O15" s="153"/>
      <c r="P15" s="153"/>
      <c r="Q15" s="153"/>
      <c r="R15" s="154"/>
      <c r="S15" s="83"/>
      <c r="T15" s="155"/>
      <c r="U15" s="76"/>
      <c r="V15" s="76"/>
      <c r="W15" s="76"/>
      <c r="X15" s="76"/>
      <c r="Y15" s="76"/>
      <c r="Z15" s="76"/>
      <c r="AA15" s="76"/>
      <c r="AB15" s="76"/>
      <c r="AC15" s="76"/>
      <c r="AD15" s="76"/>
      <c r="AE15" s="76"/>
      <c r="AF15" s="76"/>
      <c r="AG15" s="76"/>
      <c r="AH15" s="76"/>
      <c r="AI15" s="76"/>
      <c r="AJ15" s="76"/>
    </row>
    <row r="16" spans="1:36" ht="19.5" customHeight="1" x14ac:dyDescent="0.3">
      <c r="A16" s="76"/>
      <c r="B16" s="149"/>
      <c r="C16" s="150"/>
      <c r="D16" s="150"/>
      <c r="E16" s="150"/>
      <c r="F16" s="116"/>
      <c r="G16" s="116"/>
      <c r="H16" s="116"/>
      <c r="I16" s="151"/>
      <c r="J16" s="127"/>
      <c r="K16" s="127"/>
      <c r="L16" s="127"/>
      <c r="M16" s="127"/>
      <c r="N16" s="152"/>
      <c r="O16" s="153"/>
      <c r="P16" s="153"/>
      <c r="Q16" s="153"/>
      <c r="R16" s="154"/>
      <c r="S16" s="83"/>
      <c r="T16" s="155"/>
      <c r="U16" s="76"/>
      <c r="V16" s="76"/>
      <c r="W16" s="76"/>
      <c r="X16" s="76"/>
      <c r="Y16" s="76"/>
      <c r="Z16" s="76"/>
      <c r="AA16" s="76"/>
      <c r="AB16" s="76"/>
      <c r="AC16" s="76"/>
      <c r="AD16" s="76"/>
      <c r="AE16" s="76"/>
      <c r="AF16" s="76"/>
      <c r="AG16" s="76"/>
      <c r="AH16" s="76"/>
      <c r="AI16" s="76"/>
      <c r="AJ16" s="76"/>
    </row>
    <row r="17" spans="1:36" ht="19.5" customHeight="1" x14ac:dyDescent="0.3">
      <c r="A17" s="76"/>
      <c r="B17" s="149"/>
      <c r="C17" s="150"/>
      <c r="D17" s="150"/>
      <c r="E17" s="150"/>
      <c r="F17" s="116"/>
      <c r="G17" s="116"/>
      <c r="H17" s="116"/>
      <c r="I17" s="151"/>
      <c r="J17" s="127"/>
      <c r="K17" s="127"/>
      <c r="L17" s="127"/>
      <c r="M17" s="127"/>
      <c r="N17" s="152"/>
      <c r="O17" s="153"/>
      <c r="P17" s="153"/>
      <c r="Q17" s="153"/>
      <c r="R17" s="154"/>
      <c r="S17" s="83"/>
      <c r="T17" s="155"/>
      <c r="U17" s="76"/>
      <c r="V17" s="76"/>
      <c r="W17" s="76"/>
      <c r="X17" s="76"/>
      <c r="Y17" s="76"/>
      <c r="Z17" s="76"/>
      <c r="AA17" s="76"/>
      <c r="AB17" s="76"/>
      <c r="AC17" s="76"/>
      <c r="AD17" s="76"/>
      <c r="AE17" s="76"/>
      <c r="AF17" s="76"/>
      <c r="AG17" s="76"/>
      <c r="AH17" s="76"/>
      <c r="AI17" s="76"/>
      <c r="AJ17" s="76"/>
    </row>
    <row r="18" spans="1:36" ht="19.5" customHeight="1" x14ac:dyDescent="0.3">
      <c r="A18" s="76"/>
      <c r="B18" s="149"/>
      <c r="C18" s="150"/>
      <c r="D18" s="150"/>
      <c r="E18" s="150"/>
      <c r="F18" s="116"/>
      <c r="G18" s="116"/>
      <c r="H18" s="116"/>
      <c r="I18" s="151"/>
      <c r="J18" s="127"/>
      <c r="K18" s="127"/>
      <c r="L18" s="127"/>
      <c r="M18" s="127"/>
      <c r="N18" s="152"/>
      <c r="O18" s="153"/>
      <c r="P18" s="153"/>
      <c r="Q18" s="153"/>
      <c r="R18" s="154"/>
      <c r="S18" s="83"/>
      <c r="T18" s="155"/>
      <c r="U18" s="76"/>
      <c r="V18" s="76"/>
      <c r="W18" s="76"/>
      <c r="X18" s="76"/>
      <c r="Y18" s="76"/>
      <c r="Z18" s="76"/>
      <c r="AA18" s="76"/>
      <c r="AB18" s="76"/>
      <c r="AC18" s="76"/>
      <c r="AD18" s="76"/>
      <c r="AE18" s="76"/>
      <c r="AF18" s="76"/>
      <c r="AG18" s="76"/>
      <c r="AH18" s="76"/>
      <c r="AI18" s="76"/>
      <c r="AJ18" s="76"/>
    </row>
    <row r="19" spans="1:36" ht="19.5" customHeight="1" x14ac:dyDescent="0.3">
      <c r="A19" s="76"/>
      <c r="B19" s="156"/>
      <c r="C19" s="157"/>
      <c r="D19" s="157"/>
      <c r="E19" s="157"/>
      <c r="F19" s="116"/>
      <c r="G19" s="116"/>
      <c r="H19" s="116"/>
      <c r="I19" s="151"/>
      <c r="J19" s="127"/>
      <c r="K19" s="127"/>
      <c r="L19" s="127"/>
      <c r="M19" s="127"/>
      <c r="N19" s="152"/>
      <c r="O19" s="153"/>
      <c r="P19" s="153"/>
      <c r="Q19" s="153"/>
      <c r="R19" s="154"/>
      <c r="S19" s="83"/>
      <c r="T19" s="155"/>
      <c r="U19" s="76"/>
      <c r="V19" s="76"/>
      <c r="W19" s="76"/>
      <c r="X19" s="76"/>
      <c r="Y19" s="76"/>
      <c r="Z19" s="76"/>
      <c r="AA19" s="76"/>
      <c r="AB19" s="76"/>
      <c r="AC19" s="76"/>
      <c r="AD19" s="76"/>
      <c r="AE19" s="76"/>
      <c r="AF19" s="76"/>
      <c r="AG19" s="76"/>
      <c r="AH19" s="76"/>
      <c r="AI19" s="76"/>
      <c r="AJ19" s="76"/>
    </row>
    <row r="20" spans="1:36" ht="19.5" customHeight="1" x14ac:dyDescent="0.3">
      <c r="A20" s="76"/>
      <c r="B20" s="127"/>
      <c r="C20" s="127"/>
      <c r="D20" s="127"/>
      <c r="E20" s="116"/>
      <c r="F20" s="116"/>
      <c r="G20" s="116"/>
      <c r="H20" s="116"/>
      <c r="I20" s="151"/>
      <c r="J20" s="127"/>
      <c r="K20" s="127"/>
      <c r="L20" s="127"/>
      <c r="M20" s="127"/>
      <c r="N20" s="152"/>
      <c r="O20" s="153"/>
      <c r="P20" s="153"/>
      <c r="Q20" s="153"/>
      <c r="R20" s="154"/>
      <c r="S20" s="83"/>
      <c r="T20" s="155"/>
      <c r="U20" s="76"/>
      <c r="V20" s="76"/>
      <c r="W20" s="76"/>
      <c r="X20" s="76"/>
      <c r="Y20" s="76"/>
      <c r="Z20" s="76"/>
      <c r="AA20" s="76"/>
      <c r="AB20" s="76"/>
      <c r="AC20" s="76"/>
      <c r="AD20" s="76"/>
      <c r="AE20" s="76"/>
      <c r="AF20" s="76"/>
      <c r="AG20" s="76"/>
      <c r="AH20" s="76"/>
      <c r="AI20" s="76"/>
      <c r="AJ20" s="76"/>
    </row>
    <row r="21" spans="1:36" s="148" customFormat="1" ht="19.5" customHeight="1" x14ac:dyDescent="0.3">
      <c r="A21" s="138"/>
      <c r="B21" s="139"/>
      <c r="C21" s="143"/>
      <c r="D21" s="143"/>
      <c r="E21" s="158"/>
      <c r="F21" s="158"/>
      <c r="G21" s="158"/>
      <c r="H21" s="158"/>
      <c r="I21" s="142"/>
      <c r="J21" s="143"/>
      <c r="K21" s="140"/>
      <c r="L21" s="140"/>
      <c r="M21" s="140"/>
      <c r="N21" s="159"/>
      <c r="O21" s="160"/>
      <c r="P21" s="160"/>
      <c r="Q21" s="160"/>
      <c r="R21" s="161"/>
      <c r="S21" s="147"/>
      <c r="T21" s="155"/>
      <c r="U21" s="138"/>
      <c r="V21" s="138"/>
      <c r="W21" s="138"/>
      <c r="X21" s="138"/>
      <c r="Y21" s="138"/>
      <c r="Z21" s="138"/>
      <c r="AA21" s="138"/>
      <c r="AB21" s="138"/>
      <c r="AC21" s="138"/>
      <c r="AD21" s="138"/>
      <c r="AE21" s="138"/>
      <c r="AF21" s="138"/>
      <c r="AG21" s="138"/>
      <c r="AH21" s="138"/>
      <c r="AI21" s="138"/>
      <c r="AJ21" s="138"/>
    </row>
    <row r="22" spans="1:36" ht="19.5" customHeight="1" x14ac:dyDescent="0.3">
      <c r="A22" s="76"/>
      <c r="B22" s="149"/>
      <c r="C22" s="150"/>
      <c r="D22" s="162"/>
      <c r="E22" s="150"/>
      <c r="F22" s="116"/>
      <c r="G22" s="116"/>
      <c r="H22" s="163"/>
      <c r="I22" s="151"/>
      <c r="J22" s="127"/>
      <c r="K22" s="162"/>
      <c r="L22" s="162"/>
      <c r="M22" s="162"/>
      <c r="N22" s="164"/>
      <c r="O22" s="165"/>
      <c r="P22" s="165"/>
      <c r="Q22" s="165"/>
      <c r="R22" s="166"/>
      <c r="S22" s="83"/>
      <c r="T22" s="155"/>
      <c r="U22" s="76"/>
      <c r="V22" s="76"/>
      <c r="W22" s="76"/>
      <c r="X22" s="76"/>
      <c r="Y22" s="76"/>
      <c r="Z22" s="76"/>
      <c r="AA22" s="76"/>
      <c r="AB22" s="76"/>
      <c r="AC22" s="76"/>
      <c r="AD22" s="76"/>
      <c r="AE22" s="76"/>
      <c r="AF22" s="76"/>
      <c r="AG22" s="76"/>
      <c r="AH22" s="76"/>
      <c r="AI22" s="76"/>
      <c r="AJ22" s="76"/>
    </row>
    <row r="23" spans="1:36" ht="19.5" customHeight="1" x14ac:dyDescent="0.3">
      <c r="A23" s="76"/>
      <c r="B23" s="149"/>
      <c r="C23" s="150"/>
      <c r="D23" s="162"/>
      <c r="E23" s="150"/>
      <c r="F23" s="116"/>
      <c r="G23" s="116"/>
      <c r="H23" s="163"/>
      <c r="I23" s="151"/>
      <c r="J23" s="127"/>
      <c r="K23" s="162"/>
      <c r="L23" s="162"/>
      <c r="M23" s="162"/>
      <c r="N23" s="164"/>
      <c r="O23" s="165"/>
      <c r="P23" s="165"/>
      <c r="Q23" s="165"/>
      <c r="R23" s="166"/>
      <c r="S23" s="83"/>
      <c r="T23" s="155"/>
      <c r="U23" s="76"/>
      <c r="V23" s="76"/>
      <c r="W23" s="76"/>
      <c r="X23" s="76"/>
      <c r="Y23" s="76"/>
      <c r="Z23" s="76"/>
      <c r="AA23" s="76"/>
      <c r="AB23" s="76"/>
      <c r="AC23" s="76"/>
      <c r="AD23" s="76"/>
      <c r="AE23" s="76"/>
      <c r="AF23" s="76"/>
      <c r="AG23" s="76"/>
      <c r="AH23" s="76"/>
      <c r="AI23" s="76"/>
      <c r="AJ23" s="76"/>
    </row>
    <row r="24" spans="1:36" ht="19.5" customHeight="1" x14ac:dyDescent="0.3">
      <c r="A24" s="76"/>
      <c r="B24" s="149"/>
      <c r="C24" s="150"/>
      <c r="D24" s="162"/>
      <c r="E24" s="150"/>
      <c r="F24" s="116"/>
      <c r="G24" s="116"/>
      <c r="H24" s="163"/>
      <c r="I24" s="151"/>
      <c r="J24" s="127"/>
      <c r="K24" s="162"/>
      <c r="L24" s="162"/>
      <c r="M24" s="162"/>
      <c r="N24" s="164"/>
      <c r="O24" s="165"/>
      <c r="P24" s="165"/>
      <c r="Q24" s="165"/>
      <c r="R24" s="166"/>
      <c r="S24" s="83"/>
      <c r="T24" s="155"/>
      <c r="U24" s="76"/>
      <c r="V24" s="76"/>
      <c r="W24" s="76"/>
      <c r="X24" s="76"/>
      <c r="Y24" s="76"/>
      <c r="Z24" s="76"/>
      <c r="AA24" s="76"/>
      <c r="AB24" s="76"/>
      <c r="AC24" s="76"/>
      <c r="AD24" s="76"/>
      <c r="AE24" s="76"/>
      <c r="AF24" s="76"/>
      <c r="AG24" s="76"/>
      <c r="AH24" s="76"/>
      <c r="AI24" s="76"/>
      <c r="AJ24" s="76"/>
    </row>
    <row r="25" spans="1:36" ht="19.5" customHeight="1" x14ac:dyDescent="0.3">
      <c r="A25" s="76"/>
      <c r="B25" s="149"/>
      <c r="C25" s="150"/>
      <c r="D25" s="162"/>
      <c r="E25" s="150"/>
      <c r="F25" s="116"/>
      <c r="G25" s="116"/>
      <c r="H25" s="163"/>
      <c r="I25" s="151"/>
      <c r="J25" s="127"/>
      <c r="K25" s="162"/>
      <c r="L25" s="162"/>
      <c r="M25" s="162"/>
      <c r="N25" s="164"/>
      <c r="O25" s="165"/>
      <c r="P25" s="165"/>
      <c r="Q25" s="165"/>
      <c r="R25" s="166"/>
      <c r="S25" s="83"/>
      <c r="T25" s="155"/>
      <c r="U25" s="76"/>
      <c r="V25" s="76"/>
      <c r="W25" s="76"/>
      <c r="X25" s="76"/>
      <c r="Y25" s="76"/>
      <c r="Z25" s="76"/>
      <c r="AA25" s="76"/>
      <c r="AB25" s="76"/>
      <c r="AC25" s="76"/>
      <c r="AD25" s="76"/>
      <c r="AE25" s="76"/>
      <c r="AF25" s="76"/>
      <c r="AG25" s="76"/>
      <c r="AH25" s="76"/>
      <c r="AI25" s="76"/>
      <c r="AJ25" s="76"/>
    </row>
    <row r="26" spans="1:36" ht="19.5" customHeight="1" x14ac:dyDescent="0.3">
      <c r="A26" s="76"/>
      <c r="B26" s="149"/>
      <c r="C26" s="150"/>
      <c r="D26" s="162"/>
      <c r="E26" s="150"/>
      <c r="F26" s="116"/>
      <c r="G26" s="116"/>
      <c r="H26" s="163"/>
      <c r="I26" s="151"/>
      <c r="J26" s="127"/>
      <c r="K26" s="162"/>
      <c r="L26" s="162"/>
      <c r="M26" s="162"/>
      <c r="N26" s="164"/>
      <c r="O26" s="165"/>
      <c r="P26" s="165"/>
      <c r="Q26" s="165"/>
      <c r="R26" s="166"/>
      <c r="S26" s="83"/>
      <c r="T26" s="155"/>
      <c r="U26" s="76"/>
      <c r="V26" s="76"/>
      <c r="W26" s="76"/>
      <c r="X26" s="76"/>
      <c r="Y26" s="76"/>
      <c r="Z26" s="76"/>
      <c r="AA26" s="76"/>
      <c r="AB26" s="76"/>
      <c r="AC26" s="76"/>
      <c r="AD26" s="76"/>
      <c r="AE26" s="76"/>
      <c r="AF26" s="76"/>
      <c r="AG26" s="76"/>
      <c r="AH26" s="76"/>
      <c r="AI26" s="76"/>
      <c r="AJ26" s="76"/>
    </row>
    <row r="27" spans="1:36" ht="19.5" customHeight="1" x14ac:dyDescent="0.3">
      <c r="A27" s="76"/>
      <c r="B27" s="149"/>
      <c r="C27" s="150"/>
      <c r="D27" s="162"/>
      <c r="E27" s="150"/>
      <c r="F27" s="116"/>
      <c r="G27" s="116"/>
      <c r="H27" s="163"/>
      <c r="I27" s="151"/>
      <c r="J27" s="127"/>
      <c r="K27" s="162"/>
      <c r="L27" s="162"/>
      <c r="M27" s="162"/>
      <c r="N27" s="164"/>
      <c r="O27" s="165"/>
      <c r="P27" s="165"/>
      <c r="Q27" s="165"/>
      <c r="R27" s="166"/>
      <c r="S27" s="83"/>
      <c r="T27" s="155"/>
      <c r="U27" s="76"/>
      <c r="V27" s="76"/>
      <c r="W27" s="76"/>
      <c r="X27" s="76"/>
      <c r="Y27" s="76"/>
      <c r="Z27" s="76"/>
      <c r="AA27" s="76"/>
      <c r="AB27" s="76"/>
      <c r="AC27" s="76"/>
      <c r="AD27" s="76"/>
      <c r="AE27" s="76"/>
      <c r="AF27" s="76"/>
      <c r="AG27" s="76"/>
      <c r="AH27" s="76"/>
      <c r="AI27" s="76"/>
      <c r="AJ27" s="76"/>
    </row>
    <row r="28" spans="1:36" s="148" customFormat="1" ht="19.5" customHeight="1" x14ac:dyDescent="0.3">
      <c r="A28" s="138"/>
      <c r="B28" s="139"/>
      <c r="C28" s="140"/>
      <c r="D28" s="140"/>
      <c r="E28" s="141"/>
      <c r="F28" s="141"/>
      <c r="G28" s="141"/>
      <c r="H28" s="141"/>
      <c r="I28" s="142"/>
      <c r="J28" s="143"/>
      <c r="K28" s="140"/>
      <c r="L28" s="140"/>
      <c r="M28" s="140"/>
      <c r="N28" s="144"/>
      <c r="O28" s="145"/>
      <c r="P28" s="145"/>
      <c r="Q28" s="145"/>
      <c r="R28" s="146"/>
      <c r="S28" s="147"/>
      <c r="T28" s="155"/>
      <c r="U28" s="138"/>
      <c r="V28" s="138"/>
      <c r="W28" s="138"/>
      <c r="X28" s="138"/>
      <c r="Y28" s="138"/>
      <c r="Z28" s="138"/>
      <c r="AA28" s="138"/>
      <c r="AB28" s="138"/>
      <c r="AC28" s="138"/>
      <c r="AD28" s="138"/>
      <c r="AE28" s="138"/>
      <c r="AF28" s="138"/>
      <c r="AG28" s="138"/>
      <c r="AH28" s="138"/>
      <c r="AI28" s="138"/>
      <c r="AJ28" s="138"/>
    </row>
    <row r="29" spans="1:36" ht="19.5" customHeight="1" x14ac:dyDescent="0.3">
      <c r="A29" s="76"/>
      <c r="B29" s="149"/>
      <c r="C29" s="150"/>
      <c r="D29" s="162"/>
      <c r="E29" s="150"/>
      <c r="F29" s="116"/>
      <c r="G29" s="116"/>
      <c r="H29" s="163"/>
      <c r="I29" s="151"/>
      <c r="J29" s="127"/>
      <c r="K29" s="162"/>
      <c r="L29" s="162"/>
      <c r="M29" s="162"/>
      <c r="N29" s="164"/>
      <c r="O29" s="165"/>
      <c r="P29" s="165"/>
      <c r="Q29" s="165"/>
      <c r="R29" s="166"/>
      <c r="S29" s="83"/>
      <c r="T29" s="155"/>
      <c r="U29" s="76"/>
      <c r="V29" s="76"/>
      <c r="W29" s="76"/>
      <c r="X29" s="76"/>
      <c r="Y29" s="76"/>
      <c r="Z29" s="76"/>
      <c r="AA29" s="76"/>
      <c r="AB29" s="76"/>
      <c r="AC29" s="76"/>
      <c r="AD29" s="76"/>
      <c r="AE29" s="76"/>
      <c r="AF29" s="76"/>
      <c r="AG29" s="76"/>
      <c r="AH29" s="76"/>
      <c r="AI29" s="76"/>
      <c r="AJ29" s="76"/>
    </row>
    <row r="30" spans="1:36" ht="19.5" customHeight="1" x14ac:dyDescent="0.3">
      <c r="A30" s="76"/>
      <c r="B30" s="149"/>
      <c r="C30" s="150"/>
      <c r="D30" s="162"/>
      <c r="E30" s="150"/>
      <c r="F30" s="116"/>
      <c r="G30" s="116"/>
      <c r="H30" s="163"/>
      <c r="I30" s="151"/>
      <c r="J30" s="127"/>
      <c r="K30" s="162"/>
      <c r="L30" s="162"/>
      <c r="M30" s="162"/>
      <c r="N30" s="164"/>
      <c r="O30" s="165"/>
      <c r="P30" s="165"/>
      <c r="Q30" s="165"/>
      <c r="R30" s="166"/>
      <c r="S30" s="83"/>
      <c r="T30" s="155"/>
      <c r="U30" s="76"/>
      <c r="V30" s="76"/>
      <c r="W30" s="76"/>
      <c r="X30" s="76"/>
      <c r="Y30" s="76"/>
      <c r="Z30" s="76"/>
      <c r="AA30" s="76"/>
      <c r="AB30" s="76"/>
      <c r="AC30" s="76"/>
      <c r="AD30" s="76"/>
      <c r="AE30" s="76"/>
      <c r="AF30" s="76"/>
      <c r="AG30" s="76"/>
      <c r="AH30" s="76"/>
      <c r="AI30" s="76"/>
      <c r="AJ30" s="76"/>
    </row>
    <row r="31" spans="1:36" ht="19.5" customHeight="1" x14ac:dyDescent="0.3">
      <c r="A31" s="76"/>
      <c r="B31" s="149"/>
      <c r="C31" s="150"/>
      <c r="D31" s="162"/>
      <c r="E31" s="150"/>
      <c r="F31" s="116"/>
      <c r="G31" s="116"/>
      <c r="H31" s="163"/>
      <c r="I31" s="151"/>
      <c r="J31" s="127"/>
      <c r="K31" s="162"/>
      <c r="L31" s="162"/>
      <c r="M31" s="162"/>
      <c r="N31" s="164"/>
      <c r="O31" s="165"/>
      <c r="P31" s="165"/>
      <c r="Q31" s="165"/>
      <c r="R31" s="166"/>
      <c r="S31" s="83"/>
      <c r="T31" s="155"/>
      <c r="U31" s="76"/>
      <c r="V31" s="76"/>
      <c r="W31" s="76"/>
      <c r="X31" s="76"/>
      <c r="Y31" s="76"/>
      <c r="Z31" s="76"/>
      <c r="AA31" s="76"/>
      <c r="AB31" s="76"/>
      <c r="AC31" s="76"/>
      <c r="AD31" s="76"/>
      <c r="AE31" s="76"/>
      <c r="AF31" s="76"/>
      <c r="AG31" s="76"/>
      <c r="AH31" s="76"/>
      <c r="AI31" s="76"/>
      <c r="AJ31" s="76"/>
    </row>
    <row r="32" spans="1:36" ht="19.5" customHeight="1" x14ac:dyDescent="0.3">
      <c r="A32" s="76"/>
      <c r="B32" s="149"/>
      <c r="C32" s="150"/>
      <c r="D32" s="162"/>
      <c r="E32" s="150"/>
      <c r="F32" s="116"/>
      <c r="G32" s="116"/>
      <c r="H32" s="163"/>
      <c r="I32" s="151"/>
      <c r="J32" s="127"/>
      <c r="K32" s="162"/>
      <c r="L32" s="162"/>
      <c r="M32" s="162"/>
      <c r="N32" s="164"/>
      <c r="O32" s="165"/>
      <c r="P32" s="165"/>
      <c r="Q32" s="165"/>
      <c r="R32" s="166"/>
      <c r="S32" s="83"/>
      <c r="T32" s="155"/>
      <c r="U32" s="76"/>
      <c r="V32" s="76"/>
      <c r="W32" s="76"/>
      <c r="X32" s="76"/>
      <c r="Y32" s="76"/>
      <c r="Z32" s="76"/>
      <c r="AA32" s="76"/>
      <c r="AB32" s="76"/>
      <c r="AC32" s="76"/>
      <c r="AD32" s="76"/>
      <c r="AE32" s="76"/>
      <c r="AF32" s="76"/>
      <c r="AG32" s="76"/>
      <c r="AH32" s="76"/>
      <c r="AI32" s="76"/>
      <c r="AJ32" s="76"/>
    </row>
    <row r="33" spans="1:36" ht="19.5" customHeight="1" x14ac:dyDescent="0.3">
      <c r="A33" s="76"/>
      <c r="B33" s="149"/>
      <c r="C33" s="150"/>
      <c r="D33" s="162"/>
      <c r="E33" s="150"/>
      <c r="F33" s="116"/>
      <c r="G33" s="116"/>
      <c r="H33" s="163"/>
      <c r="I33" s="151"/>
      <c r="J33" s="127"/>
      <c r="K33" s="162"/>
      <c r="L33" s="162"/>
      <c r="M33" s="162"/>
      <c r="N33" s="164"/>
      <c r="O33" s="165"/>
      <c r="P33" s="165"/>
      <c r="Q33" s="165"/>
      <c r="R33" s="166"/>
      <c r="S33" s="83"/>
      <c r="T33" s="155"/>
      <c r="U33" s="76"/>
      <c r="V33" s="76"/>
      <c r="W33" s="76"/>
      <c r="X33" s="76"/>
      <c r="Y33" s="76"/>
      <c r="Z33" s="76"/>
      <c r="AA33" s="76"/>
      <c r="AB33" s="76"/>
      <c r="AC33" s="76"/>
      <c r="AD33" s="76"/>
      <c r="AE33" s="76"/>
      <c r="AF33" s="76"/>
      <c r="AG33" s="76"/>
      <c r="AH33" s="76"/>
      <c r="AI33" s="76"/>
      <c r="AJ33" s="76"/>
    </row>
    <row r="34" spans="1:36" ht="19.5" customHeight="1" x14ac:dyDescent="0.3">
      <c r="A34" s="76"/>
      <c r="B34" s="149"/>
      <c r="C34" s="150"/>
      <c r="D34" s="162"/>
      <c r="E34" s="150"/>
      <c r="F34" s="116"/>
      <c r="G34" s="116"/>
      <c r="H34" s="163"/>
      <c r="I34" s="151"/>
      <c r="J34" s="127"/>
      <c r="K34" s="162"/>
      <c r="L34" s="162"/>
      <c r="M34" s="162"/>
      <c r="N34" s="164"/>
      <c r="O34" s="165"/>
      <c r="P34" s="165"/>
      <c r="Q34" s="165"/>
      <c r="R34" s="166"/>
      <c r="S34" s="83"/>
      <c r="T34" s="155"/>
      <c r="U34" s="76"/>
      <c r="V34" s="76"/>
      <c r="W34" s="76"/>
      <c r="X34" s="76"/>
      <c r="Y34" s="76"/>
      <c r="Z34" s="76"/>
      <c r="AA34" s="76"/>
      <c r="AB34" s="76"/>
      <c r="AC34" s="76"/>
      <c r="AD34" s="76"/>
      <c r="AE34" s="76"/>
      <c r="AF34" s="76"/>
      <c r="AG34" s="76"/>
      <c r="AH34" s="76"/>
      <c r="AI34" s="76"/>
      <c r="AJ34" s="76"/>
    </row>
    <row r="35" spans="1:36" ht="19.5" customHeight="1" x14ac:dyDescent="0.3">
      <c r="A35" s="76"/>
      <c r="B35" s="149"/>
      <c r="C35" s="150"/>
      <c r="D35" s="162"/>
      <c r="E35" s="150"/>
      <c r="F35" s="116"/>
      <c r="G35" s="116"/>
      <c r="H35" s="163"/>
      <c r="I35" s="151"/>
      <c r="J35" s="127"/>
      <c r="K35" s="162"/>
      <c r="L35" s="162"/>
      <c r="M35" s="162"/>
      <c r="N35" s="164"/>
      <c r="O35" s="165"/>
      <c r="P35" s="165"/>
      <c r="Q35" s="165"/>
      <c r="R35" s="166"/>
      <c r="S35" s="83"/>
      <c r="T35" s="155"/>
      <c r="U35" s="76"/>
      <c r="V35" s="76"/>
      <c r="W35" s="76"/>
      <c r="X35" s="76"/>
      <c r="Y35" s="76"/>
      <c r="Z35" s="76"/>
      <c r="AA35" s="76"/>
      <c r="AB35" s="76"/>
      <c r="AC35" s="76"/>
      <c r="AD35" s="76"/>
      <c r="AE35" s="76"/>
      <c r="AF35" s="76"/>
      <c r="AG35" s="76"/>
      <c r="AH35" s="76"/>
      <c r="AI35" s="76"/>
      <c r="AJ35" s="76"/>
    </row>
    <row r="36" spans="1:36" ht="19.5" customHeight="1" x14ac:dyDescent="0.3">
      <c r="A36" s="76"/>
      <c r="B36" s="162"/>
      <c r="C36" s="162"/>
      <c r="D36" s="162"/>
      <c r="E36" s="163"/>
      <c r="F36" s="163"/>
      <c r="G36" s="163"/>
      <c r="H36" s="163"/>
      <c r="I36" s="151"/>
      <c r="J36" s="127"/>
      <c r="K36" s="162"/>
      <c r="L36" s="162"/>
      <c r="M36" s="162"/>
      <c r="N36" s="164"/>
      <c r="O36" s="165"/>
      <c r="P36" s="165"/>
      <c r="Q36" s="165"/>
      <c r="R36" s="166"/>
      <c r="S36" s="83"/>
      <c r="T36" s="155"/>
      <c r="U36" s="76"/>
      <c r="V36" s="76"/>
      <c r="W36" s="76"/>
      <c r="X36" s="76"/>
      <c r="Y36" s="76"/>
      <c r="Z36" s="76"/>
      <c r="AA36" s="76"/>
      <c r="AB36" s="76"/>
      <c r="AC36" s="76"/>
      <c r="AD36" s="76"/>
      <c r="AE36" s="76"/>
      <c r="AF36" s="76"/>
      <c r="AG36" s="76"/>
      <c r="AH36" s="76"/>
      <c r="AI36" s="76"/>
      <c r="AJ36" s="76"/>
    </row>
    <row r="37" spans="1:36" s="148" customFormat="1" ht="19.5" customHeight="1" x14ac:dyDescent="0.3">
      <c r="A37" s="138"/>
      <c r="B37" s="139"/>
      <c r="C37" s="143"/>
      <c r="D37" s="143"/>
      <c r="E37" s="158"/>
      <c r="F37" s="158"/>
      <c r="G37" s="158"/>
      <c r="H37" s="158"/>
      <c r="I37" s="142"/>
      <c r="J37" s="143"/>
      <c r="K37" s="140"/>
      <c r="L37" s="140"/>
      <c r="M37" s="140"/>
      <c r="N37" s="159"/>
      <c r="O37" s="145"/>
      <c r="P37" s="145"/>
      <c r="Q37" s="145"/>
      <c r="R37" s="146"/>
      <c r="S37" s="147"/>
      <c r="T37" s="155"/>
      <c r="U37" s="138"/>
      <c r="V37" s="138"/>
      <c r="W37" s="138"/>
      <c r="X37" s="138"/>
      <c r="Y37" s="138"/>
      <c r="Z37" s="138"/>
      <c r="AA37" s="138"/>
      <c r="AB37" s="138"/>
      <c r="AC37" s="138"/>
      <c r="AD37" s="138"/>
      <c r="AE37" s="138"/>
      <c r="AF37" s="138"/>
      <c r="AG37" s="138"/>
      <c r="AH37" s="138"/>
      <c r="AI37" s="138"/>
      <c r="AJ37" s="138"/>
    </row>
    <row r="38" spans="1:36" ht="19.5" customHeight="1" x14ac:dyDescent="0.3">
      <c r="A38" s="76"/>
      <c r="B38" s="167"/>
      <c r="C38" s="150"/>
      <c r="D38" s="168"/>
      <c r="E38" s="150"/>
      <c r="F38" s="116"/>
      <c r="G38" s="116"/>
      <c r="H38" s="163"/>
      <c r="I38" s="151"/>
      <c r="J38" s="127"/>
      <c r="K38" s="162"/>
      <c r="L38" s="162"/>
      <c r="M38" s="162"/>
      <c r="N38" s="164"/>
      <c r="O38" s="165"/>
      <c r="P38" s="165"/>
      <c r="Q38" s="165"/>
      <c r="R38" s="166"/>
      <c r="S38" s="83"/>
      <c r="T38" s="155"/>
      <c r="U38" s="76"/>
      <c r="V38" s="76"/>
      <c r="W38" s="76"/>
      <c r="X38" s="76"/>
      <c r="Y38" s="76"/>
      <c r="Z38" s="76"/>
      <c r="AA38" s="76"/>
      <c r="AB38" s="76"/>
      <c r="AC38" s="76"/>
      <c r="AD38" s="76"/>
      <c r="AE38" s="76"/>
      <c r="AF38" s="76"/>
      <c r="AG38" s="76"/>
      <c r="AH38" s="76"/>
      <c r="AI38" s="76"/>
      <c r="AJ38" s="76"/>
    </row>
    <row r="39" spans="1:36" ht="19.5" customHeight="1" x14ac:dyDescent="0.3">
      <c r="A39" s="76"/>
      <c r="B39" s="167"/>
      <c r="C39" s="150"/>
      <c r="D39" s="162"/>
      <c r="E39" s="150"/>
      <c r="F39" s="116"/>
      <c r="G39" s="116"/>
      <c r="H39" s="163"/>
      <c r="I39" s="151"/>
      <c r="J39" s="127"/>
      <c r="K39" s="162"/>
      <c r="L39" s="162"/>
      <c r="M39" s="162"/>
      <c r="N39" s="164"/>
      <c r="O39" s="165"/>
      <c r="P39" s="165"/>
      <c r="Q39" s="165"/>
      <c r="R39" s="166"/>
      <c r="S39" s="83"/>
      <c r="T39" s="155"/>
      <c r="U39" s="76"/>
      <c r="V39" s="76"/>
      <c r="W39" s="76"/>
      <c r="X39" s="76"/>
      <c r="Y39" s="76"/>
      <c r="Z39" s="76"/>
      <c r="AA39" s="76"/>
      <c r="AB39" s="76"/>
      <c r="AC39" s="76"/>
      <c r="AD39" s="76"/>
      <c r="AE39" s="76"/>
      <c r="AF39" s="76"/>
      <c r="AG39" s="76"/>
      <c r="AH39" s="76"/>
      <c r="AI39" s="76"/>
      <c r="AJ39" s="76"/>
    </row>
    <row r="40" spans="1:36" ht="19.5" customHeight="1" x14ac:dyDescent="0.3">
      <c r="A40" s="76"/>
      <c r="B40" s="167"/>
      <c r="C40" s="150"/>
      <c r="D40" s="162"/>
      <c r="E40" s="150"/>
      <c r="F40" s="116"/>
      <c r="G40" s="116"/>
      <c r="H40" s="163"/>
      <c r="I40" s="151"/>
      <c r="J40" s="127"/>
      <c r="K40" s="162"/>
      <c r="L40" s="162"/>
      <c r="M40" s="162"/>
      <c r="N40" s="164"/>
      <c r="O40" s="165"/>
      <c r="P40" s="165"/>
      <c r="Q40" s="165"/>
      <c r="R40" s="166"/>
      <c r="S40" s="83"/>
      <c r="T40" s="155"/>
      <c r="U40" s="76"/>
      <c r="V40" s="76"/>
      <c r="W40" s="76"/>
      <c r="X40" s="76"/>
      <c r="Y40" s="76"/>
      <c r="Z40" s="76"/>
      <c r="AA40" s="76"/>
      <c r="AB40" s="76"/>
      <c r="AC40" s="76"/>
      <c r="AD40" s="76"/>
      <c r="AE40" s="76"/>
      <c r="AF40" s="76"/>
      <c r="AG40" s="76"/>
      <c r="AH40" s="76"/>
      <c r="AI40" s="76"/>
      <c r="AJ40" s="76"/>
    </row>
    <row r="41" spans="1:36" ht="19.5" customHeight="1" x14ac:dyDescent="0.3">
      <c r="A41" s="76"/>
      <c r="B41" s="167"/>
      <c r="C41" s="150"/>
      <c r="D41" s="162"/>
      <c r="E41" s="150"/>
      <c r="F41" s="116"/>
      <c r="G41" s="116"/>
      <c r="H41" s="163"/>
      <c r="I41" s="151"/>
      <c r="J41" s="127"/>
      <c r="K41" s="162"/>
      <c r="L41" s="162"/>
      <c r="M41" s="162"/>
      <c r="N41" s="164"/>
      <c r="O41" s="165"/>
      <c r="P41" s="165"/>
      <c r="Q41" s="165"/>
      <c r="R41" s="166"/>
      <c r="S41" s="83"/>
      <c r="T41" s="155"/>
      <c r="U41" s="76"/>
      <c r="V41" s="76"/>
      <c r="W41" s="76"/>
      <c r="X41" s="76"/>
      <c r="Y41" s="76"/>
      <c r="Z41" s="76"/>
      <c r="AA41" s="76"/>
      <c r="AB41" s="76"/>
      <c r="AC41" s="76"/>
      <c r="AD41" s="76"/>
      <c r="AE41" s="76"/>
      <c r="AF41" s="76"/>
      <c r="AG41" s="76"/>
      <c r="AH41" s="76"/>
      <c r="AI41" s="76"/>
      <c r="AJ41" s="76"/>
    </row>
    <row r="42" spans="1:36" ht="19.5" customHeight="1" x14ac:dyDescent="0.3">
      <c r="A42" s="76"/>
      <c r="B42" s="167"/>
      <c r="C42" s="169"/>
      <c r="D42" s="162"/>
      <c r="E42" s="150"/>
      <c r="F42" s="116"/>
      <c r="G42" s="116"/>
      <c r="H42" s="163"/>
      <c r="I42" s="151"/>
      <c r="J42" s="127"/>
      <c r="K42" s="162"/>
      <c r="L42" s="162"/>
      <c r="M42" s="162"/>
      <c r="N42" s="164"/>
      <c r="O42" s="165"/>
      <c r="P42" s="165"/>
      <c r="Q42" s="165"/>
      <c r="R42" s="166"/>
      <c r="S42" s="83"/>
      <c r="T42" s="155"/>
      <c r="U42" s="76"/>
      <c r="V42" s="76"/>
      <c r="W42" s="76"/>
      <c r="X42" s="76"/>
      <c r="Y42" s="76"/>
      <c r="Z42" s="76"/>
      <c r="AA42" s="76"/>
      <c r="AB42" s="76"/>
      <c r="AC42" s="76"/>
      <c r="AD42" s="76"/>
      <c r="AE42" s="76"/>
      <c r="AF42" s="76"/>
      <c r="AG42" s="76"/>
      <c r="AH42" s="76"/>
      <c r="AI42" s="76"/>
      <c r="AJ42" s="76"/>
    </row>
    <row r="43" spans="1:36" ht="19.5" customHeight="1" x14ac:dyDescent="0.3">
      <c r="A43" s="76"/>
      <c r="B43" s="167"/>
      <c r="C43" s="150"/>
      <c r="D43" s="162"/>
      <c r="E43" s="150"/>
      <c r="F43" s="116"/>
      <c r="G43" s="116"/>
      <c r="H43" s="163"/>
      <c r="I43" s="151"/>
      <c r="J43" s="127"/>
      <c r="K43" s="162"/>
      <c r="L43" s="162"/>
      <c r="M43" s="162"/>
      <c r="N43" s="164"/>
      <c r="O43" s="165"/>
      <c r="P43" s="165"/>
      <c r="Q43" s="165"/>
      <c r="R43" s="166"/>
      <c r="S43" s="83"/>
      <c r="T43" s="155"/>
      <c r="U43" s="76"/>
      <c r="V43" s="76"/>
      <c r="W43" s="76"/>
      <c r="X43" s="76"/>
      <c r="Y43" s="76"/>
      <c r="Z43" s="76"/>
      <c r="AA43" s="76"/>
      <c r="AB43" s="76"/>
      <c r="AC43" s="76"/>
      <c r="AD43" s="76"/>
      <c r="AE43" s="76"/>
      <c r="AF43" s="76"/>
      <c r="AG43" s="76"/>
      <c r="AH43" s="76"/>
      <c r="AI43" s="76"/>
      <c r="AJ43" s="76"/>
    </row>
    <row r="44" spans="1:36" ht="19.5" customHeight="1" x14ac:dyDescent="0.3">
      <c r="A44" s="76"/>
      <c r="B44" s="167"/>
      <c r="C44" s="150"/>
      <c r="D44" s="162"/>
      <c r="E44" s="150"/>
      <c r="F44" s="116"/>
      <c r="G44" s="116"/>
      <c r="H44" s="163"/>
      <c r="I44" s="151"/>
      <c r="J44" s="127"/>
      <c r="K44" s="162"/>
      <c r="L44" s="162"/>
      <c r="M44" s="162"/>
      <c r="N44" s="164"/>
      <c r="O44" s="165"/>
      <c r="P44" s="165"/>
      <c r="Q44" s="165"/>
      <c r="R44" s="166"/>
      <c r="S44" s="83"/>
      <c r="T44" s="155"/>
      <c r="U44" s="76"/>
      <c r="V44" s="76"/>
      <c r="W44" s="76"/>
      <c r="X44" s="76"/>
      <c r="Y44" s="76"/>
      <c r="Z44" s="76"/>
      <c r="AA44" s="76"/>
      <c r="AB44" s="76"/>
      <c r="AC44" s="76"/>
      <c r="AD44" s="76"/>
      <c r="AE44" s="76"/>
      <c r="AF44" s="76"/>
      <c r="AG44" s="76"/>
      <c r="AH44" s="76"/>
      <c r="AI44" s="76"/>
      <c r="AJ44" s="76"/>
    </row>
    <row r="45" spans="1:36" ht="19.5" customHeight="1" x14ac:dyDescent="0.3">
      <c r="A45" s="76"/>
      <c r="B45" s="167"/>
      <c r="C45" s="150"/>
      <c r="D45" s="162"/>
      <c r="E45" s="150"/>
      <c r="F45" s="116"/>
      <c r="G45" s="116"/>
      <c r="H45" s="163"/>
      <c r="I45" s="151"/>
      <c r="J45" s="127"/>
      <c r="K45" s="162"/>
      <c r="L45" s="162"/>
      <c r="M45" s="162"/>
      <c r="N45" s="164"/>
      <c r="O45" s="165"/>
      <c r="P45" s="165"/>
      <c r="Q45" s="165"/>
      <c r="R45" s="166"/>
      <c r="S45" s="83"/>
      <c r="T45" s="155"/>
      <c r="U45" s="76"/>
      <c r="V45" s="76"/>
      <c r="W45" s="76"/>
      <c r="X45" s="76"/>
      <c r="Y45" s="76"/>
      <c r="Z45" s="76"/>
      <c r="AA45" s="76"/>
      <c r="AB45" s="76"/>
      <c r="AC45" s="76"/>
      <c r="AD45" s="76"/>
      <c r="AE45" s="76"/>
      <c r="AF45" s="76"/>
      <c r="AG45" s="76"/>
      <c r="AH45" s="76"/>
      <c r="AI45" s="76"/>
      <c r="AJ45" s="76"/>
    </row>
    <row r="46" spans="1:36" ht="19.5" customHeight="1" x14ac:dyDescent="0.3">
      <c r="A46" s="76"/>
      <c r="B46" s="167"/>
      <c r="C46" s="150"/>
      <c r="D46" s="162"/>
      <c r="E46" s="150"/>
      <c r="F46" s="116"/>
      <c r="G46" s="116"/>
      <c r="H46" s="163"/>
      <c r="I46" s="151"/>
      <c r="J46" s="127"/>
      <c r="K46" s="162"/>
      <c r="L46" s="162"/>
      <c r="M46" s="162"/>
      <c r="N46" s="164"/>
      <c r="O46" s="165"/>
      <c r="P46" s="165"/>
      <c r="Q46" s="165"/>
      <c r="R46" s="166"/>
      <c r="S46" s="83"/>
      <c r="T46" s="155"/>
      <c r="U46" s="76"/>
      <c r="V46" s="76"/>
      <c r="W46" s="76"/>
      <c r="X46" s="76"/>
      <c r="Y46" s="76"/>
      <c r="Z46" s="76"/>
      <c r="AA46" s="76"/>
      <c r="AB46" s="76"/>
      <c r="AC46" s="76"/>
      <c r="AD46" s="76"/>
      <c r="AE46" s="76"/>
      <c r="AF46" s="76"/>
      <c r="AG46" s="76"/>
      <c r="AH46" s="76"/>
      <c r="AI46" s="76"/>
      <c r="AJ46" s="76"/>
    </row>
    <row r="47" spans="1:36" ht="19.5" customHeight="1" x14ac:dyDescent="0.3">
      <c r="A47" s="76"/>
      <c r="B47" s="167"/>
      <c r="C47" s="150"/>
      <c r="D47" s="162"/>
      <c r="E47" s="150"/>
      <c r="F47" s="116"/>
      <c r="G47" s="116"/>
      <c r="H47" s="163"/>
      <c r="I47" s="151"/>
      <c r="J47" s="127"/>
      <c r="K47" s="162"/>
      <c r="L47" s="162"/>
      <c r="M47" s="162"/>
      <c r="N47" s="164"/>
      <c r="O47" s="165"/>
      <c r="P47" s="165"/>
      <c r="Q47" s="165"/>
      <c r="R47" s="166"/>
      <c r="S47" s="83"/>
      <c r="T47" s="155"/>
      <c r="U47" s="76"/>
      <c r="V47" s="76"/>
      <c r="W47" s="76"/>
      <c r="X47" s="76"/>
      <c r="Y47" s="76"/>
      <c r="Z47" s="76"/>
      <c r="AA47" s="76"/>
      <c r="AB47" s="76"/>
      <c r="AC47" s="76"/>
      <c r="AD47" s="76"/>
      <c r="AE47" s="76"/>
      <c r="AF47" s="76"/>
      <c r="AG47" s="76"/>
      <c r="AH47" s="76"/>
      <c r="AI47" s="76"/>
      <c r="AJ47" s="76"/>
    </row>
    <row r="48" spans="1:36" ht="19.5" customHeight="1" x14ac:dyDescent="0.3">
      <c r="A48" s="76"/>
      <c r="B48" s="167"/>
      <c r="C48" s="150"/>
      <c r="D48" s="162"/>
      <c r="E48" s="149"/>
      <c r="F48" s="116"/>
      <c r="G48" s="116"/>
      <c r="H48" s="163"/>
      <c r="I48" s="151"/>
      <c r="J48" s="127"/>
      <c r="K48" s="162"/>
      <c r="L48" s="162"/>
      <c r="M48" s="162"/>
      <c r="N48" s="164"/>
      <c r="O48" s="165"/>
      <c r="P48" s="165"/>
      <c r="Q48" s="165"/>
      <c r="R48" s="166"/>
      <c r="S48" s="83"/>
      <c r="T48" s="155"/>
      <c r="U48" s="76"/>
      <c r="V48" s="76"/>
      <c r="W48" s="76"/>
      <c r="X48" s="76"/>
      <c r="Y48" s="76"/>
      <c r="Z48" s="76"/>
      <c r="AA48" s="76"/>
      <c r="AB48" s="76"/>
      <c r="AC48" s="76"/>
      <c r="AD48" s="76"/>
      <c r="AE48" s="76"/>
      <c r="AF48" s="76"/>
      <c r="AG48" s="76"/>
      <c r="AH48" s="76"/>
      <c r="AI48" s="76"/>
      <c r="AJ48" s="76"/>
    </row>
    <row r="49" spans="1:36" ht="19.5" customHeight="1" x14ac:dyDescent="0.3">
      <c r="A49" s="76"/>
      <c r="B49" s="167"/>
      <c r="C49" s="150"/>
      <c r="D49" s="162"/>
      <c r="E49" s="149"/>
      <c r="F49" s="116"/>
      <c r="G49" s="116"/>
      <c r="H49" s="163"/>
      <c r="I49" s="151"/>
      <c r="J49" s="127"/>
      <c r="K49" s="162"/>
      <c r="L49" s="162"/>
      <c r="M49" s="162"/>
      <c r="N49" s="164"/>
      <c r="O49" s="165"/>
      <c r="P49" s="165"/>
      <c r="Q49" s="165"/>
      <c r="R49" s="166"/>
      <c r="S49" s="83"/>
      <c r="T49" s="155"/>
      <c r="U49" s="76"/>
      <c r="V49" s="76"/>
      <c r="W49" s="76"/>
      <c r="X49" s="76"/>
      <c r="Y49" s="76"/>
      <c r="Z49" s="76"/>
      <c r="AA49" s="76"/>
      <c r="AB49" s="76"/>
      <c r="AC49" s="76"/>
      <c r="AD49" s="76"/>
      <c r="AE49" s="76"/>
      <c r="AF49" s="76"/>
      <c r="AG49" s="76"/>
      <c r="AH49" s="76"/>
      <c r="AI49" s="76"/>
      <c r="AJ49" s="76"/>
    </row>
    <row r="50" spans="1:36" ht="19.5" customHeight="1" x14ac:dyDescent="0.3">
      <c r="A50" s="76"/>
      <c r="B50" s="162"/>
      <c r="C50" s="162"/>
      <c r="D50" s="162"/>
      <c r="E50" s="163"/>
      <c r="F50" s="163"/>
      <c r="G50" s="163"/>
      <c r="H50" s="163"/>
      <c r="I50" s="151"/>
      <c r="J50" s="127"/>
      <c r="K50" s="162"/>
      <c r="L50" s="162"/>
      <c r="M50" s="162"/>
      <c r="N50" s="164"/>
      <c r="O50" s="165"/>
      <c r="P50" s="165"/>
      <c r="Q50" s="165"/>
      <c r="R50" s="166"/>
      <c r="S50" s="83"/>
      <c r="T50" s="155"/>
      <c r="U50" s="76"/>
      <c r="V50" s="76"/>
      <c r="W50" s="76"/>
      <c r="X50" s="76"/>
      <c r="Y50" s="76"/>
      <c r="Z50" s="76"/>
      <c r="AA50" s="76"/>
      <c r="AB50" s="76"/>
      <c r="AC50" s="76"/>
      <c r="AD50" s="76"/>
      <c r="AE50" s="76"/>
      <c r="AF50" s="76"/>
      <c r="AG50" s="76"/>
      <c r="AH50" s="76"/>
      <c r="AI50" s="76"/>
      <c r="AJ50" s="76"/>
    </row>
    <row r="51" spans="1:36" s="148" customFormat="1" ht="19.5" customHeight="1" x14ac:dyDescent="0.3">
      <c r="A51" s="138"/>
      <c r="B51" s="139"/>
      <c r="C51" s="139"/>
      <c r="D51" s="143"/>
      <c r="E51" s="158"/>
      <c r="F51" s="158"/>
      <c r="G51" s="158"/>
      <c r="H51" s="158"/>
      <c r="I51" s="142"/>
      <c r="J51" s="143"/>
      <c r="K51" s="140"/>
      <c r="L51" s="140"/>
      <c r="M51" s="140"/>
      <c r="N51" s="159"/>
      <c r="O51" s="145"/>
      <c r="P51" s="145"/>
      <c r="Q51" s="145"/>
      <c r="R51" s="146"/>
      <c r="S51" s="147"/>
      <c r="T51" s="155"/>
      <c r="U51" s="138"/>
      <c r="V51" s="138"/>
      <c r="W51" s="138"/>
      <c r="X51" s="138"/>
      <c r="Y51" s="138"/>
      <c r="Z51" s="138"/>
      <c r="AA51" s="138"/>
      <c r="AB51" s="138"/>
      <c r="AC51" s="138"/>
      <c r="AD51" s="138"/>
      <c r="AE51" s="138"/>
      <c r="AF51" s="138"/>
      <c r="AG51" s="138"/>
      <c r="AH51" s="138"/>
      <c r="AI51" s="138"/>
      <c r="AJ51" s="138"/>
    </row>
    <row r="52" spans="1:36" ht="19.5" customHeight="1" x14ac:dyDescent="0.3">
      <c r="A52" s="76"/>
      <c r="B52" s="149"/>
      <c r="C52" s="150"/>
      <c r="D52" s="162"/>
      <c r="E52" s="150"/>
      <c r="F52" s="116"/>
      <c r="G52" s="116"/>
      <c r="H52" s="163"/>
      <c r="I52" s="151"/>
      <c r="J52" s="127"/>
      <c r="K52" s="162"/>
      <c r="L52" s="162"/>
      <c r="M52" s="162"/>
      <c r="N52" s="164"/>
      <c r="O52" s="165"/>
      <c r="P52" s="165"/>
      <c r="Q52" s="165"/>
      <c r="R52" s="166"/>
      <c r="S52" s="83"/>
      <c r="T52" s="155"/>
      <c r="U52" s="76"/>
      <c r="V52" s="76"/>
      <c r="W52" s="76"/>
      <c r="X52" s="76"/>
      <c r="Y52" s="76"/>
      <c r="Z52" s="76"/>
      <c r="AA52" s="76"/>
      <c r="AB52" s="76"/>
      <c r="AC52" s="76"/>
      <c r="AD52" s="76"/>
      <c r="AE52" s="76"/>
      <c r="AF52" s="76"/>
      <c r="AG52" s="76"/>
      <c r="AH52" s="76"/>
      <c r="AI52" s="76"/>
      <c r="AJ52" s="76"/>
    </row>
    <row r="53" spans="1:36" ht="19.5" customHeight="1" x14ac:dyDescent="0.3">
      <c r="A53" s="76"/>
      <c r="B53" s="149"/>
      <c r="C53" s="150"/>
      <c r="D53" s="162"/>
      <c r="E53" s="150"/>
      <c r="F53" s="116"/>
      <c r="G53" s="116"/>
      <c r="H53" s="163"/>
      <c r="I53" s="151"/>
      <c r="J53" s="127"/>
      <c r="K53" s="162"/>
      <c r="L53" s="162"/>
      <c r="M53" s="162"/>
      <c r="N53" s="164"/>
      <c r="O53" s="165"/>
      <c r="P53" s="165"/>
      <c r="Q53" s="165"/>
      <c r="R53" s="166"/>
      <c r="S53" s="83"/>
      <c r="T53" s="155"/>
      <c r="U53" s="76"/>
      <c r="V53" s="76"/>
      <c r="W53" s="76"/>
      <c r="X53" s="76"/>
      <c r="Y53" s="76"/>
      <c r="Z53" s="76"/>
      <c r="AA53" s="76"/>
      <c r="AB53" s="76"/>
      <c r="AC53" s="76"/>
      <c r="AD53" s="76"/>
      <c r="AE53" s="76"/>
      <c r="AF53" s="76"/>
      <c r="AG53" s="76"/>
      <c r="AH53" s="76"/>
      <c r="AI53" s="76"/>
      <c r="AJ53" s="76"/>
    </row>
    <row r="54" spans="1:36" ht="19.5" customHeight="1" x14ac:dyDescent="0.3">
      <c r="A54" s="76"/>
      <c r="B54" s="149"/>
      <c r="C54" s="150"/>
      <c r="D54" s="162"/>
      <c r="E54" s="150"/>
      <c r="F54" s="116"/>
      <c r="G54" s="116"/>
      <c r="H54" s="163"/>
      <c r="I54" s="151"/>
      <c r="J54" s="127"/>
      <c r="K54" s="162"/>
      <c r="L54" s="162"/>
      <c r="M54" s="162"/>
      <c r="N54" s="164"/>
      <c r="O54" s="165"/>
      <c r="P54" s="165"/>
      <c r="Q54" s="165"/>
      <c r="R54" s="166"/>
      <c r="S54" s="83"/>
      <c r="T54" s="155"/>
      <c r="U54" s="76"/>
      <c r="V54" s="76"/>
      <c r="W54" s="76"/>
      <c r="X54" s="76"/>
      <c r="Y54" s="76"/>
      <c r="Z54" s="76"/>
      <c r="AA54" s="76"/>
      <c r="AB54" s="76"/>
      <c r="AC54" s="76"/>
      <c r="AD54" s="76"/>
      <c r="AE54" s="76"/>
      <c r="AF54" s="76"/>
      <c r="AG54" s="76"/>
      <c r="AH54" s="76"/>
      <c r="AI54" s="76"/>
      <c r="AJ54" s="76"/>
    </row>
    <row r="55" spans="1:36" ht="19.5" customHeight="1" x14ac:dyDescent="0.3">
      <c r="A55" s="76"/>
      <c r="B55" s="149"/>
      <c r="C55" s="150"/>
      <c r="D55" s="162"/>
      <c r="E55" s="150"/>
      <c r="F55" s="116"/>
      <c r="G55" s="116"/>
      <c r="H55" s="163"/>
      <c r="I55" s="151"/>
      <c r="J55" s="127"/>
      <c r="K55" s="162"/>
      <c r="L55" s="162"/>
      <c r="M55" s="162"/>
      <c r="N55" s="164"/>
      <c r="O55" s="165"/>
      <c r="P55" s="165"/>
      <c r="Q55" s="165"/>
      <c r="R55" s="166"/>
      <c r="S55" s="83"/>
      <c r="T55" s="155"/>
      <c r="U55" s="76"/>
      <c r="V55" s="76"/>
      <c r="W55" s="76"/>
      <c r="X55" s="76"/>
      <c r="Y55" s="76"/>
      <c r="Z55" s="76"/>
      <c r="AA55" s="76"/>
      <c r="AB55" s="76"/>
      <c r="AC55" s="76"/>
      <c r="AD55" s="76"/>
      <c r="AE55" s="76"/>
      <c r="AF55" s="76"/>
      <c r="AG55" s="76"/>
      <c r="AH55" s="76"/>
      <c r="AI55" s="76"/>
      <c r="AJ55" s="76"/>
    </row>
    <row r="56" spans="1:36" ht="19.5" customHeight="1" x14ac:dyDescent="0.3">
      <c r="A56" s="76"/>
      <c r="B56" s="149"/>
      <c r="C56" s="150"/>
      <c r="D56" s="168"/>
      <c r="E56" s="150"/>
      <c r="F56" s="116"/>
      <c r="G56" s="116"/>
      <c r="H56" s="163"/>
      <c r="I56" s="151"/>
      <c r="J56" s="127"/>
      <c r="K56" s="162"/>
      <c r="L56" s="162"/>
      <c r="M56" s="162"/>
      <c r="N56" s="164"/>
      <c r="O56" s="165"/>
      <c r="P56" s="165"/>
      <c r="Q56" s="165"/>
      <c r="R56" s="166"/>
      <c r="S56" s="83"/>
      <c r="T56" s="155"/>
      <c r="U56" s="76"/>
      <c r="V56" s="76"/>
      <c r="W56" s="76"/>
      <c r="X56" s="76"/>
      <c r="Y56" s="76"/>
      <c r="Z56" s="76"/>
      <c r="AA56" s="76"/>
      <c r="AB56" s="76"/>
      <c r="AC56" s="76"/>
      <c r="AD56" s="76"/>
      <c r="AE56" s="76"/>
      <c r="AF56" s="76"/>
      <c r="AG56" s="76"/>
      <c r="AH56" s="76"/>
      <c r="AI56" s="76"/>
      <c r="AJ56" s="76"/>
    </row>
    <row r="57" spans="1:36" ht="19.5" customHeight="1" x14ac:dyDescent="0.3">
      <c r="A57" s="76"/>
      <c r="B57" s="149"/>
      <c r="C57" s="150"/>
      <c r="D57" s="162"/>
      <c r="E57" s="150"/>
      <c r="F57" s="116"/>
      <c r="G57" s="116"/>
      <c r="H57" s="163"/>
      <c r="I57" s="151"/>
      <c r="J57" s="127"/>
      <c r="K57" s="162"/>
      <c r="L57" s="162"/>
      <c r="M57" s="162"/>
      <c r="N57" s="164"/>
      <c r="O57" s="165"/>
      <c r="P57" s="165"/>
      <c r="Q57" s="165"/>
      <c r="R57" s="166"/>
      <c r="S57" s="83"/>
      <c r="T57" s="155"/>
      <c r="U57" s="76"/>
      <c r="V57" s="76"/>
      <c r="W57" s="76"/>
      <c r="X57" s="76"/>
      <c r="Y57" s="76"/>
      <c r="Z57" s="76"/>
      <c r="AA57" s="76"/>
      <c r="AB57" s="76"/>
      <c r="AC57" s="76"/>
      <c r="AD57" s="76"/>
      <c r="AE57" s="76"/>
      <c r="AF57" s="76"/>
      <c r="AG57" s="76"/>
      <c r="AH57" s="76"/>
      <c r="AI57" s="76"/>
      <c r="AJ57" s="76"/>
    </row>
    <row r="58" spans="1:36" ht="19.5" customHeight="1" x14ac:dyDescent="0.3">
      <c r="A58" s="76"/>
      <c r="B58" s="156"/>
      <c r="C58" s="157"/>
      <c r="D58" s="162"/>
      <c r="E58" s="150"/>
      <c r="F58" s="116"/>
      <c r="G58" s="116"/>
      <c r="H58" s="163"/>
      <c r="I58" s="151"/>
      <c r="J58" s="127"/>
      <c r="K58" s="162"/>
      <c r="L58" s="162"/>
      <c r="M58" s="162"/>
      <c r="N58" s="164"/>
      <c r="O58" s="165"/>
      <c r="P58" s="165"/>
      <c r="Q58" s="165"/>
      <c r="R58" s="166"/>
      <c r="S58" s="83"/>
      <c r="T58" s="155"/>
      <c r="U58" s="76"/>
      <c r="V58" s="76"/>
      <c r="W58" s="76"/>
      <c r="X58" s="76"/>
      <c r="Y58" s="76"/>
      <c r="Z58" s="76"/>
      <c r="AA58" s="76"/>
      <c r="AB58" s="76"/>
      <c r="AC58" s="76"/>
      <c r="AD58" s="76"/>
      <c r="AE58" s="76"/>
      <c r="AF58" s="76"/>
      <c r="AG58" s="76"/>
      <c r="AH58" s="76"/>
      <c r="AI58" s="76"/>
      <c r="AJ58" s="76"/>
    </row>
    <row r="59" spans="1:36" ht="19.5" customHeight="1" x14ac:dyDescent="0.3">
      <c r="A59" s="76"/>
      <c r="B59" s="156"/>
      <c r="C59" s="157"/>
      <c r="D59" s="162"/>
      <c r="E59" s="157"/>
      <c r="F59" s="116"/>
      <c r="G59" s="116"/>
      <c r="H59" s="163"/>
      <c r="I59" s="151"/>
      <c r="J59" s="127"/>
      <c r="K59" s="162"/>
      <c r="L59" s="162"/>
      <c r="M59" s="162"/>
      <c r="N59" s="164"/>
      <c r="O59" s="165"/>
      <c r="P59" s="165"/>
      <c r="Q59" s="165"/>
      <c r="R59" s="166"/>
      <c r="S59" s="83"/>
      <c r="T59" s="155"/>
      <c r="U59" s="76"/>
      <c r="V59" s="76"/>
      <c r="W59" s="76"/>
      <c r="X59" s="76"/>
      <c r="Y59" s="76"/>
      <c r="Z59" s="76"/>
      <c r="AA59" s="76"/>
      <c r="AB59" s="76"/>
      <c r="AC59" s="76"/>
      <c r="AD59" s="76"/>
      <c r="AE59" s="76"/>
      <c r="AF59" s="76"/>
      <c r="AG59" s="76"/>
      <c r="AH59" s="76"/>
      <c r="AI59" s="76"/>
      <c r="AJ59" s="76"/>
    </row>
    <row r="60" spans="1:36" ht="19.5" customHeight="1" x14ac:dyDescent="0.3">
      <c r="A60" s="76"/>
      <c r="B60" s="162"/>
      <c r="C60" s="162"/>
      <c r="D60" s="162"/>
      <c r="E60" s="163"/>
      <c r="F60" s="163"/>
      <c r="G60" s="163"/>
      <c r="H60" s="163"/>
      <c r="I60" s="151"/>
      <c r="J60" s="127"/>
      <c r="K60" s="162"/>
      <c r="L60" s="162"/>
      <c r="M60" s="162"/>
      <c r="N60" s="164"/>
      <c r="O60" s="165"/>
      <c r="P60" s="165"/>
      <c r="Q60" s="165"/>
      <c r="R60" s="166"/>
      <c r="S60" s="83"/>
      <c r="T60" s="155"/>
      <c r="U60" s="76"/>
      <c r="V60" s="76"/>
      <c r="W60" s="76"/>
      <c r="X60" s="76"/>
      <c r="Y60" s="76"/>
      <c r="Z60" s="76"/>
      <c r="AA60" s="76"/>
      <c r="AB60" s="76"/>
      <c r="AC60" s="76"/>
      <c r="AD60" s="76"/>
      <c r="AE60" s="76"/>
      <c r="AF60" s="76"/>
      <c r="AG60" s="76"/>
      <c r="AH60" s="76"/>
      <c r="AI60" s="76"/>
      <c r="AJ60" s="76"/>
    </row>
    <row r="61" spans="1:36" s="148" customFormat="1" ht="19.5" customHeight="1" x14ac:dyDescent="0.3">
      <c r="A61" s="138"/>
      <c r="B61" s="139"/>
      <c r="C61" s="139"/>
      <c r="D61" s="143"/>
      <c r="E61" s="158"/>
      <c r="F61" s="158"/>
      <c r="G61" s="158"/>
      <c r="H61" s="158"/>
      <c r="I61" s="142"/>
      <c r="J61" s="143"/>
      <c r="K61" s="140"/>
      <c r="L61" s="140"/>
      <c r="M61" s="140"/>
      <c r="N61" s="159"/>
      <c r="O61" s="145"/>
      <c r="P61" s="145"/>
      <c r="Q61" s="145"/>
      <c r="R61" s="146"/>
      <c r="S61" s="147"/>
      <c r="T61" s="155"/>
      <c r="U61" s="138"/>
      <c r="V61" s="138"/>
      <c r="W61" s="138"/>
      <c r="X61" s="138"/>
      <c r="Y61" s="138"/>
      <c r="Z61" s="138"/>
      <c r="AA61" s="138"/>
      <c r="AB61" s="138"/>
      <c r="AC61" s="138"/>
      <c r="AD61" s="138"/>
      <c r="AE61" s="138"/>
      <c r="AF61" s="138"/>
      <c r="AG61" s="138"/>
      <c r="AH61" s="138"/>
      <c r="AI61" s="138"/>
      <c r="AJ61" s="138"/>
    </row>
    <row r="62" spans="1:36" ht="19.5" customHeight="1" x14ac:dyDescent="0.3">
      <c r="A62" s="76"/>
      <c r="B62" s="149"/>
      <c r="C62" s="150"/>
      <c r="D62" s="162"/>
      <c r="E62" s="150"/>
      <c r="F62" s="116"/>
      <c r="G62" s="116"/>
      <c r="H62" s="163"/>
      <c r="I62" s="151"/>
      <c r="J62" s="127"/>
      <c r="K62" s="162"/>
      <c r="L62" s="162"/>
      <c r="M62" s="162"/>
      <c r="N62" s="164"/>
      <c r="O62" s="165"/>
      <c r="P62" s="165"/>
      <c r="Q62" s="165"/>
      <c r="R62" s="166"/>
      <c r="S62" s="83"/>
      <c r="T62" s="155"/>
      <c r="U62" s="76"/>
      <c r="V62" s="76"/>
      <c r="W62" s="76"/>
      <c r="X62" s="76"/>
      <c r="Y62" s="76"/>
      <c r="Z62" s="76"/>
      <c r="AA62" s="76"/>
      <c r="AB62" s="76"/>
      <c r="AC62" s="76"/>
      <c r="AD62" s="76"/>
      <c r="AE62" s="76"/>
      <c r="AF62" s="76"/>
      <c r="AG62" s="76"/>
      <c r="AH62" s="76"/>
      <c r="AI62" s="76"/>
      <c r="AJ62" s="76"/>
    </row>
    <row r="63" spans="1:36" ht="19.5" customHeight="1" x14ac:dyDescent="0.3">
      <c r="A63" s="76"/>
      <c r="B63" s="149"/>
      <c r="C63" s="150"/>
      <c r="D63" s="162"/>
      <c r="E63" s="150"/>
      <c r="F63" s="116"/>
      <c r="G63" s="116"/>
      <c r="H63" s="163"/>
      <c r="I63" s="151"/>
      <c r="J63" s="127"/>
      <c r="K63" s="162"/>
      <c r="L63" s="162"/>
      <c r="M63" s="162"/>
      <c r="N63" s="164"/>
      <c r="O63" s="165"/>
      <c r="P63" s="165"/>
      <c r="Q63" s="165"/>
      <c r="R63" s="166"/>
      <c r="S63" s="83"/>
      <c r="T63" s="155"/>
      <c r="U63" s="76"/>
      <c r="V63" s="76"/>
      <c r="W63" s="76"/>
      <c r="X63" s="76"/>
      <c r="Y63" s="76"/>
      <c r="Z63" s="76"/>
      <c r="AA63" s="76"/>
      <c r="AB63" s="76"/>
      <c r="AC63" s="76"/>
      <c r="AD63" s="76"/>
      <c r="AE63" s="76"/>
      <c r="AF63" s="76"/>
      <c r="AG63" s="76"/>
      <c r="AH63" s="76"/>
      <c r="AI63" s="76"/>
      <c r="AJ63" s="76"/>
    </row>
    <row r="64" spans="1:36" ht="19.5" customHeight="1" x14ac:dyDescent="0.3">
      <c r="A64" s="76"/>
      <c r="B64" s="149"/>
      <c r="C64" s="150"/>
      <c r="D64" s="162"/>
      <c r="E64" s="150"/>
      <c r="F64" s="116"/>
      <c r="G64" s="116"/>
      <c r="H64" s="163"/>
      <c r="I64" s="151"/>
      <c r="J64" s="127"/>
      <c r="K64" s="162"/>
      <c r="L64" s="162"/>
      <c r="M64" s="162"/>
      <c r="N64" s="164"/>
      <c r="O64" s="165"/>
      <c r="P64" s="165"/>
      <c r="Q64" s="165"/>
      <c r="R64" s="166"/>
      <c r="S64" s="83"/>
      <c r="T64" s="155"/>
      <c r="U64" s="76"/>
      <c r="V64" s="76"/>
      <c r="W64" s="76"/>
      <c r="X64" s="76"/>
      <c r="Y64" s="76"/>
      <c r="Z64" s="76"/>
      <c r="AA64" s="76"/>
      <c r="AB64" s="76"/>
      <c r="AC64" s="76"/>
      <c r="AD64" s="76"/>
      <c r="AE64" s="76"/>
      <c r="AF64" s="76"/>
      <c r="AG64" s="76"/>
      <c r="AH64" s="76"/>
      <c r="AI64" s="76"/>
      <c r="AJ64" s="76"/>
    </row>
    <row r="65" spans="1:36" ht="19.5" customHeight="1" x14ac:dyDescent="0.3">
      <c r="A65" s="76"/>
      <c r="B65" s="156"/>
      <c r="C65" s="157"/>
      <c r="D65" s="162"/>
      <c r="E65" s="157"/>
      <c r="F65" s="116"/>
      <c r="G65" s="116"/>
      <c r="H65" s="163"/>
      <c r="I65" s="151"/>
      <c r="J65" s="127"/>
      <c r="K65" s="162"/>
      <c r="L65" s="162"/>
      <c r="M65" s="162"/>
      <c r="N65" s="164"/>
      <c r="O65" s="165"/>
      <c r="P65" s="165"/>
      <c r="Q65" s="165"/>
      <c r="R65" s="166"/>
      <c r="S65" s="83"/>
      <c r="T65" s="155"/>
      <c r="U65" s="76"/>
      <c r="V65" s="76"/>
      <c r="W65" s="76"/>
      <c r="X65" s="76"/>
      <c r="Y65" s="76"/>
      <c r="Z65" s="76"/>
      <c r="AA65" s="76"/>
      <c r="AB65" s="76"/>
      <c r="AC65" s="76"/>
      <c r="AD65" s="76"/>
      <c r="AE65" s="76"/>
      <c r="AF65" s="76"/>
      <c r="AG65" s="76"/>
      <c r="AH65" s="76"/>
      <c r="AI65" s="76"/>
      <c r="AJ65" s="76"/>
    </row>
    <row r="66" spans="1:36" ht="19.5" customHeight="1" x14ac:dyDescent="0.3">
      <c r="A66" s="76"/>
      <c r="B66" s="162"/>
      <c r="C66" s="162"/>
      <c r="D66" s="162"/>
      <c r="E66" s="163"/>
      <c r="F66" s="163"/>
      <c r="G66" s="163"/>
      <c r="H66" s="163"/>
      <c r="I66" s="151"/>
      <c r="J66" s="127"/>
      <c r="K66" s="162"/>
      <c r="L66" s="162"/>
      <c r="M66" s="162"/>
      <c r="N66" s="164"/>
      <c r="O66" s="165"/>
      <c r="P66" s="165"/>
      <c r="Q66" s="165"/>
      <c r="R66" s="166"/>
      <c r="S66" s="83"/>
      <c r="T66" s="155"/>
      <c r="U66" s="76"/>
      <c r="V66" s="76"/>
      <c r="W66" s="76"/>
      <c r="X66" s="76"/>
      <c r="Y66" s="76"/>
      <c r="Z66" s="76"/>
      <c r="AA66" s="76"/>
      <c r="AB66" s="76"/>
      <c r="AC66" s="76"/>
      <c r="AD66" s="76"/>
      <c r="AE66" s="76"/>
      <c r="AF66" s="76"/>
      <c r="AG66" s="76"/>
      <c r="AH66" s="76"/>
      <c r="AI66" s="76"/>
      <c r="AJ66" s="76"/>
    </row>
    <row r="67" spans="1:36" s="148" customFormat="1" ht="19.5" customHeight="1" x14ac:dyDescent="0.3">
      <c r="A67" s="138"/>
      <c r="B67" s="139"/>
      <c r="C67" s="139"/>
      <c r="D67" s="143"/>
      <c r="E67" s="158"/>
      <c r="F67" s="158"/>
      <c r="G67" s="158"/>
      <c r="H67" s="158"/>
      <c r="I67" s="142"/>
      <c r="J67" s="143"/>
      <c r="K67" s="140"/>
      <c r="L67" s="140"/>
      <c r="M67" s="140"/>
      <c r="N67" s="159"/>
      <c r="O67" s="145"/>
      <c r="P67" s="145"/>
      <c r="Q67" s="145"/>
      <c r="R67" s="146"/>
      <c r="S67" s="147"/>
      <c r="T67" s="155"/>
      <c r="U67" s="138"/>
      <c r="V67" s="138"/>
      <c r="W67" s="138"/>
      <c r="X67" s="138"/>
      <c r="Y67" s="138"/>
      <c r="Z67" s="138"/>
      <c r="AA67" s="138"/>
      <c r="AB67" s="138"/>
      <c r="AC67" s="138"/>
      <c r="AD67" s="138"/>
      <c r="AE67" s="138"/>
      <c r="AF67" s="138"/>
      <c r="AG67" s="138"/>
      <c r="AH67" s="138"/>
      <c r="AI67" s="138"/>
      <c r="AJ67" s="138"/>
    </row>
    <row r="68" spans="1:36" ht="19.5" customHeight="1" x14ac:dyDescent="0.3">
      <c r="A68" s="76"/>
      <c r="B68" s="149"/>
      <c r="C68" s="150"/>
      <c r="D68" s="162"/>
      <c r="E68" s="150"/>
      <c r="F68" s="116"/>
      <c r="G68" s="116"/>
      <c r="H68" s="163"/>
      <c r="I68" s="151"/>
      <c r="J68" s="127"/>
      <c r="K68" s="162"/>
      <c r="L68" s="162"/>
      <c r="M68" s="162"/>
      <c r="N68" s="164"/>
      <c r="O68" s="165"/>
      <c r="P68" s="165"/>
      <c r="Q68" s="165"/>
      <c r="R68" s="166"/>
      <c r="S68" s="83"/>
      <c r="T68" s="155"/>
      <c r="U68" s="76"/>
      <c r="V68" s="76"/>
      <c r="W68" s="76"/>
      <c r="X68" s="76"/>
      <c r="Y68" s="76"/>
      <c r="Z68" s="76"/>
      <c r="AA68" s="76"/>
      <c r="AB68" s="76"/>
      <c r="AC68" s="76"/>
      <c r="AD68" s="76"/>
      <c r="AE68" s="76"/>
      <c r="AF68" s="76"/>
      <c r="AG68" s="76"/>
      <c r="AH68" s="76"/>
      <c r="AI68" s="76"/>
      <c r="AJ68" s="76"/>
    </row>
    <row r="69" spans="1:36" ht="19.5" customHeight="1" x14ac:dyDescent="0.3">
      <c r="A69" s="76"/>
      <c r="B69" s="149"/>
      <c r="C69" s="150"/>
      <c r="D69" s="162"/>
      <c r="E69" s="150"/>
      <c r="F69" s="116"/>
      <c r="G69" s="116"/>
      <c r="H69" s="163"/>
      <c r="I69" s="151"/>
      <c r="J69" s="127"/>
      <c r="K69" s="162"/>
      <c r="L69" s="162"/>
      <c r="M69" s="162"/>
      <c r="N69" s="164"/>
      <c r="O69" s="165"/>
      <c r="P69" s="165"/>
      <c r="Q69" s="165"/>
      <c r="R69" s="166"/>
      <c r="S69" s="83"/>
      <c r="T69" s="155"/>
      <c r="U69" s="76"/>
      <c r="V69" s="76"/>
      <c r="W69" s="76"/>
      <c r="X69" s="76"/>
      <c r="Y69" s="76"/>
      <c r="Z69" s="76"/>
      <c r="AA69" s="76"/>
      <c r="AB69" s="76"/>
      <c r="AC69" s="76"/>
      <c r="AD69" s="76"/>
      <c r="AE69" s="76"/>
      <c r="AF69" s="76"/>
      <c r="AG69" s="76"/>
      <c r="AH69" s="76"/>
      <c r="AI69" s="76"/>
      <c r="AJ69" s="76"/>
    </row>
    <row r="70" spans="1:36" ht="19.5" customHeight="1" x14ac:dyDescent="0.3">
      <c r="A70" s="76"/>
      <c r="B70" s="162"/>
      <c r="C70" s="162"/>
      <c r="D70" s="162"/>
      <c r="E70" s="163"/>
      <c r="F70" s="163"/>
      <c r="G70" s="163"/>
      <c r="H70" s="163"/>
      <c r="I70" s="151"/>
      <c r="J70" s="127"/>
      <c r="K70" s="162"/>
      <c r="L70" s="162"/>
      <c r="M70" s="162"/>
      <c r="N70" s="164"/>
      <c r="O70" s="165"/>
      <c r="P70" s="165"/>
      <c r="Q70" s="165"/>
      <c r="R70" s="166"/>
      <c r="S70" s="83"/>
      <c r="T70" s="155"/>
      <c r="U70" s="76"/>
      <c r="V70" s="76"/>
      <c r="W70" s="76"/>
      <c r="X70" s="76"/>
      <c r="Y70" s="76"/>
      <c r="Z70" s="76"/>
      <c r="AA70" s="76"/>
      <c r="AB70" s="76"/>
      <c r="AC70" s="76"/>
      <c r="AD70" s="76"/>
      <c r="AE70" s="76"/>
      <c r="AF70" s="76"/>
      <c r="AG70" s="76"/>
      <c r="AH70" s="76"/>
      <c r="AI70" s="76"/>
      <c r="AJ70" s="76"/>
    </row>
    <row r="71" spans="1:36" s="148" customFormat="1" ht="19.5" customHeight="1" x14ac:dyDescent="0.3">
      <c r="A71" s="138"/>
      <c r="B71" s="139"/>
      <c r="C71" s="139"/>
      <c r="D71" s="143"/>
      <c r="E71" s="158"/>
      <c r="F71" s="158"/>
      <c r="G71" s="158"/>
      <c r="H71" s="158"/>
      <c r="I71" s="142"/>
      <c r="J71" s="143"/>
      <c r="K71" s="140"/>
      <c r="L71" s="140"/>
      <c r="M71" s="140"/>
      <c r="N71" s="159"/>
      <c r="O71" s="145"/>
      <c r="P71" s="145"/>
      <c r="Q71" s="145"/>
      <c r="R71" s="146"/>
      <c r="S71" s="147"/>
      <c r="T71" s="155"/>
      <c r="U71" s="138"/>
      <c r="V71" s="138"/>
      <c r="W71" s="138"/>
      <c r="X71" s="138"/>
      <c r="Y71" s="138"/>
      <c r="Z71" s="138"/>
      <c r="AA71" s="138"/>
      <c r="AB71" s="138"/>
      <c r="AC71" s="138"/>
      <c r="AD71" s="138"/>
      <c r="AE71" s="138"/>
      <c r="AF71" s="138"/>
      <c r="AG71" s="138"/>
      <c r="AH71" s="138"/>
      <c r="AI71" s="138"/>
      <c r="AJ71" s="138"/>
    </row>
    <row r="72" spans="1:36" ht="19.5" customHeight="1" x14ac:dyDescent="0.3">
      <c r="A72" s="76"/>
      <c r="B72" s="149"/>
      <c r="C72" s="150"/>
      <c r="D72" s="150"/>
      <c r="E72" s="150"/>
      <c r="F72" s="116"/>
      <c r="G72" s="116"/>
      <c r="H72" s="163"/>
      <c r="I72" s="151"/>
      <c r="J72" s="127"/>
      <c r="K72" s="162"/>
      <c r="L72" s="162"/>
      <c r="M72" s="162"/>
      <c r="N72" s="164"/>
      <c r="O72" s="165"/>
      <c r="P72" s="165"/>
      <c r="Q72" s="165"/>
      <c r="R72" s="166"/>
      <c r="S72" s="83"/>
      <c r="T72" s="155"/>
      <c r="U72" s="76"/>
      <c r="V72" s="76"/>
      <c r="W72" s="76"/>
      <c r="X72" s="76"/>
      <c r="Y72" s="76"/>
      <c r="Z72" s="76"/>
      <c r="AA72" s="76"/>
      <c r="AB72" s="76"/>
      <c r="AC72" s="76"/>
      <c r="AD72" s="76"/>
      <c r="AE72" s="76"/>
      <c r="AF72" s="76"/>
      <c r="AG72" s="76"/>
      <c r="AH72" s="76"/>
      <c r="AI72" s="76"/>
      <c r="AJ72" s="76"/>
    </row>
    <row r="73" spans="1:36" ht="19.5" customHeight="1" x14ac:dyDescent="0.3">
      <c r="A73" s="76"/>
      <c r="B73" s="149"/>
      <c r="C73" s="150"/>
      <c r="D73" s="150"/>
      <c r="E73" s="150"/>
      <c r="F73" s="116"/>
      <c r="G73" s="116"/>
      <c r="H73" s="163"/>
      <c r="I73" s="151"/>
      <c r="J73" s="127"/>
      <c r="K73" s="162"/>
      <c r="L73" s="162"/>
      <c r="M73" s="162"/>
      <c r="N73" s="164"/>
      <c r="O73" s="165"/>
      <c r="P73" s="165"/>
      <c r="Q73" s="165"/>
      <c r="R73" s="166"/>
      <c r="S73" s="83"/>
      <c r="T73" s="155"/>
      <c r="U73" s="76"/>
      <c r="V73" s="76"/>
      <c r="W73" s="76"/>
      <c r="X73" s="76"/>
      <c r="Y73" s="76"/>
      <c r="Z73" s="76"/>
      <c r="AA73" s="76"/>
      <c r="AB73" s="76"/>
      <c r="AC73" s="76"/>
      <c r="AD73" s="76"/>
      <c r="AE73" s="76"/>
      <c r="AF73" s="76"/>
      <c r="AG73" s="76"/>
      <c r="AH73" s="76"/>
      <c r="AI73" s="76"/>
      <c r="AJ73" s="76"/>
    </row>
    <row r="74" spans="1:36" ht="19.5" customHeight="1" x14ac:dyDescent="0.3">
      <c r="A74" s="76"/>
      <c r="B74" s="149"/>
      <c r="C74" s="150"/>
      <c r="D74" s="150"/>
      <c r="E74" s="150"/>
      <c r="F74" s="116"/>
      <c r="G74" s="116"/>
      <c r="H74" s="163"/>
      <c r="I74" s="151"/>
      <c r="J74" s="127"/>
      <c r="K74" s="162"/>
      <c r="L74" s="162"/>
      <c r="M74" s="162"/>
      <c r="N74" s="164"/>
      <c r="O74" s="165"/>
      <c r="P74" s="165"/>
      <c r="Q74" s="165"/>
      <c r="R74" s="166"/>
      <c r="S74" s="83"/>
      <c r="T74" s="155"/>
      <c r="U74" s="76"/>
      <c r="V74" s="76"/>
      <c r="W74" s="76"/>
      <c r="X74" s="76"/>
      <c r="Y74" s="76"/>
      <c r="Z74" s="76"/>
      <c r="AA74" s="76"/>
      <c r="AB74" s="76"/>
      <c r="AC74" s="76"/>
      <c r="AD74" s="76"/>
      <c r="AE74" s="76"/>
      <c r="AF74" s="76"/>
      <c r="AG74" s="76"/>
      <c r="AH74" s="76"/>
      <c r="AI74" s="76"/>
      <c r="AJ74" s="76"/>
    </row>
    <row r="75" spans="1:36" ht="19.5" customHeight="1" x14ac:dyDescent="0.3">
      <c r="A75" s="76"/>
      <c r="B75" s="162"/>
      <c r="C75" s="162"/>
      <c r="D75" s="162"/>
      <c r="E75" s="163"/>
      <c r="F75" s="163"/>
      <c r="G75" s="163"/>
      <c r="H75" s="163"/>
      <c r="I75" s="151"/>
      <c r="J75" s="127"/>
      <c r="K75" s="162"/>
      <c r="L75" s="162"/>
      <c r="M75" s="162"/>
      <c r="N75" s="164"/>
      <c r="O75" s="165"/>
      <c r="P75" s="165"/>
      <c r="Q75" s="165"/>
      <c r="R75" s="166"/>
      <c r="S75" s="83"/>
      <c r="T75" s="155"/>
      <c r="U75" s="76"/>
      <c r="V75" s="76"/>
      <c r="W75" s="76"/>
      <c r="X75" s="76"/>
      <c r="Y75" s="76"/>
      <c r="Z75" s="76"/>
      <c r="AA75" s="76"/>
      <c r="AB75" s="76"/>
      <c r="AC75" s="76"/>
      <c r="AD75" s="76"/>
      <c r="AE75" s="76"/>
      <c r="AF75" s="76"/>
      <c r="AG75" s="76"/>
      <c r="AH75" s="76"/>
      <c r="AI75" s="76"/>
      <c r="AJ75" s="76"/>
    </row>
    <row r="76" spans="1:36" s="148" customFormat="1" ht="19.5" customHeight="1" x14ac:dyDescent="0.3">
      <c r="A76" s="138"/>
      <c r="B76" s="139"/>
      <c r="C76" s="139"/>
      <c r="D76" s="143"/>
      <c r="E76" s="158"/>
      <c r="F76" s="158"/>
      <c r="G76" s="158"/>
      <c r="H76" s="158"/>
      <c r="I76" s="142"/>
      <c r="J76" s="143"/>
      <c r="K76" s="140"/>
      <c r="L76" s="140"/>
      <c r="M76" s="140"/>
      <c r="N76" s="159"/>
      <c r="O76" s="145"/>
      <c r="P76" s="145"/>
      <c r="Q76" s="145"/>
      <c r="R76" s="146"/>
      <c r="S76" s="147"/>
      <c r="T76" s="155"/>
      <c r="U76" s="138"/>
      <c r="V76" s="138"/>
      <c r="W76" s="138"/>
      <c r="X76" s="138"/>
      <c r="Y76" s="138"/>
      <c r="Z76" s="138"/>
      <c r="AA76" s="138"/>
      <c r="AB76" s="138"/>
      <c r="AC76" s="138"/>
      <c r="AD76" s="138"/>
      <c r="AE76" s="138"/>
      <c r="AF76" s="138"/>
      <c r="AG76" s="138"/>
      <c r="AH76" s="138"/>
      <c r="AI76" s="138"/>
      <c r="AJ76" s="138"/>
    </row>
    <row r="77" spans="1:36" ht="19.5" customHeight="1" x14ac:dyDescent="0.3">
      <c r="A77" s="76"/>
      <c r="B77" s="149"/>
      <c r="C77" s="150"/>
      <c r="D77" s="150"/>
      <c r="E77" s="150"/>
      <c r="F77" s="116"/>
      <c r="G77" s="116"/>
      <c r="H77" s="163"/>
      <c r="I77" s="151"/>
      <c r="J77" s="127"/>
      <c r="K77" s="162"/>
      <c r="L77" s="162"/>
      <c r="M77" s="162"/>
      <c r="N77" s="164"/>
      <c r="O77" s="165"/>
      <c r="P77" s="165"/>
      <c r="Q77" s="165"/>
      <c r="R77" s="166"/>
      <c r="S77" s="83"/>
      <c r="T77" s="155"/>
      <c r="U77" s="76"/>
      <c r="V77" s="76"/>
      <c r="W77" s="76"/>
      <c r="X77" s="76"/>
      <c r="Y77" s="76"/>
      <c r="Z77" s="76"/>
      <c r="AA77" s="76"/>
      <c r="AB77" s="76"/>
      <c r="AC77" s="76"/>
      <c r="AD77" s="76"/>
      <c r="AE77" s="76"/>
      <c r="AF77" s="76"/>
      <c r="AG77" s="76"/>
      <c r="AH77" s="76"/>
      <c r="AI77" s="76"/>
      <c r="AJ77" s="76"/>
    </row>
    <row r="78" spans="1:36" ht="19.5" customHeight="1" x14ac:dyDescent="0.3">
      <c r="A78" s="76"/>
      <c r="B78" s="149"/>
      <c r="C78" s="150"/>
      <c r="D78" s="150"/>
      <c r="E78" s="150"/>
      <c r="F78" s="116"/>
      <c r="G78" s="116"/>
      <c r="H78" s="163"/>
      <c r="I78" s="151"/>
      <c r="J78" s="127"/>
      <c r="K78" s="162"/>
      <c r="L78" s="162"/>
      <c r="M78" s="162"/>
      <c r="N78" s="164"/>
      <c r="O78" s="165"/>
      <c r="P78" s="165"/>
      <c r="Q78" s="165"/>
      <c r="R78" s="166"/>
      <c r="S78" s="83"/>
      <c r="T78" s="155"/>
      <c r="U78" s="76"/>
      <c r="V78" s="76"/>
      <c r="W78" s="76"/>
      <c r="X78" s="76"/>
      <c r="Y78" s="76"/>
      <c r="Z78" s="76"/>
      <c r="AA78" s="76"/>
      <c r="AB78" s="76"/>
      <c r="AC78" s="76"/>
      <c r="AD78" s="76"/>
      <c r="AE78" s="76"/>
      <c r="AF78" s="76"/>
      <c r="AG78" s="76"/>
      <c r="AH78" s="76"/>
      <c r="AI78" s="76"/>
      <c r="AJ78" s="76"/>
    </row>
    <row r="79" spans="1:36" ht="19.5" customHeight="1" x14ac:dyDescent="0.3">
      <c r="A79" s="76"/>
      <c r="B79" s="149"/>
      <c r="C79" s="150"/>
      <c r="D79" s="150"/>
      <c r="E79" s="150"/>
      <c r="F79" s="116"/>
      <c r="G79" s="116"/>
      <c r="H79" s="163"/>
      <c r="I79" s="151"/>
      <c r="J79" s="127"/>
      <c r="K79" s="162"/>
      <c r="L79" s="162"/>
      <c r="M79" s="162"/>
      <c r="N79" s="164"/>
      <c r="O79" s="165"/>
      <c r="P79" s="165"/>
      <c r="Q79" s="165"/>
      <c r="R79" s="166"/>
      <c r="S79" s="83"/>
      <c r="T79" s="155"/>
      <c r="U79" s="76"/>
      <c r="V79" s="76"/>
      <c r="W79" s="76"/>
      <c r="X79" s="76"/>
      <c r="Y79" s="76"/>
      <c r="Z79" s="76"/>
      <c r="AA79" s="76"/>
      <c r="AB79" s="76"/>
      <c r="AC79" s="76"/>
      <c r="AD79" s="76"/>
      <c r="AE79" s="76"/>
      <c r="AF79" s="76"/>
      <c r="AG79" s="76"/>
      <c r="AH79" s="76"/>
      <c r="AI79" s="76"/>
      <c r="AJ79" s="76"/>
    </row>
    <row r="80" spans="1:36" ht="19.5" customHeight="1" x14ac:dyDescent="0.3">
      <c r="A80" s="76"/>
      <c r="B80" s="162"/>
      <c r="C80" s="162"/>
      <c r="D80" s="162"/>
      <c r="E80" s="163"/>
      <c r="F80" s="163"/>
      <c r="G80" s="163"/>
      <c r="H80" s="163"/>
      <c r="I80" s="151"/>
      <c r="J80" s="127"/>
      <c r="K80" s="162"/>
      <c r="L80" s="162"/>
      <c r="M80" s="162"/>
      <c r="N80" s="164"/>
      <c r="O80" s="165"/>
      <c r="P80" s="165"/>
      <c r="Q80" s="165"/>
      <c r="R80" s="166"/>
      <c r="S80" s="83"/>
      <c r="T80" s="155"/>
      <c r="U80" s="76"/>
      <c r="V80" s="76"/>
      <c r="W80" s="76"/>
      <c r="X80" s="76"/>
      <c r="Y80" s="76"/>
      <c r="Z80" s="76"/>
      <c r="AA80" s="76"/>
      <c r="AB80" s="76"/>
      <c r="AC80" s="76"/>
      <c r="AD80" s="76"/>
      <c r="AE80" s="76"/>
      <c r="AF80" s="76"/>
      <c r="AG80" s="76"/>
      <c r="AH80" s="76"/>
      <c r="AI80" s="76"/>
      <c r="AJ80" s="76"/>
    </row>
    <row r="81" spans="1:36" ht="19.5" customHeight="1" x14ac:dyDescent="0.3">
      <c r="A81" s="76"/>
      <c r="B81" s="162"/>
      <c r="C81" s="162"/>
      <c r="D81" s="162"/>
      <c r="E81" s="163"/>
      <c r="F81" s="163"/>
      <c r="G81" s="163"/>
      <c r="H81" s="163"/>
      <c r="I81" s="151"/>
      <c r="J81" s="127"/>
      <c r="K81" s="162"/>
      <c r="L81" s="162"/>
      <c r="M81" s="162"/>
      <c r="N81" s="164"/>
      <c r="O81" s="165"/>
      <c r="P81" s="165"/>
      <c r="Q81" s="165"/>
      <c r="R81" s="166"/>
      <c r="S81" s="83"/>
      <c r="T81" s="155"/>
      <c r="U81" s="76"/>
      <c r="V81" s="76"/>
      <c r="W81" s="76"/>
      <c r="X81" s="76"/>
      <c r="Y81" s="76"/>
      <c r="Z81" s="76"/>
      <c r="AA81" s="76"/>
      <c r="AB81" s="76"/>
      <c r="AC81" s="76"/>
      <c r="AD81" s="76"/>
      <c r="AE81" s="76"/>
      <c r="AF81" s="76"/>
      <c r="AG81" s="76"/>
      <c r="AH81" s="76"/>
      <c r="AI81" s="76"/>
      <c r="AJ81" s="76"/>
    </row>
    <row r="82" spans="1:36" s="148" customFormat="1" ht="19.5" customHeight="1" x14ac:dyDescent="0.3">
      <c r="A82" s="138"/>
      <c r="B82" s="139"/>
      <c r="C82" s="139"/>
      <c r="D82" s="143"/>
      <c r="E82" s="158"/>
      <c r="F82" s="158"/>
      <c r="G82" s="158"/>
      <c r="H82" s="158"/>
      <c r="I82" s="142"/>
      <c r="J82" s="143"/>
      <c r="K82" s="140"/>
      <c r="L82" s="140"/>
      <c r="M82" s="140"/>
      <c r="N82" s="159"/>
      <c r="O82" s="145"/>
      <c r="P82" s="145"/>
      <c r="Q82" s="145"/>
      <c r="R82" s="146"/>
      <c r="S82" s="147"/>
      <c r="T82" s="155"/>
      <c r="U82" s="138"/>
      <c r="V82" s="138"/>
      <c r="W82" s="138"/>
      <c r="X82" s="138"/>
      <c r="Y82" s="138"/>
      <c r="Z82" s="138"/>
      <c r="AA82" s="138"/>
      <c r="AB82" s="138"/>
      <c r="AC82" s="138"/>
      <c r="AD82" s="138"/>
      <c r="AE82" s="138"/>
      <c r="AF82" s="138"/>
      <c r="AG82" s="138"/>
      <c r="AH82" s="138"/>
      <c r="AI82" s="138"/>
      <c r="AJ82" s="138"/>
    </row>
    <row r="83" spans="1:36" ht="19.5" customHeight="1" x14ac:dyDescent="0.3">
      <c r="A83" s="76"/>
      <c r="B83" s="149"/>
      <c r="C83" s="150"/>
      <c r="D83" s="162"/>
      <c r="E83" s="150"/>
      <c r="F83" s="116"/>
      <c r="G83" s="116"/>
      <c r="H83" s="163"/>
      <c r="I83" s="151"/>
      <c r="J83" s="127"/>
      <c r="K83" s="162"/>
      <c r="L83" s="162"/>
      <c r="M83" s="162"/>
      <c r="N83" s="164"/>
      <c r="O83" s="165"/>
      <c r="P83" s="165"/>
      <c r="Q83" s="165"/>
      <c r="R83" s="166"/>
      <c r="S83" s="83"/>
      <c r="T83" s="155"/>
      <c r="U83" s="76"/>
      <c r="V83" s="76"/>
      <c r="W83" s="76"/>
      <c r="X83" s="76"/>
      <c r="Y83" s="76"/>
      <c r="Z83" s="76"/>
      <c r="AA83" s="76"/>
      <c r="AB83" s="76"/>
      <c r="AC83" s="76"/>
      <c r="AD83" s="76"/>
      <c r="AE83" s="76"/>
      <c r="AF83" s="76"/>
      <c r="AG83" s="76"/>
      <c r="AH83" s="76"/>
      <c r="AI83" s="76"/>
      <c r="AJ83" s="76"/>
    </row>
    <row r="84" spans="1:36" ht="19.5" customHeight="1" x14ac:dyDescent="0.3">
      <c r="A84" s="76"/>
      <c r="B84" s="149"/>
      <c r="C84" s="150"/>
      <c r="D84" s="162"/>
      <c r="E84" s="150"/>
      <c r="F84" s="116"/>
      <c r="G84" s="116"/>
      <c r="H84" s="163"/>
      <c r="I84" s="151"/>
      <c r="J84" s="127"/>
      <c r="K84" s="162"/>
      <c r="L84" s="162"/>
      <c r="M84" s="162"/>
      <c r="N84" s="164"/>
      <c r="O84" s="165"/>
      <c r="P84" s="165"/>
      <c r="Q84" s="165"/>
      <c r="R84" s="166"/>
      <c r="S84" s="83"/>
      <c r="T84" s="155"/>
      <c r="U84" s="76"/>
      <c r="V84" s="76"/>
      <c r="W84" s="76"/>
      <c r="X84" s="76"/>
      <c r="Y84" s="76"/>
      <c r="Z84" s="76"/>
      <c r="AA84" s="76"/>
      <c r="AB84" s="76"/>
      <c r="AC84" s="76"/>
      <c r="AD84" s="76"/>
      <c r="AE84" s="76"/>
      <c r="AF84" s="76"/>
      <c r="AG84" s="76"/>
      <c r="AH84" s="76"/>
      <c r="AI84" s="76"/>
      <c r="AJ84" s="76"/>
    </row>
    <row r="85" spans="1:36" ht="19.5" customHeight="1" x14ac:dyDescent="0.3">
      <c r="A85" s="76"/>
      <c r="B85" s="149"/>
      <c r="C85" s="150"/>
      <c r="D85" s="162"/>
      <c r="E85" s="150"/>
      <c r="F85" s="116"/>
      <c r="G85" s="116"/>
      <c r="H85" s="163"/>
      <c r="I85" s="151"/>
      <c r="J85" s="127"/>
      <c r="K85" s="162"/>
      <c r="L85" s="162"/>
      <c r="M85" s="162"/>
      <c r="N85" s="164"/>
      <c r="O85" s="165"/>
      <c r="P85" s="165"/>
      <c r="Q85" s="165"/>
      <c r="R85" s="166"/>
      <c r="S85" s="83"/>
      <c r="T85" s="155"/>
      <c r="U85" s="76"/>
      <c r="V85" s="76"/>
      <c r="W85" s="76"/>
      <c r="X85" s="76"/>
      <c r="Y85" s="76"/>
      <c r="Z85" s="76"/>
      <c r="AA85" s="76"/>
      <c r="AB85" s="76"/>
      <c r="AC85" s="76"/>
      <c r="AD85" s="76"/>
      <c r="AE85" s="76"/>
      <c r="AF85" s="76"/>
      <c r="AG85" s="76"/>
      <c r="AH85" s="76"/>
      <c r="AI85" s="76"/>
      <c r="AJ85" s="76"/>
    </row>
    <row r="86" spans="1:36" ht="19.5" customHeight="1" x14ac:dyDescent="0.3">
      <c r="A86" s="76"/>
      <c r="B86" s="149"/>
      <c r="C86" s="150"/>
      <c r="D86" s="162"/>
      <c r="E86" s="150"/>
      <c r="F86" s="116"/>
      <c r="G86" s="116"/>
      <c r="H86" s="163"/>
      <c r="I86" s="151"/>
      <c r="J86" s="127"/>
      <c r="K86" s="162"/>
      <c r="L86" s="162"/>
      <c r="M86" s="162"/>
      <c r="N86" s="164"/>
      <c r="O86" s="165"/>
      <c r="P86" s="165"/>
      <c r="Q86" s="165"/>
      <c r="R86" s="166"/>
      <c r="S86" s="83"/>
      <c r="T86" s="155"/>
      <c r="U86" s="76"/>
      <c r="V86" s="76"/>
      <c r="W86" s="76"/>
      <c r="X86" s="76"/>
      <c r="Y86" s="76"/>
      <c r="Z86" s="76"/>
      <c r="AA86" s="76"/>
      <c r="AB86" s="76"/>
      <c r="AC86" s="76"/>
      <c r="AD86" s="76"/>
      <c r="AE86" s="76"/>
      <c r="AF86" s="76"/>
      <c r="AG86" s="76"/>
      <c r="AH86" s="76"/>
      <c r="AI86" s="76"/>
      <c r="AJ86" s="76"/>
    </row>
    <row r="87" spans="1:36" ht="19.5" customHeight="1" x14ac:dyDescent="0.3">
      <c r="A87" s="76"/>
      <c r="B87" s="162"/>
      <c r="C87" s="162"/>
      <c r="D87" s="162"/>
      <c r="E87" s="163"/>
      <c r="F87" s="163"/>
      <c r="G87" s="163"/>
      <c r="H87" s="163"/>
      <c r="I87" s="151"/>
      <c r="J87" s="127"/>
      <c r="K87" s="162"/>
      <c r="L87" s="162"/>
      <c r="M87" s="162"/>
      <c r="N87" s="164"/>
      <c r="O87" s="165"/>
      <c r="P87" s="165"/>
      <c r="Q87" s="165"/>
      <c r="R87" s="166"/>
      <c r="S87" s="83"/>
      <c r="T87" s="155"/>
      <c r="U87" s="76"/>
      <c r="V87" s="76"/>
      <c r="W87" s="76"/>
      <c r="X87" s="76"/>
      <c r="Y87" s="76"/>
      <c r="Z87" s="76"/>
      <c r="AA87" s="76"/>
      <c r="AB87" s="76"/>
      <c r="AC87" s="76"/>
      <c r="AD87" s="76"/>
      <c r="AE87" s="76"/>
      <c r="AF87" s="76"/>
      <c r="AG87" s="76"/>
      <c r="AH87" s="76"/>
      <c r="AI87" s="76"/>
      <c r="AJ87" s="76"/>
    </row>
    <row r="88" spans="1:36" s="148" customFormat="1" ht="19.5" customHeight="1" x14ac:dyDescent="0.3">
      <c r="A88" s="138"/>
      <c r="B88" s="139"/>
      <c r="C88" s="139"/>
      <c r="D88" s="143"/>
      <c r="E88" s="158"/>
      <c r="F88" s="158"/>
      <c r="G88" s="158"/>
      <c r="H88" s="158"/>
      <c r="I88" s="142"/>
      <c r="J88" s="143"/>
      <c r="K88" s="140"/>
      <c r="L88" s="140"/>
      <c r="M88" s="140"/>
      <c r="N88" s="159"/>
      <c r="O88" s="145"/>
      <c r="P88" s="145"/>
      <c r="Q88" s="145"/>
      <c r="R88" s="146"/>
      <c r="S88" s="147"/>
      <c r="T88" s="155"/>
      <c r="U88" s="138"/>
      <c r="V88" s="138"/>
      <c r="W88" s="138"/>
      <c r="X88" s="138"/>
      <c r="Y88" s="138"/>
      <c r="Z88" s="138"/>
      <c r="AA88" s="138"/>
      <c r="AB88" s="138"/>
      <c r="AC88" s="138"/>
      <c r="AD88" s="138"/>
      <c r="AE88" s="138"/>
      <c r="AF88" s="138"/>
      <c r="AG88" s="138"/>
      <c r="AH88" s="138"/>
      <c r="AI88" s="138"/>
      <c r="AJ88" s="138"/>
    </row>
    <row r="89" spans="1:36" ht="19.5" customHeight="1" x14ac:dyDescent="0.3">
      <c r="A89" s="76"/>
      <c r="B89" s="170"/>
      <c r="C89" s="170"/>
      <c r="D89" s="168"/>
      <c r="E89" s="171"/>
      <c r="F89" s="116"/>
      <c r="G89" s="116"/>
      <c r="H89" s="163"/>
      <c r="I89" s="151"/>
      <c r="J89" s="127"/>
      <c r="K89" s="162"/>
      <c r="L89" s="162"/>
      <c r="M89" s="162"/>
      <c r="N89" s="164"/>
      <c r="O89" s="165"/>
      <c r="P89" s="165"/>
      <c r="Q89" s="165"/>
      <c r="R89" s="166"/>
      <c r="S89" s="83"/>
      <c r="T89" s="155"/>
      <c r="U89" s="76"/>
      <c r="V89" s="76"/>
      <c r="W89" s="76"/>
      <c r="X89" s="76"/>
      <c r="Y89" s="76"/>
      <c r="Z89" s="76"/>
      <c r="AA89" s="76"/>
      <c r="AB89" s="76"/>
      <c r="AC89" s="76"/>
      <c r="AD89" s="76"/>
      <c r="AE89" s="76"/>
      <c r="AF89" s="76"/>
      <c r="AG89" s="76"/>
      <c r="AH89" s="76"/>
      <c r="AI89" s="76"/>
      <c r="AJ89" s="76"/>
    </row>
    <row r="90" spans="1:36" ht="19.5" customHeight="1" x14ac:dyDescent="0.3">
      <c r="A90" s="76"/>
      <c r="B90" s="170"/>
      <c r="C90" s="170"/>
      <c r="D90" s="162"/>
      <c r="E90" s="171"/>
      <c r="F90" s="116"/>
      <c r="G90" s="116"/>
      <c r="H90" s="163"/>
      <c r="I90" s="151"/>
      <c r="J90" s="127"/>
      <c r="K90" s="162"/>
      <c r="L90" s="162"/>
      <c r="M90" s="162"/>
      <c r="N90" s="164"/>
      <c r="O90" s="165"/>
      <c r="P90" s="165"/>
      <c r="Q90" s="165"/>
      <c r="R90" s="166"/>
      <c r="S90" s="83"/>
      <c r="T90" s="155"/>
      <c r="U90" s="76"/>
      <c r="V90" s="76"/>
      <c r="W90" s="76"/>
      <c r="X90" s="76"/>
      <c r="Y90" s="76"/>
      <c r="Z90" s="76"/>
      <c r="AA90" s="76"/>
      <c r="AB90" s="76"/>
      <c r="AC90" s="76"/>
      <c r="AD90" s="76"/>
      <c r="AE90" s="76"/>
      <c r="AF90" s="76"/>
      <c r="AG90" s="76"/>
      <c r="AH90" s="76"/>
      <c r="AI90" s="76"/>
      <c r="AJ90" s="76"/>
    </row>
    <row r="91" spans="1:36" ht="19.5" customHeight="1" x14ac:dyDescent="0.3">
      <c r="A91" s="76"/>
      <c r="B91" s="170"/>
      <c r="C91" s="170"/>
      <c r="D91" s="162"/>
      <c r="E91" s="171"/>
      <c r="F91" s="116"/>
      <c r="G91" s="116"/>
      <c r="H91" s="163"/>
      <c r="I91" s="151"/>
      <c r="J91" s="127"/>
      <c r="K91" s="162"/>
      <c r="L91" s="162"/>
      <c r="M91" s="162"/>
      <c r="N91" s="164"/>
      <c r="O91" s="165"/>
      <c r="P91" s="165"/>
      <c r="Q91" s="165"/>
      <c r="R91" s="166"/>
      <c r="S91" s="83"/>
      <c r="T91" s="155"/>
      <c r="U91" s="76"/>
      <c r="V91" s="76"/>
      <c r="W91" s="76"/>
      <c r="X91" s="76"/>
      <c r="Y91" s="76"/>
      <c r="Z91" s="76"/>
      <c r="AA91" s="76"/>
      <c r="AB91" s="76"/>
      <c r="AC91" s="76"/>
      <c r="AD91" s="76"/>
      <c r="AE91" s="76"/>
      <c r="AF91" s="76"/>
      <c r="AG91" s="76"/>
      <c r="AH91" s="76"/>
      <c r="AI91" s="76"/>
      <c r="AJ91" s="76"/>
    </row>
    <row r="92" spans="1:36" ht="19.5" customHeight="1" x14ac:dyDescent="0.3">
      <c r="A92" s="76"/>
      <c r="B92" s="170"/>
      <c r="C92" s="170"/>
      <c r="D92" s="162"/>
      <c r="E92" s="171"/>
      <c r="F92" s="116"/>
      <c r="G92" s="116"/>
      <c r="H92" s="163"/>
      <c r="I92" s="151"/>
      <c r="J92" s="127"/>
      <c r="K92" s="162"/>
      <c r="L92" s="162"/>
      <c r="M92" s="162"/>
      <c r="N92" s="164"/>
      <c r="O92" s="165"/>
      <c r="P92" s="165"/>
      <c r="Q92" s="165"/>
      <c r="R92" s="166"/>
      <c r="S92" s="83"/>
      <c r="T92" s="155"/>
      <c r="U92" s="76"/>
      <c r="V92" s="76"/>
      <c r="W92" s="76"/>
      <c r="X92" s="76"/>
      <c r="Y92" s="76"/>
      <c r="Z92" s="76"/>
      <c r="AA92" s="76"/>
      <c r="AB92" s="76"/>
      <c r="AC92" s="76"/>
      <c r="AD92" s="76"/>
      <c r="AE92" s="76"/>
      <c r="AF92" s="76"/>
      <c r="AG92" s="76"/>
      <c r="AH92" s="76"/>
      <c r="AI92" s="76"/>
      <c r="AJ92" s="76"/>
    </row>
    <row r="93" spans="1:36" ht="19.5" customHeight="1" x14ac:dyDescent="0.3">
      <c r="A93" s="76"/>
      <c r="B93" s="170"/>
      <c r="C93" s="172"/>
      <c r="D93" s="162"/>
      <c r="E93" s="171"/>
      <c r="F93" s="116"/>
      <c r="G93" s="116"/>
      <c r="H93" s="163"/>
      <c r="I93" s="151"/>
      <c r="J93" s="127"/>
      <c r="K93" s="162"/>
      <c r="L93" s="162"/>
      <c r="M93" s="162"/>
      <c r="N93" s="164"/>
      <c r="O93" s="165"/>
      <c r="P93" s="165"/>
      <c r="Q93" s="165"/>
      <c r="R93" s="166"/>
      <c r="S93" s="83"/>
      <c r="T93" s="155"/>
      <c r="U93" s="76"/>
      <c r="V93" s="76"/>
      <c r="W93" s="76"/>
      <c r="X93" s="76"/>
      <c r="Y93" s="76"/>
      <c r="Z93" s="76"/>
      <c r="AA93" s="76"/>
      <c r="AB93" s="76"/>
      <c r="AC93" s="76"/>
      <c r="AD93" s="76"/>
      <c r="AE93" s="76"/>
      <c r="AF93" s="76"/>
      <c r="AG93" s="76"/>
      <c r="AH93" s="76"/>
      <c r="AI93" s="76"/>
      <c r="AJ93" s="76"/>
    </row>
    <row r="94" spans="1:36" ht="19.5" customHeight="1" x14ac:dyDescent="0.3">
      <c r="A94" s="76"/>
      <c r="B94" s="162"/>
      <c r="C94" s="162"/>
      <c r="D94" s="162"/>
      <c r="E94" s="163"/>
      <c r="F94" s="116"/>
      <c r="G94" s="163"/>
      <c r="H94" s="163"/>
      <c r="I94" s="151"/>
      <c r="J94" s="127"/>
      <c r="K94" s="162"/>
      <c r="L94" s="162"/>
      <c r="M94" s="162"/>
      <c r="N94" s="164"/>
      <c r="O94" s="165"/>
      <c r="P94" s="165"/>
      <c r="Q94" s="165"/>
      <c r="R94" s="166"/>
      <c r="S94" s="83"/>
      <c r="T94" s="155"/>
      <c r="U94" s="76"/>
      <c r="V94" s="76"/>
      <c r="W94" s="76"/>
      <c r="X94" s="76"/>
      <c r="Y94" s="76"/>
      <c r="Z94" s="76"/>
      <c r="AA94" s="76"/>
      <c r="AB94" s="76"/>
      <c r="AC94" s="76"/>
      <c r="AD94" s="76"/>
      <c r="AE94" s="76"/>
      <c r="AF94" s="76"/>
      <c r="AG94" s="76"/>
      <c r="AH94" s="76"/>
      <c r="AI94" s="76"/>
      <c r="AJ94" s="76"/>
    </row>
    <row r="95" spans="1:36" s="148" customFormat="1" ht="19.5" customHeight="1" x14ac:dyDescent="0.3">
      <c r="A95" s="138"/>
      <c r="B95" s="139"/>
      <c r="C95" s="139"/>
      <c r="D95" s="143"/>
      <c r="E95" s="158"/>
      <c r="F95" s="158"/>
      <c r="G95" s="158"/>
      <c r="H95" s="158"/>
      <c r="I95" s="142"/>
      <c r="J95" s="143"/>
      <c r="K95" s="140"/>
      <c r="L95" s="140"/>
      <c r="M95" s="140"/>
      <c r="N95" s="159"/>
      <c r="O95" s="145"/>
      <c r="P95" s="145"/>
      <c r="Q95" s="145"/>
      <c r="R95" s="146"/>
      <c r="S95" s="147"/>
      <c r="T95" s="155"/>
      <c r="U95" s="138"/>
      <c r="V95" s="138"/>
      <c r="W95" s="138"/>
      <c r="X95" s="138"/>
      <c r="Y95" s="138"/>
      <c r="Z95" s="138"/>
      <c r="AA95" s="138"/>
      <c r="AB95" s="138"/>
      <c r="AC95" s="138"/>
      <c r="AD95" s="138"/>
      <c r="AE95" s="138"/>
      <c r="AF95" s="138"/>
      <c r="AG95" s="138"/>
      <c r="AH95" s="138"/>
      <c r="AI95" s="138"/>
      <c r="AJ95" s="138"/>
    </row>
    <row r="96" spans="1:36" ht="19.5" customHeight="1" x14ac:dyDescent="0.3">
      <c r="A96" s="76"/>
      <c r="B96" s="149"/>
      <c r="C96" s="150"/>
      <c r="D96" s="162"/>
      <c r="E96" s="150"/>
      <c r="F96" s="116"/>
      <c r="G96" s="116"/>
      <c r="H96" s="163"/>
      <c r="I96" s="151"/>
      <c r="J96" s="127"/>
      <c r="K96" s="162"/>
      <c r="L96" s="162"/>
      <c r="M96" s="162"/>
      <c r="N96" s="164"/>
      <c r="O96" s="165"/>
      <c r="P96" s="165"/>
      <c r="Q96" s="165"/>
      <c r="R96" s="166"/>
      <c r="S96" s="83"/>
      <c r="T96" s="155"/>
      <c r="U96" s="76"/>
      <c r="V96" s="76"/>
      <c r="W96" s="76"/>
      <c r="X96" s="76"/>
      <c r="Y96" s="76"/>
      <c r="Z96" s="76"/>
      <c r="AA96" s="76"/>
      <c r="AB96" s="76"/>
      <c r="AC96" s="76"/>
      <c r="AD96" s="76"/>
      <c r="AE96" s="76"/>
      <c r="AF96" s="76"/>
      <c r="AG96" s="76"/>
      <c r="AH96" s="76"/>
      <c r="AI96" s="76"/>
      <c r="AJ96" s="76"/>
    </row>
    <row r="97" spans="1:36" ht="19.5" customHeight="1" x14ac:dyDescent="0.3">
      <c r="A97" s="76"/>
      <c r="B97" s="149"/>
      <c r="C97" s="150"/>
      <c r="D97" s="162"/>
      <c r="E97" s="150"/>
      <c r="F97" s="116"/>
      <c r="G97" s="116"/>
      <c r="H97" s="163"/>
      <c r="I97" s="151"/>
      <c r="J97" s="127"/>
      <c r="K97" s="162"/>
      <c r="L97" s="162"/>
      <c r="M97" s="162"/>
      <c r="N97" s="164"/>
      <c r="O97" s="165"/>
      <c r="P97" s="165"/>
      <c r="Q97" s="165"/>
      <c r="R97" s="166"/>
      <c r="S97" s="83"/>
      <c r="T97" s="155"/>
      <c r="U97" s="76"/>
      <c r="V97" s="76"/>
      <c r="W97" s="76"/>
      <c r="X97" s="76"/>
      <c r="Y97" s="76"/>
      <c r="Z97" s="76"/>
      <c r="AA97" s="76"/>
      <c r="AB97" s="76"/>
      <c r="AC97" s="76"/>
      <c r="AD97" s="76"/>
      <c r="AE97" s="76"/>
      <c r="AF97" s="76"/>
      <c r="AG97" s="76"/>
      <c r="AH97" s="76"/>
      <c r="AI97" s="76"/>
      <c r="AJ97" s="76"/>
    </row>
    <row r="98" spans="1:36" ht="19.5" customHeight="1" x14ac:dyDescent="0.3">
      <c r="A98" s="76"/>
      <c r="B98" s="149"/>
      <c r="C98" s="150"/>
      <c r="D98" s="162"/>
      <c r="E98" s="150"/>
      <c r="F98" s="116"/>
      <c r="G98" s="116"/>
      <c r="H98" s="163"/>
      <c r="I98" s="151"/>
      <c r="J98" s="127"/>
      <c r="K98" s="162"/>
      <c r="L98" s="162"/>
      <c r="M98" s="162"/>
      <c r="N98" s="164"/>
      <c r="O98" s="165"/>
      <c r="P98" s="165"/>
      <c r="Q98" s="165"/>
      <c r="R98" s="166"/>
      <c r="S98" s="83"/>
      <c r="T98" s="155"/>
      <c r="U98" s="76"/>
      <c r="V98" s="76"/>
      <c r="W98" s="76"/>
      <c r="X98" s="76"/>
      <c r="Y98" s="76"/>
      <c r="Z98" s="76"/>
      <c r="AA98" s="76"/>
      <c r="AB98" s="76"/>
      <c r="AC98" s="76"/>
      <c r="AD98" s="76"/>
      <c r="AE98" s="76"/>
      <c r="AF98" s="76"/>
      <c r="AG98" s="76"/>
      <c r="AH98" s="76"/>
      <c r="AI98" s="76"/>
      <c r="AJ98" s="76"/>
    </row>
    <row r="99" spans="1:36" ht="19.5" customHeight="1" x14ac:dyDescent="0.3">
      <c r="A99" s="76"/>
      <c r="B99" s="149"/>
      <c r="C99" s="150"/>
      <c r="D99" s="162"/>
      <c r="E99" s="150"/>
      <c r="F99" s="116"/>
      <c r="G99" s="116"/>
      <c r="H99" s="163"/>
      <c r="I99" s="151"/>
      <c r="J99" s="127"/>
      <c r="K99" s="162"/>
      <c r="L99" s="162"/>
      <c r="M99" s="162"/>
      <c r="N99" s="164"/>
      <c r="O99" s="165"/>
      <c r="P99" s="165"/>
      <c r="Q99" s="165"/>
      <c r="R99" s="166"/>
      <c r="S99" s="83"/>
      <c r="T99" s="155"/>
      <c r="U99" s="76"/>
      <c r="V99" s="76"/>
      <c r="W99" s="76"/>
      <c r="X99" s="76"/>
      <c r="Y99" s="76"/>
      <c r="Z99" s="76"/>
      <c r="AA99" s="76"/>
      <c r="AB99" s="76"/>
      <c r="AC99" s="76"/>
      <c r="AD99" s="76"/>
      <c r="AE99" s="76"/>
      <c r="AF99" s="76"/>
      <c r="AG99" s="76"/>
      <c r="AH99" s="76"/>
      <c r="AI99" s="76"/>
      <c r="AJ99" s="76"/>
    </row>
    <row r="100" spans="1:36" ht="19.5" customHeight="1" x14ac:dyDescent="0.3">
      <c r="A100" s="76"/>
      <c r="B100" s="149"/>
      <c r="C100" s="150"/>
      <c r="D100" s="162"/>
      <c r="E100" s="150"/>
      <c r="F100" s="116"/>
      <c r="G100" s="116"/>
      <c r="H100" s="163"/>
      <c r="I100" s="151"/>
      <c r="J100" s="127"/>
      <c r="K100" s="162"/>
      <c r="L100" s="162"/>
      <c r="M100" s="162"/>
      <c r="N100" s="164"/>
      <c r="O100" s="165"/>
      <c r="P100" s="165"/>
      <c r="Q100" s="165"/>
      <c r="R100" s="166"/>
      <c r="S100" s="83"/>
      <c r="T100" s="155"/>
      <c r="U100" s="76"/>
      <c r="V100" s="76"/>
      <c r="W100" s="76"/>
      <c r="X100" s="76"/>
      <c r="Y100" s="76"/>
      <c r="Z100" s="76"/>
      <c r="AA100" s="76"/>
      <c r="AB100" s="76"/>
      <c r="AC100" s="76"/>
      <c r="AD100" s="76"/>
      <c r="AE100" s="76"/>
      <c r="AF100" s="76"/>
      <c r="AG100" s="76"/>
      <c r="AH100" s="76"/>
      <c r="AI100" s="76"/>
      <c r="AJ100" s="76"/>
    </row>
    <row r="101" spans="1:36" ht="19.5" customHeight="1" x14ac:dyDescent="0.3">
      <c r="A101" s="76"/>
      <c r="B101" s="156"/>
      <c r="C101" s="157"/>
      <c r="D101" s="162"/>
      <c r="E101" s="162"/>
      <c r="F101" s="116"/>
      <c r="G101" s="116"/>
      <c r="H101" s="163"/>
      <c r="I101" s="151"/>
      <c r="J101" s="127"/>
      <c r="K101" s="162"/>
      <c r="L101" s="162"/>
      <c r="M101" s="162"/>
      <c r="N101" s="164"/>
      <c r="O101" s="165"/>
      <c r="P101" s="165"/>
      <c r="Q101" s="165"/>
      <c r="R101" s="166"/>
      <c r="S101" s="83"/>
      <c r="T101" s="155"/>
      <c r="U101" s="76"/>
      <c r="V101" s="76"/>
      <c r="W101" s="76"/>
      <c r="X101" s="76"/>
      <c r="Y101" s="76"/>
      <c r="Z101" s="76"/>
      <c r="AA101" s="76"/>
      <c r="AB101" s="76"/>
      <c r="AC101" s="76"/>
      <c r="AD101" s="76"/>
      <c r="AE101" s="76"/>
      <c r="AF101" s="76"/>
      <c r="AG101" s="76"/>
      <c r="AH101" s="76"/>
      <c r="AI101" s="76"/>
      <c r="AJ101" s="76"/>
    </row>
    <row r="102" spans="1:36" ht="19.5" customHeight="1" x14ac:dyDescent="0.3">
      <c r="A102" s="76"/>
      <c r="B102" s="156"/>
      <c r="C102" s="157"/>
      <c r="D102" s="162"/>
      <c r="E102" s="162"/>
      <c r="F102" s="116"/>
      <c r="G102" s="116"/>
      <c r="H102" s="163"/>
      <c r="I102" s="151"/>
      <c r="J102" s="127"/>
      <c r="K102" s="162"/>
      <c r="L102" s="162"/>
      <c r="M102" s="162"/>
      <c r="N102" s="164"/>
      <c r="O102" s="165"/>
      <c r="P102" s="165"/>
      <c r="Q102" s="165"/>
      <c r="R102" s="166"/>
      <c r="S102" s="83"/>
      <c r="T102" s="155"/>
      <c r="U102" s="76"/>
      <c r="V102" s="76"/>
      <c r="W102" s="76"/>
      <c r="X102" s="76"/>
      <c r="Y102" s="76"/>
      <c r="Z102" s="76"/>
      <c r="AA102" s="76"/>
      <c r="AB102" s="76"/>
      <c r="AC102" s="76"/>
      <c r="AD102" s="76"/>
      <c r="AE102" s="76"/>
      <c r="AF102" s="76"/>
      <c r="AG102" s="76"/>
      <c r="AH102" s="76"/>
      <c r="AI102" s="76"/>
      <c r="AJ102" s="76"/>
    </row>
    <row r="103" spans="1:36" ht="19.5" customHeight="1" x14ac:dyDescent="0.3">
      <c r="A103" s="76"/>
      <c r="B103" s="162"/>
      <c r="C103" s="162"/>
      <c r="D103" s="162"/>
      <c r="E103" s="163"/>
      <c r="F103" s="116"/>
      <c r="G103" s="163"/>
      <c r="H103" s="163"/>
      <c r="I103" s="151"/>
      <c r="J103" s="127"/>
      <c r="K103" s="162"/>
      <c r="L103" s="162"/>
      <c r="M103" s="162"/>
      <c r="N103" s="164"/>
      <c r="O103" s="165"/>
      <c r="P103" s="165"/>
      <c r="Q103" s="165"/>
      <c r="R103" s="166"/>
      <c r="S103" s="83"/>
      <c r="T103" s="155"/>
      <c r="U103" s="76"/>
      <c r="V103" s="76"/>
      <c r="W103" s="76"/>
      <c r="X103" s="76"/>
      <c r="Y103" s="76"/>
      <c r="Z103" s="76"/>
      <c r="AA103" s="76"/>
      <c r="AB103" s="76"/>
      <c r="AC103" s="76"/>
      <c r="AD103" s="76"/>
      <c r="AE103" s="76"/>
      <c r="AF103" s="76"/>
      <c r="AG103" s="76"/>
      <c r="AH103" s="76"/>
      <c r="AI103" s="76"/>
      <c r="AJ103" s="76"/>
    </row>
    <row r="104" spans="1:36" s="148" customFormat="1" ht="19.5" customHeight="1" x14ac:dyDescent="0.3">
      <c r="A104" s="138"/>
      <c r="B104" s="139"/>
      <c r="C104" s="139"/>
      <c r="D104" s="143"/>
      <c r="E104" s="158"/>
      <c r="F104" s="158"/>
      <c r="G104" s="158"/>
      <c r="H104" s="158"/>
      <c r="I104" s="142"/>
      <c r="J104" s="143"/>
      <c r="K104" s="140"/>
      <c r="L104" s="140"/>
      <c r="M104" s="140"/>
      <c r="N104" s="159"/>
      <c r="O104" s="145"/>
      <c r="P104" s="145"/>
      <c r="Q104" s="145"/>
      <c r="R104" s="146"/>
      <c r="S104" s="147"/>
      <c r="T104" s="155"/>
      <c r="U104" s="138"/>
      <c r="V104" s="138"/>
      <c r="W104" s="138"/>
      <c r="X104" s="138"/>
      <c r="Y104" s="138"/>
      <c r="Z104" s="138"/>
      <c r="AA104" s="138"/>
      <c r="AB104" s="138"/>
      <c r="AC104" s="138"/>
      <c r="AD104" s="138"/>
      <c r="AE104" s="138"/>
      <c r="AF104" s="138"/>
      <c r="AG104" s="138"/>
      <c r="AH104" s="138"/>
      <c r="AI104" s="138"/>
      <c r="AJ104" s="138"/>
    </row>
    <row r="105" spans="1:36" ht="19.5" customHeight="1" x14ac:dyDescent="0.3">
      <c r="A105" s="76"/>
      <c r="B105" s="173"/>
      <c r="C105" s="174"/>
      <c r="D105" s="162"/>
      <c r="E105" s="175"/>
      <c r="F105" s="116"/>
      <c r="G105" s="116"/>
      <c r="H105" s="163"/>
      <c r="I105" s="151"/>
      <c r="J105" s="127"/>
      <c r="K105" s="162"/>
      <c r="L105" s="162"/>
      <c r="M105" s="162"/>
      <c r="N105" s="164"/>
      <c r="O105" s="165"/>
      <c r="P105" s="165"/>
      <c r="Q105" s="165"/>
      <c r="R105" s="166"/>
      <c r="S105" s="83"/>
      <c r="T105" s="155"/>
      <c r="U105" s="76"/>
      <c r="V105" s="76"/>
      <c r="W105" s="76"/>
      <c r="X105" s="76"/>
      <c r="Y105" s="76"/>
      <c r="Z105" s="76"/>
      <c r="AA105" s="76"/>
      <c r="AB105" s="76"/>
      <c r="AC105" s="76"/>
      <c r="AD105" s="76"/>
      <c r="AE105" s="76"/>
      <c r="AF105" s="76"/>
      <c r="AG105" s="76"/>
      <c r="AH105" s="76"/>
      <c r="AI105" s="76"/>
      <c r="AJ105" s="76"/>
    </row>
    <row r="106" spans="1:36" ht="19.5" customHeight="1" x14ac:dyDescent="0.3">
      <c r="A106" s="76"/>
      <c r="B106" s="173"/>
      <c r="C106" s="174"/>
      <c r="D106" s="162"/>
      <c r="E106" s="175"/>
      <c r="F106" s="116"/>
      <c r="G106" s="116"/>
      <c r="H106" s="163"/>
      <c r="I106" s="151"/>
      <c r="J106" s="127"/>
      <c r="K106" s="162"/>
      <c r="L106" s="162"/>
      <c r="M106" s="162"/>
      <c r="N106" s="164"/>
      <c r="O106" s="165"/>
      <c r="P106" s="165"/>
      <c r="Q106" s="165"/>
      <c r="R106" s="166"/>
      <c r="S106" s="83"/>
      <c r="T106" s="155"/>
      <c r="U106" s="76"/>
      <c r="V106" s="76"/>
      <c r="W106" s="76"/>
      <c r="X106" s="76"/>
      <c r="Y106" s="76"/>
      <c r="Z106" s="76"/>
      <c r="AA106" s="76"/>
      <c r="AB106" s="76"/>
      <c r="AC106" s="76"/>
      <c r="AD106" s="76"/>
      <c r="AE106" s="76"/>
      <c r="AF106" s="76"/>
      <c r="AG106" s="76"/>
      <c r="AH106" s="76"/>
      <c r="AI106" s="76"/>
      <c r="AJ106" s="76"/>
    </row>
    <row r="107" spans="1:36" ht="19.5" customHeight="1" x14ac:dyDescent="0.3">
      <c r="A107" s="76"/>
      <c r="B107" s="173"/>
      <c r="C107" s="176"/>
      <c r="D107" s="162"/>
      <c r="E107" s="175"/>
      <c r="F107" s="116"/>
      <c r="G107" s="116"/>
      <c r="H107" s="163"/>
      <c r="I107" s="151"/>
      <c r="J107" s="127"/>
      <c r="K107" s="162"/>
      <c r="L107" s="162"/>
      <c r="M107" s="162"/>
      <c r="N107" s="164"/>
      <c r="O107" s="165"/>
      <c r="P107" s="165"/>
      <c r="Q107" s="165"/>
      <c r="R107" s="166"/>
      <c r="S107" s="83"/>
      <c r="T107" s="155"/>
      <c r="U107" s="76"/>
      <c r="V107" s="76"/>
      <c r="W107" s="76"/>
      <c r="X107" s="76"/>
      <c r="Y107" s="76"/>
      <c r="Z107" s="76"/>
      <c r="AA107" s="76"/>
      <c r="AB107" s="76"/>
      <c r="AC107" s="76"/>
      <c r="AD107" s="76"/>
      <c r="AE107" s="76"/>
      <c r="AF107" s="76"/>
      <c r="AG107" s="76"/>
      <c r="AH107" s="76"/>
      <c r="AI107" s="76"/>
      <c r="AJ107" s="76"/>
    </row>
    <row r="108" spans="1:36" ht="19.5" customHeight="1" x14ac:dyDescent="0.3">
      <c r="A108" s="76"/>
      <c r="B108" s="173"/>
      <c r="C108" s="176"/>
      <c r="D108" s="162"/>
      <c r="E108" s="175"/>
      <c r="F108" s="116"/>
      <c r="G108" s="116"/>
      <c r="H108" s="163"/>
      <c r="I108" s="151"/>
      <c r="J108" s="127"/>
      <c r="K108" s="162"/>
      <c r="L108" s="162"/>
      <c r="M108" s="162"/>
      <c r="N108" s="164"/>
      <c r="O108" s="165"/>
      <c r="P108" s="165"/>
      <c r="Q108" s="165"/>
      <c r="R108" s="166"/>
      <c r="S108" s="83"/>
      <c r="T108" s="155"/>
      <c r="U108" s="76"/>
      <c r="V108" s="76"/>
      <c r="W108" s="76"/>
      <c r="X108" s="76"/>
      <c r="Y108" s="76"/>
      <c r="Z108" s="76"/>
      <c r="AA108" s="76"/>
      <c r="AB108" s="76"/>
      <c r="AC108" s="76"/>
      <c r="AD108" s="76"/>
      <c r="AE108" s="76"/>
      <c r="AF108" s="76"/>
      <c r="AG108" s="76"/>
      <c r="AH108" s="76"/>
      <c r="AI108" s="76"/>
      <c r="AJ108" s="76"/>
    </row>
    <row r="109" spans="1:36" ht="19.5" customHeight="1" x14ac:dyDescent="0.3">
      <c r="A109" s="76"/>
      <c r="B109" s="173"/>
      <c r="C109" s="176"/>
      <c r="D109" s="162"/>
      <c r="E109" s="175"/>
      <c r="F109" s="116"/>
      <c r="G109" s="116"/>
      <c r="H109" s="163"/>
      <c r="I109" s="151"/>
      <c r="J109" s="127"/>
      <c r="K109" s="162"/>
      <c r="L109" s="162"/>
      <c r="M109" s="162"/>
      <c r="N109" s="164"/>
      <c r="O109" s="165"/>
      <c r="P109" s="165"/>
      <c r="Q109" s="165"/>
      <c r="R109" s="166"/>
      <c r="S109" s="83"/>
      <c r="T109" s="155"/>
      <c r="U109" s="76"/>
      <c r="V109" s="76"/>
      <c r="W109" s="76"/>
      <c r="X109" s="76"/>
      <c r="Y109" s="76"/>
      <c r="Z109" s="76"/>
      <c r="AA109" s="76"/>
      <c r="AB109" s="76"/>
      <c r="AC109" s="76"/>
      <c r="AD109" s="76"/>
      <c r="AE109" s="76"/>
      <c r="AF109" s="76"/>
      <c r="AG109" s="76"/>
      <c r="AH109" s="76"/>
      <c r="AI109" s="76"/>
      <c r="AJ109" s="76"/>
    </row>
    <row r="110" spans="1:36" ht="19.5" customHeight="1" x14ac:dyDescent="0.3">
      <c r="A110" s="76"/>
      <c r="B110" s="173"/>
      <c r="C110" s="174"/>
      <c r="D110" s="162"/>
      <c r="E110" s="175"/>
      <c r="F110" s="116"/>
      <c r="G110" s="116"/>
      <c r="H110" s="163"/>
      <c r="I110" s="151"/>
      <c r="J110" s="127"/>
      <c r="K110" s="162"/>
      <c r="L110" s="162"/>
      <c r="M110" s="162"/>
      <c r="N110" s="164"/>
      <c r="O110" s="165"/>
      <c r="P110" s="165"/>
      <c r="Q110" s="165"/>
      <c r="R110" s="166"/>
      <c r="S110" s="83"/>
      <c r="T110" s="155"/>
      <c r="U110" s="76"/>
      <c r="V110" s="76"/>
      <c r="W110" s="76"/>
      <c r="X110" s="76"/>
      <c r="Y110" s="76"/>
      <c r="Z110" s="76"/>
      <c r="AA110" s="76"/>
      <c r="AB110" s="76"/>
      <c r="AC110" s="76"/>
      <c r="AD110" s="76"/>
      <c r="AE110" s="76"/>
      <c r="AF110" s="76"/>
      <c r="AG110" s="76"/>
      <c r="AH110" s="76"/>
      <c r="AI110" s="76"/>
      <c r="AJ110" s="76"/>
    </row>
    <row r="111" spans="1:36" ht="19.5" customHeight="1" x14ac:dyDescent="0.3">
      <c r="A111" s="76"/>
      <c r="B111" s="173"/>
      <c r="C111" s="174"/>
      <c r="D111" s="162"/>
      <c r="E111" s="175"/>
      <c r="F111" s="116"/>
      <c r="G111" s="116"/>
      <c r="H111" s="163"/>
      <c r="I111" s="151"/>
      <c r="J111" s="127"/>
      <c r="K111" s="162"/>
      <c r="L111" s="162"/>
      <c r="M111" s="162"/>
      <c r="N111" s="164"/>
      <c r="O111" s="165"/>
      <c r="P111" s="165"/>
      <c r="Q111" s="165"/>
      <c r="R111" s="166"/>
      <c r="S111" s="83"/>
      <c r="T111" s="155"/>
      <c r="U111" s="76"/>
      <c r="V111" s="76"/>
      <c r="W111" s="76"/>
      <c r="X111" s="76"/>
      <c r="Y111" s="76"/>
      <c r="Z111" s="76"/>
      <c r="AA111" s="76"/>
      <c r="AB111" s="76"/>
      <c r="AC111" s="76"/>
      <c r="AD111" s="76"/>
      <c r="AE111" s="76"/>
      <c r="AF111" s="76"/>
      <c r="AG111" s="76"/>
      <c r="AH111" s="76"/>
      <c r="AI111" s="76"/>
      <c r="AJ111" s="76"/>
    </row>
    <row r="112" spans="1:36" ht="19.5" customHeight="1" x14ac:dyDescent="0.3">
      <c r="A112" s="76"/>
      <c r="B112" s="173"/>
      <c r="C112" s="174"/>
      <c r="D112" s="162"/>
      <c r="E112" s="175"/>
      <c r="F112" s="116"/>
      <c r="G112" s="116"/>
      <c r="H112" s="163"/>
      <c r="I112" s="151"/>
      <c r="J112" s="127"/>
      <c r="K112" s="162"/>
      <c r="L112" s="162"/>
      <c r="M112" s="162"/>
      <c r="N112" s="164"/>
      <c r="O112" s="165"/>
      <c r="P112" s="165"/>
      <c r="Q112" s="165"/>
      <c r="R112" s="166"/>
      <c r="S112" s="83"/>
      <c r="T112" s="155"/>
      <c r="U112" s="76"/>
      <c r="V112" s="76"/>
      <c r="W112" s="76"/>
      <c r="X112" s="76"/>
      <c r="Y112" s="76"/>
      <c r="Z112" s="76"/>
      <c r="AA112" s="76"/>
      <c r="AB112" s="76"/>
      <c r="AC112" s="76"/>
      <c r="AD112" s="76"/>
      <c r="AE112" s="76"/>
      <c r="AF112" s="76"/>
      <c r="AG112" s="76"/>
      <c r="AH112" s="76"/>
      <c r="AI112" s="76"/>
      <c r="AJ112" s="76"/>
    </row>
    <row r="113" spans="1:36" ht="19.5" customHeight="1" x14ac:dyDescent="0.3">
      <c r="A113" s="76"/>
      <c r="B113" s="173"/>
      <c r="C113" s="174"/>
      <c r="D113" s="162"/>
      <c r="E113" s="175"/>
      <c r="F113" s="116"/>
      <c r="G113" s="116"/>
      <c r="H113" s="163"/>
      <c r="I113" s="151"/>
      <c r="J113" s="127"/>
      <c r="K113" s="162"/>
      <c r="L113" s="162"/>
      <c r="M113" s="162"/>
      <c r="N113" s="164"/>
      <c r="O113" s="165"/>
      <c r="P113" s="165"/>
      <c r="Q113" s="165"/>
      <c r="R113" s="166"/>
      <c r="S113" s="83"/>
      <c r="T113" s="155"/>
      <c r="U113" s="76"/>
      <c r="V113" s="76"/>
      <c r="W113" s="76"/>
      <c r="X113" s="76"/>
      <c r="Y113" s="76"/>
      <c r="Z113" s="76"/>
      <c r="AA113" s="76"/>
      <c r="AB113" s="76"/>
      <c r="AC113" s="76"/>
      <c r="AD113" s="76"/>
      <c r="AE113" s="76"/>
      <c r="AF113" s="76"/>
      <c r="AG113" s="76"/>
      <c r="AH113" s="76"/>
      <c r="AI113" s="76"/>
      <c r="AJ113" s="76"/>
    </row>
    <row r="114" spans="1:36" ht="19.5" customHeight="1" x14ac:dyDescent="0.3">
      <c r="A114" s="76"/>
      <c r="B114" s="173"/>
      <c r="C114" s="174"/>
      <c r="D114" s="162"/>
      <c r="E114" s="175"/>
      <c r="F114" s="116"/>
      <c r="G114" s="116"/>
      <c r="H114" s="163"/>
      <c r="I114" s="151"/>
      <c r="J114" s="127"/>
      <c r="K114" s="162"/>
      <c r="L114" s="162"/>
      <c r="M114" s="162"/>
      <c r="N114" s="164"/>
      <c r="O114" s="165"/>
      <c r="P114" s="165"/>
      <c r="Q114" s="165"/>
      <c r="R114" s="166"/>
      <c r="S114" s="83"/>
      <c r="T114" s="155"/>
      <c r="U114" s="76"/>
      <c r="V114" s="76"/>
      <c r="W114" s="76"/>
      <c r="X114" s="76"/>
      <c r="Y114" s="76"/>
      <c r="Z114" s="76"/>
      <c r="AA114" s="76"/>
      <c r="AB114" s="76"/>
      <c r="AC114" s="76"/>
      <c r="AD114" s="76"/>
      <c r="AE114" s="76"/>
      <c r="AF114" s="76"/>
      <c r="AG114" s="76"/>
      <c r="AH114" s="76"/>
      <c r="AI114" s="76"/>
      <c r="AJ114" s="76"/>
    </row>
    <row r="115" spans="1:36" ht="19.5" customHeight="1" x14ac:dyDescent="0.3">
      <c r="A115" s="76"/>
      <c r="B115" s="173"/>
      <c r="C115" s="176"/>
      <c r="D115" s="162"/>
      <c r="E115" s="175"/>
      <c r="F115" s="116"/>
      <c r="G115" s="116"/>
      <c r="H115" s="163"/>
      <c r="I115" s="151"/>
      <c r="J115" s="127"/>
      <c r="K115" s="162"/>
      <c r="L115" s="162"/>
      <c r="M115" s="162"/>
      <c r="N115" s="164"/>
      <c r="O115" s="165"/>
      <c r="P115" s="165"/>
      <c r="Q115" s="165"/>
      <c r="R115" s="166"/>
      <c r="S115" s="83"/>
      <c r="T115" s="155"/>
      <c r="U115" s="76"/>
      <c r="V115" s="76"/>
      <c r="W115" s="76"/>
      <c r="X115" s="76"/>
      <c r="Y115" s="76"/>
      <c r="Z115" s="76"/>
      <c r="AA115" s="76"/>
      <c r="AB115" s="76"/>
      <c r="AC115" s="76"/>
      <c r="AD115" s="76"/>
      <c r="AE115" s="76"/>
      <c r="AF115" s="76"/>
      <c r="AG115" s="76"/>
      <c r="AH115" s="76"/>
      <c r="AI115" s="76"/>
      <c r="AJ115" s="76"/>
    </row>
    <row r="116" spans="1:36" ht="19.5" customHeight="1" x14ac:dyDescent="0.3">
      <c r="A116" s="76"/>
      <c r="B116" s="173"/>
      <c r="C116" s="174"/>
      <c r="D116" s="162"/>
      <c r="E116" s="175"/>
      <c r="F116" s="116"/>
      <c r="G116" s="116"/>
      <c r="H116" s="163"/>
      <c r="I116" s="151"/>
      <c r="J116" s="127"/>
      <c r="K116" s="162"/>
      <c r="L116" s="162"/>
      <c r="M116" s="162"/>
      <c r="N116" s="164"/>
      <c r="O116" s="165"/>
      <c r="P116" s="165"/>
      <c r="Q116" s="165"/>
      <c r="R116" s="166"/>
      <c r="S116" s="83"/>
      <c r="T116" s="155"/>
      <c r="U116" s="76"/>
      <c r="V116" s="76"/>
      <c r="W116" s="76"/>
      <c r="X116" s="76"/>
      <c r="Y116" s="76"/>
      <c r="Z116" s="76"/>
      <c r="AA116" s="76"/>
      <c r="AB116" s="76"/>
      <c r="AC116" s="76"/>
      <c r="AD116" s="76"/>
      <c r="AE116" s="76"/>
      <c r="AF116" s="76"/>
      <c r="AG116" s="76"/>
      <c r="AH116" s="76"/>
      <c r="AI116" s="76"/>
      <c r="AJ116" s="76"/>
    </row>
    <row r="117" spans="1:36" ht="19.5" customHeight="1" x14ac:dyDescent="0.3">
      <c r="A117" s="76"/>
      <c r="B117" s="173"/>
      <c r="C117" s="174"/>
      <c r="D117" s="162"/>
      <c r="E117" s="175"/>
      <c r="F117" s="116"/>
      <c r="G117" s="116"/>
      <c r="H117" s="163"/>
      <c r="I117" s="151"/>
      <c r="J117" s="127"/>
      <c r="K117" s="162"/>
      <c r="L117" s="162"/>
      <c r="M117" s="162"/>
      <c r="N117" s="164"/>
      <c r="O117" s="165"/>
      <c r="P117" s="165"/>
      <c r="Q117" s="165"/>
      <c r="R117" s="166"/>
      <c r="S117" s="83"/>
      <c r="T117" s="155"/>
      <c r="U117" s="100"/>
      <c r="V117" s="76"/>
      <c r="W117" s="76"/>
      <c r="X117" s="76"/>
      <c r="Y117" s="76"/>
      <c r="Z117" s="76"/>
      <c r="AA117" s="76"/>
      <c r="AB117" s="76"/>
      <c r="AC117" s="76"/>
      <c r="AD117" s="76"/>
      <c r="AE117" s="76"/>
      <c r="AF117" s="76"/>
      <c r="AG117" s="76"/>
      <c r="AH117" s="76"/>
      <c r="AI117" s="76"/>
      <c r="AJ117" s="76"/>
    </row>
    <row r="118" spans="1:36" ht="19.5" customHeight="1" x14ac:dyDescent="0.3">
      <c r="A118" s="76"/>
      <c r="B118" s="173"/>
      <c r="C118" s="174"/>
      <c r="D118" s="162"/>
      <c r="E118" s="175"/>
      <c r="F118" s="116"/>
      <c r="G118" s="116"/>
      <c r="H118" s="163"/>
      <c r="I118" s="151"/>
      <c r="J118" s="127"/>
      <c r="K118" s="162"/>
      <c r="L118" s="162"/>
      <c r="M118" s="162"/>
      <c r="N118" s="164"/>
      <c r="O118" s="165"/>
      <c r="P118" s="165"/>
      <c r="Q118" s="165"/>
      <c r="R118" s="166"/>
      <c r="S118" s="83"/>
      <c r="T118" s="155"/>
      <c r="U118" s="76"/>
      <c r="V118" s="76"/>
      <c r="W118" s="76"/>
      <c r="X118" s="76"/>
      <c r="Y118" s="76"/>
      <c r="Z118" s="76"/>
      <c r="AA118" s="76"/>
      <c r="AB118" s="76"/>
      <c r="AC118" s="76"/>
      <c r="AD118" s="76"/>
      <c r="AE118" s="76"/>
      <c r="AF118" s="76"/>
      <c r="AG118" s="76"/>
      <c r="AH118" s="76"/>
      <c r="AI118" s="76"/>
      <c r="AJ118" s="76"/>
    </row>
    <row r="119" spans="1:36" ht="19.5" customHeight="1" x14ac:dyDescent="0.3">
      <c r="A119" s="76"/>
      <c r="B119" s="173"/>
      <c r="C119" s="174"/>
      <c r="D119" s="162"/>
      <c r="E119" s="175"/>
      <c r="F119" s="116"/>
      <c r="G119" s="116"/>
      <c r="H119" s="163"/>
      <c r="I119" s="151"/>
      <c r="J119" s="127"/>
      <c r="K119" s="162"/>
      <c r="L119" s="162"/>
      <c r="M119" s="162"/>
      <c r="N119" s="164"/>
      <c r="O119" s="165"/>
      <c r="P119" s="165"/>
      <c r="Q119" s="165"/>
      <c r="R119" s="166"/>
      <c r="S119" s="83"/>
      <c r="T119" s="155"/>
      <c r="U119" s="100"/>
      <c r="V119" s="76"/>
      <c r="W119" s="76"/>
      <c r="X119" s="76"/>
      <c r="Y119" s="76"/>
      <c r="Z119" s="76"/>
      <c r="AA119" s="76"/>
      <c r="AB119" s="76"/>
      <c r="AC119" s="76"/>
      <c r="AD119" s="76"/>
      <c r="AE119" s="76"/>
      <c r="AF119" s="76"/>
      <c r="AG119" s="76"/>
      <c r="AH119" s="76"/>
      <c r="AI119" s="76"/>
      <c r="AJ119" s="76"/>
    </row>
    <row r="120" spans="1:36" ht="19.5" customHeight="1" x14ac:dyDescent="0.3">
      <c r="A120" s="76"/>
      <c r="B120" s="173"/>
      <c r="C120" s="174"/>
      <c r="D120" s="162"/>
      <c r="E120" s="175"/>
      <c r="F120" s="116"/>
      <c r="G120" s="116"/>
      <c r="H120" s="163"/>
      <c r="I120" s="151"/>
      <c r="J120" s="127"/>
      <c r="K120" s="162"/>
      <c r="L120" s="162"/>
      <c r="M120" s="162"/>
      <c r="N120" s="164"/>
      <c r="O120" s="165"/>
      <c r="P120" s="165"/>
      <c r="Q120" s="165"/>
      <c r="R120" s="166"/>
      <c r="S120" s="83"/>
      <c r="T120" s="155"/>
      <c r="U120" s="76"/>
      <c r="V120" s="76"/>
      <c r="W120" s="76"/>
      <c r="X120" s="76"/>
      <c r="Y120" s="76"/>
      <c r="Z120" s="76"/>
      <c r="AA120" s="76"/>
      <c r="AB120" s="76"/>
      <c r="AC120" s="76"/>
      <c r="AD120" s="76"/>
      <c r="AE120" s="76"/>
      <c r="AF120" s="76"/>
      <c r="AG120" s="76"/>
      <c r="AH120" s="76"/>
      <c r="AI120" s="76"/>
      <c r="AJ120" s="76"/>
    </row>
    <row r="121" spans="1:36" ht="19.5" customHeight="1" x14ac:dyDescent="0.3">
      <c r="A121" s="76"/>
      <c r="B121" s="173"/>
      <c r="C121" s="174"/>
      <c r="D121" s="162"/>
      <c r="E121" s="175"/>
      <c r="F121" s="116"/>
      <c r="G121" s="116"/>
      <c r="H121" s="163"/>
      <c r="I121" s="151"/>
      <c r="J121" s="127"/>
      <c r="K121" s="162"/>
      <c r="L121" s="162"/>
      <c r="M121" s="162"/>
      <c r="N121" s="164"/>
      <c r="O121" s="165"/>
      <c r="P121" s="165"/>
      <c r="Q121" s="165"/>
      <c r="R121" s="166"/>
      <c r="S121" s="83"/>
      <c r="T121" s="155"/>
      <c r="U121" s="76"/>
      <c r="V121" s="76"/>
      <c r="W121" s="76"/>
      <c r="X121" s="76"/>
      <c r="Y121" s="76"/>
      <c r="Z121" s="76"/>
      <c r="AA121" s="76"/>
      <c r="AB121" s="76"/>
      <c r="AC121" s="76"/>
      <c r="AD121" s="76"/>
      <c r="AE121" s="76"/>
      <c r="AF121" s="76"/>
      <c r="AG121" s="76"/>
      <c r="AH121" s="76"/>
      <c r="AI121" s="76"/>
      <c r="AJ121" s="76"/>
    </row>
    <row r="122" spans="1:36" ht="19.5" customHeight="1" x14ac:dyDescent="0.3">
      <c r="A122" s="76"/>
      <c r="B122" s="173"/>
      <c r="C122" s="174"/>
      <c r="D122" s="162"/>
      <c r="E122" s="175"/>
      <c r="F122" s="116"/>
      <c r="G122" s="116"/>
      <c r="H122" s="163"/>
      <c r="I122" s="151"/>
      <c r="J122" s="127"/>
      <c r="K122" s="162"/>
      <c r="L122" s="162"/>
      <c r="M122" s="162"/>
      <c r="N122" s="164"/>
      <c r="O122" s="165"/>
      <c r="P122" s="165"/>
      <c r="Q122" s="165"/>
      <c r="R122" s="166"/>
      <c r="S122" s="83"/>
      <c r="T122" s="155"/>
      <c r="U122" s="76"/>
      <c r="V122" s="76"/>
      <c r="W122" s="76"/>
      <c r="X122" s="76"/>
      <c r="Y122" s="76"/>
      <c r="Z122" s="76"/>
      <c r="AA122" s="76"/>
      <c r="AB122" s="76"/>
      <c r="AC122" s="76"/>
      <c r="AD122" s="76"/>
      <c r="AE122" s="76"/>
      <c r="AF122" s="76"/>
      <c r="AG122" s="76"/>
      <c r="AH122" s="76"/>
      <c r="AI122" s="76"/>
      <c r="AJ122" s="76"/>
    </row>
    <row r="123" spans="1:36" ht="19.5" customHeight="1" x14ac:dyDescent="0.3">
      <c r="A123" s="76"/>
      <c r="B123" s="173"/>
      <c r="C123" s="174"/>
      <c r="D123" s="162"/>
      <c r="E123" s="175"/>
      <c r="F123" s="116"/>
      <c r="G123" s="116"/>
      <c r="H123" s="163"/>
      <c r="I123" s="151"/>
      <c r="J123" s="127"/>
      <c r="K123" s="162"/>
      <c r="L123" s="162"/>
      <c r="M123" s="162"/>
      <c r="N123" s="164"/>
      <c r="O123" s="165"/>
      <c r="P123" s="165"/>
      <c r="Q123" s="165"/>
      <c r="R123" s="166"/>
      <c r="S123" s="83"/>
      <c r="T123" s="155"/>
      <c r="U123" s="76"/>
      <c r="V123" s="76"/>
      <c r="W123" s="76"/>
      <c r="X123" s="76"/>
      <c r="Y123" s="76"/>
      <c r="Z123" s="76"/>
      <c r="AA123" s="76"/>
      <c r="AB123" s="76"/>
      <c r="AC123" s="76"/>
      <c r="AD123" s="76"/>
      <c r="AE123" s="76"/>
      <c r="AF123" s="76"/>
      <c r="AG123" s="76"/>
      <c r="AH123" s="76"/>
      <c r="AI123" s="76"/>
      <c r="AJ123" s="76"/>
    </row>
    <row r="124" spans="1:36" ht="19.5" customHeight="1" x14ac:dyDescent="0.3">
      <c r="A124" s="76"/>
      <c r="B124" s="173"/>
      <c r="C124" s="174"/>
      <c r="D124" s="162"/>
      <c r="E124" s="175"/>
      <c r="F124" s="116"/>
      <c r="G124" s="116"/>
      <c r="H124" s="163"/>
      <c r="I124" s="151"/>
      <c r="J124" s="127"/>
      <c r="K124" s="162"/>
      <c r="L124" s="162"/>
      <c r="M124" s="162"/>
      <c r="N124" s="164"/>
      <c r="O124" s="165"/>
      <c r="P124" s="165"/>
      <c r="Q124" s="165"/>
      <c r="R124" s="166"/>
      <c r="S124" s="83"/>
      <c r="T124" s="155"/>
      <c r="U124" s="76"/>
      <c r="V124" s="76"/>
      <c r="W124" s="76"/>
      <c r="X124" s="76"/>
      <c r="Y124" s="76"/>
      <c r="Z124" s="76"/>
      <c r="AA124" s="76"/>
      <c r="AB124" s="76"/>
      <c r="AC124" s="76"/>
      <c r="AD124" s="76"/>
      <c r="AE124" s="76"/>
      <c r="AF124" s="76"/>
      <c r="AG124" s="76"/>
      <c r="AH124" s="76"/>
      <c r="AI124" s="76"/>
      <c r="AJ124" s="76"/>
    </row>
    <row r="125" spans="1:36" ht="19.5" customHeight="1" x14ac:dyDescent="0.3">
      <c r="A125" s="76"/>
      <c r="B125" s="173"/>
      <c r="C125" s="176"/>
      <c r="D125" s="162"/>
      <c r="E125" s="175"/>
      <c r="F125" s="116"/>
      <c r="G125" s="116"/>
      <c r="H125" s="163"/>
      <c r="I125" s="151"/>
      <c r="J125" s="127"/>
      <c r="K125" s="162"/>
      <c r="L125" s="162"/>
      <c r="M125" s="162"/>
      <c r="N125" s="164"/>
      <c r="O125" s="165"/>
      <c r="P125" s="165"/>
      <c r="Q125" s="165"/>
      <c r="R125" s="166"/>
      <c r="S125" s="83"/>
      <c r="T125" s="155"/>
      <c r="U125" s="76"/>
      <c r="V125" s="76"/>
      <c r="W125" s="76"/>
      <c r="X125" s="76"/>
      <c r="Y125" s="76"/>
      <c r="Z125" s="76"/>
      <c r="AA125" s="76"/>
      <c r="AB125" s="76"/>
      <c r="AC125" s="76"/>
      <c r="AD125" s="76"/>
      <c r="AE125" s="76"/>
      <c r="AF125" s="76"/>
      <c r="AG125" s="76"/>
      <c r="AH125" s="76"/>
      <c r="AI125" s="76"/>
      <c r="AJ125" s="76"/>
    </row>
    <row r="126" spans="1:36" ht="19.5" customHeight="1" x14ac:dyDescent="0.3">
      <c r="A126" s="76"/>
      <c r="B126" s="173"/>
      <c r="C126" s="174"/>
      <c r="D126" s="162"/>
      <c r="E126" s="175"/>
      <c r="F126" s="116"/>
      <c r="G126" s="116"/>
      <c r="H126" s="163"/>
      <c r="I126" s="151"/>
      <c r="J126" s="127"/>
      <c r="K126" s="162"/>
      <c r="L126" s="162"/>
      <c r="M126" s="162"/>
      <c r="N126" s="164"/>
      <c r="O126" s="165"/>
      <c r="P126" s="165"/>
      <c r="Q126" s="165"/>
      <c r="R126" s="166"/>
      <c r="S126" s="83"/>
      <c r="T126" s="155"/>
      <c r="U126" s="76"/>
      <c r="V126" s="76"/>
      <c r="W126" s="76"/>
      <c r="X126" s="76"/>
      <c r="Y126" s="76"/>
      <c r="Z126" s="76"/>
      <c r="AA126" s="76"/>
      <c r="AB126" s="76"/>
      <c r="AC126" s="76"/>
      <c r="AD126" s="76"/>
      <c r="AE126" s="76"/>
      <c r="AF126" s="76"/>
      <c r="AG126" s="76"/>
      <c r="AH126" s="76"/>
      <c r="AI126" s="76"/>
      <c r="AJ126" s="76"/>
    </row>
    <row r="127" spans="1:36" ht="19.5" customHeight="1" x14ac:dyDescent="0.3">
      <c r="A127" s="76"/>
      <c r="B127" s="177"/>
      <c r="C127" s="178"/>
      <c r="D127" s="179"/>
      <c r="E127" s="178"/>
      <c r="F127" s="180"/>
      <c r="G127" s="116"/>
      <c r="H127" s="163"/>
      <c r="I127" s="151"/>
      <c r="J127" s="127"/>
      <c r="K127" s="162"/>
      <c r="L127" s="162"/>
      <c r="M127" s="162"/>
      <c r="N127" s="164"/>
      <c r="O127" s="165"/>
      <c r="P127" s="165"/>
      <c r="Q127" s="165"/>
      <c r="R127" s="166"/>
      <c r="S127" s="83"/>
      <c r="T127" s="155"/>
      <c r="U127" s="76"/>
      <c r="V127" s="76"/>
      <c r="W127" s="76"/>
      <c r="X127" s="76"/>
      <c r="Y127" s="76"/>
      <c r="Z127" s="76"/>
      <c r="AA127" s="76"/>
      <c r="AB127" s="76"/>
      <c r="AC127" s="76"/>
      <c r="AD127" s="76"/>
      <c r="AE127" s="76"/>
      <c r="AF127" s="76"/>
      <c r="AG127" s="76"/>
      <c r="AH127" s="76"/>
      <c r="AI127" s="76"/>
      <c r="AJ127" s="76"/>
    </row>
    <row r="128" spans="1:36" ht="19.5" customHeight="1" x14ac:dyDescent="0.3">
      <c r="A128" s="76"/>
      <c r="B128" s="177"/>
      <c r="C128" s="178"/>
      <c r="D128" s="179"/>
      <c r="E128" s="178"/>
      <c r="F128" s="180"/>
      <c r="G128" s="116"/>
      <c r="H128" s="163"/>
      <c r="I128" s="151"/>
      <c r="J128" s="127"/>
      <c r="K128" s="162"/>
      <c r="L128" s="162"/>
      <c r="M128" s="162"/>
      <c r="N128" s="164"/>
      <c r="O128" s="165"/>
      <c r="P128" s="165"/>
      <c r="Q128" s="165"/>
      <c r="R128" s="166"/>
      <c r="S128" s="83"/>
      <c r="T128" s="155"/>
      <c r="U128" s="76"/>
      <c r="V128" s="76"/>
      <c r="W128" s="76"/>
      <c r="X128" s="76"/>
      <c r="Y128" s="76"/>
      <c r="Z128" s="76"/>
      <c r="AA128" s="76"/>
      <c r="AB128" s="76"/>
      <c r="AC128" s="76"/>
      <c r="AD128" s="76"/>
      <c r="AE128" s="76"/>
      <c r="AF128" s="76"/>
      <c r="AG128" s="76"/>
      <c r="AH128" s="76"/>
      <c r="AI128" s="76"/>
      <c r="AJ128" s="76"/>
    </row>
    <row r="129" spans="1:36" ht="19.5" customHeight="1" x14ac:dyDescent="0.3">
      <c r="A129" s="76"/>
      <c r="B129" s="173"/>
      <c r="C129" s="181"/>
      <c r="D129" s="162"/>
      <c r="E129" s="175"/>
      <c r="F129" s="116"/>
      <c r="G129" s="116"/>
      <c r="H129" s="163"/>
      <c r="I129" s="151"/>
      <c r="J129" s="127"/>
      <c r="K129" s="162"/>
      <c r="L129" s="162"/>
      <c r="M129" s="162"/>
      <c r="N129" s="164"/>
      <c r="O129" s="165"/>
      <c r="P129" s="165"/>
      <c r="Q129" s="165"/>
      <c r="R129" s="166"/>
      <c r="S129" s="83"/>
      <c r="T129" s="155"/>
      <c r="U129" s="76"/>
      <c r="V129" s="76"/>
      <c r="W129" s="76"/>
      <c r="X129" s="76"/>
      <c r="Y129" s="76"/>
      <c r="Z129" s="76"/>
      <c r="AA129" s="76"/>
      <c r="AB129" s="76"/>
      <c r="AC129" s="76"/>
      <c r="AD129" s="76"/>
      <c r="AE129" s="76"/>
      <c r="AF129" s="76"/>
      <c r="AG129" s="76"/>
      <c r="AH129" s="76"/>
      <c r="AI129" s="76"/>
      <c r="AJ129" s="76"/>
    </row>
    <row r="130" spans="1:36" ht="19.5" customHeight="1" x14ac:dyDescent="0.3">
      <c r="A130" s="76"/>
      <c r="B130" s="182"/>
      <c r="C130" s="182"/>
      <c r="D130" s="162"/>
      <c r="E130" s="182"/>
      <c r="F130" s="116"/>
      <c r="G130" s="116"/>
      <c r="H130" s="163"/>
      <c r="I130" s="151"/>
      <c r="J130" s="127"/>
      <c r="K130" s="162"/>
      <c r="L130" s="162"/>
      <c r="M130" s="162"/>
      <c r="N130" s="164"/>
      <c r="O130" s="165"/>
      <c r="P130" s="165"/>
      <c r="Q130" s="165"/>
      <c r="R130" s="166"/>
      <c r="S130" s="83"/>
      <c r="T130" s="155"/>
      <c r="U130" s="76"/>
      <c r="V130" s="76"/>
      <c r="W130" s="76"/>
      <c r="X130" s="76"/>
      <c r="Y130" s="76"/>
      <c r="Z130" s="76"/>
      <c r="AA130" s="76"/>
      <c r="AB130" s="76"/>
      <c r="AC130" s="76"/>
      <c r="AD130" s="76"/>
      <c r="AE130" s="76"/>
      <c r="AF130" s="76"/>
      <c r="AG130" s="76"/>
      <c r="AH130" s="76"/>
      <c r="AI130" s="76"/>
      <c r="AJ130" s="76"/>
    </row>
    <row r="131" spans="1:36" ht="19.5" customHeight="1" x14ac:dyDescent="0.3">
      <c r="A131" s="76"/>
      <c r="B131" s="182"/>
      <c r="C131" s="182"/>
      <c r="D131" s="162"/>
      <c r="E131" s="182"/>
      <c r="F131" s="116"/>
      <c r="G131" s="116"/>
      <c r="H131" s="163"/>
      <c r="I131" s="151"/>
      <c r="J131" s="127"/>
      <c r="K131" s="162"/>
      <c r="L131" s="162"/>
      <c r="M131" s="162"/>
      <c r="N131" s="164"/>
      <c r="O131" s="165"/>
      <c r="P131" s="165"/>
      <c r="Q131" s="165"/>
      <c r="R131" s="166"/>
      <c r="S131" s="83"/>
      <c r="T131" s="155"/>
      <c r="U131" s="76"/>
      <c r="V131" s="76"/>
      <c r="W131" s="76"/>
      <c r="X131" s="76"/>
      <c r="Y131" s="76"/>
      <c r="Z131" s="76"/>
      <c r="AA131" s="76"/>
      <c r="AB131" s="76"/>
      <c r="AC131" s="76"/>
      <c r="AD131" s="76"/>
      <c r="AE131" s="76"/>
      <c r="AF131" s="76"/>
      <c r="AG131" s="76"/>
      <c r="AH131" s="76"/>
      <c r="AI131" s="76"/>
      <c r="AJ131" s="76"/>
    </row>
    <row r="132" spans="1:36" ht="19.5" customHeight="1" x14ac:dyDescent="0.3">
      <c r="A132" s="76"/>
      <c r="B132" s="183"/>
      <c r="C132" s="182"/>
      <c r="D132" s="162"/>
      <c r="E132" s="182"/>
      <c r="F132" s="116"/>
      <c r="G132" s="116"/>
      <c r="H132" s="163"/>
      <c r="I132" s="151"/>
      <c r="J132" s="127"/>
      <c r="K132" s="162"/>
      <c r="L132" s="162"/>
      <c r="M132" s="162"/>
      <c r="N132" s="164"/>
      <c r="O132" s="165"/>
      <c r="P132" s="165"/>
      <c r="Q132" s="165"/>
      <c r="R132" s="166"/>
      <c r="S132" s="83"/>
      <c r="T132" s="155"/>
      <c r="U132" s="76"/>
      <c r="V132" s="76"/>
      <c r="W132" s="76"/>
      <c r="X132" s="76"/>
      <c r="Y132" s="76"/>
      <c r="Z132" s="76"/>
      <c r="AA132" s="76"/>
      <c r="AB132" s="76"/>
      <c r="AC132" s="76"/>
      <c r="AD132" s="76"/>
      <c r="AE132" s="76"/>
      <c r="AF132" s="76"/>
      <c r="AG132" s="76"/>
      <c r="AH132" s="76"/>
      <c r="AI132" s="76"/>
      <c r="AJ132" s="76"/>
    </row>
    <row r="133" spans="1:36" ht="19.5" customHeight="1" x14ac:dyDescent="0.3">
      <c r="A133" s="76"/>
      <c r="B133" s="162"/>
      <c r="C133" s="162"/>
      <c r="D133" s="162"/>
      <c r="E133" s="163"/>
      <c r="F133" s="116"/>
      <c r="G133" s="163"/>
      <c r="H133" s="163"/>
      <c r="I133" s="151"/>
      <c r="J133" s="127"/>
      <c r="K133" s="162"/>
      <c r="L133" s="162"/>
      <c r="M133" s="162"/>
      <c r="N133" s="164"/>
      <c r="O133" s="165"/>
      <c r="P133" s="165"/>
      <c r="Q133" s="165"/>
      <c r="R133" s="166"/>
      <c r="S133" s="83"/>
      <c r="T133" s="155"/>
      <c r="U133" s="76"/>
      <c r="V133" s="76"/>
      <c r="W133" s="76"/>
      <c r="X133" s="76"/>
      <c r="Y133" s="76"/>
      <c r="Z133" s="76"/>
      <c r="AA133" s="76"/>
      <c r="AB133" s="76"/>
      <c r="AC133" s="76"/>
      <c r="AD133" s="76"/>
      <c r="AE133" s="76"/>
      <c r="AF133" s="76"/>
      <c r="AG133" s="76"/>
      <c r="AH133" s="76"/>
      <c r="AI133" s="76"/>
      <c r="AJ133" s="76"/>
    </row>
    <row r="134" spans="1:36" s="148" customFormat="1" ht="19.5" customHeight="1" x14ac:dyDescent="0.3">
      <c r="A134" s="138"/>
      <c r="B134" s="139"/>
      <c r="C134" s="139"/>
      <c r="D134" s="143"/>
      <c r="E134" s="158"/>
      <c r="F134" s="158"/>
      <c r="G134" s="158"/>
      <c r="H134" s="158"/>
      <c r="I134" s="142"/>
      <c r="J134" s="143"/>
      <c r="K134" s="143"/>
      <c r="L134" s="143"/>
      <c r="M134" s="143"/>
      <c r="N134" s="159"/>
      <c r="O134" s="145"/>
      <c r="P134" s="145"/>
      <c r="Q134" s="145"/>
      <c r="R134" s="146"/>
      <c r="S134" s="147"/>
      <c r="T134" s="155"/>
      <c r="U134" s="138"/>
      <c r="V134" s="138"/>
      <c r="W134" s="138"/>
      <c r="X134" s="138"/>
      <c r="Y134" s="138"/>
      <c r="Z134" s="138"/>
      <c r="AA134" s="138"/>
      <c r="AB134" s="138"/>
      <c r="AC134" s="138"/>
      <c r="AD134" s="138"/>
      <c r="AE134" s="138"/>
      <c r="AF134" s="138"/>
      <c r="AG134" s="138"/>
      <c r="AH134" s="138"/>
      <c r="AI134" s="138"/>
      <c r="AJ134" s="138"/>
    </row>
    <row r="135" spans="1:36" ht="19.5" customHeight="1" x14ac:dyDescent="0.3">
      <c r="A135" s="100"/>
      <c r="B135" s="184"/>
      <c r="C135" s="185"/>
      <c r="D135" s="186"/>
      <c r="E135" s="185"/>
      <c r="F135" s="116"/>
      <c r="G135" s="116"/>
      <c r="H135" s="163"/>
      <c r="I135" s="151"/>
      <c r="J135" s="118"/>
      <c r="K135" s="162"/>
      <c r="L135" s="162"/>
      <c r="M135" s="162"/>
      <c r="N135" s="164"/>
      <c r="O135" s="165"/>
      <c r="P135" s="165"/>
      <c r="Q135" s="165"/>
      <c r="R135" s="166"/>
      <c r="S135" s="121"/>
      <c r="T135" s="155"/>
      <c r="U135" s="100"/>
      <c r="V135" s="100"/>
      <c r="W135" s="100"/>
      <c r="X135" s="100"/>
      <c r="Y135" s="100"/>
      <c r="Z135" s="100"/>
      <c r="AA135" s="100"/>
      <c r="AB135" s="100"/>
      <c r="AC135" s="100"/>
      <c r="AD135" s="100"/>
      <c r="AE135" s="100"/>
      <c r="AF135" s="100"/>
      <c r="AG135" s="100"/>
      <c r="AH135" s="100"/>
      <c r="AI135" s="100"/>
      <c r="AJ135" s="100"/>
    </row>
    <row r="136" spans="1:36" ht="19.5" customHeight="1" x14ac:dyDescent="0.3">
      <c r="A136" s="100"/>
      <c r="B136" s="184"/>
      <c r="C136" s="185"/>
      <c r="D136" s="186"/>
      <c r="E136" s="185"/>
      <c r="F136" s="116"/>
      <c r="G136" s="116"/>
      <c r="H136" s="163"/>
      <c r="I136" s="151"/>
      <c r="J136" s="118"/>
      <c r="K136" s="162"/>
      <c r="L136" s="162"/>
      <c r="M136" s="162"/>
      <c r="N136" s="164"/>
      <c r="O136" s="165"/>
      <c r="P136" s="165"/>
      <c r="Q136" s="165"/>
      <c r="R136" s="166"/>
      <c r="S136" s="121"/>
      <c r="T136" s="155"/>
      <c r="U136" s="100"/>
      <c r="V136" s="100"/>
      <c r="W136" s="100"/>
      <c r="X136" s="100"/>
      <c r="Y136" s="100"/>
      <c r="Z136" s="100"/>
      <c r="AA136" s="100"/>
      <c r="AB136" s="100"/>
      <c r="AC136" s="100"/>
      <c r="AD136" s="100"/>
      <c r="AE136" s="100"/>
      <c r="AF136" s="100"/>
      <c r="AG136" s="100"/>
      <c r="AH136" s="100"/>
      <c r="AI136" s="100"/>
      <c r="AJ136" s="100"/>
    </row>
    <row r="137" spans="1:36" ht="19.5" customHeight="1" x14ac:dyDescent="0.3">
      <c r="A137" s="76"/>
      <c r="B137" s="181"/>
      <c r="C137" s="181"/>
      <c r="D137" s="162"/>
      <c r="E137" s="185"/>
      <c r="F137" s="116"/>
      <c r="G137" s="116"/>
      <c r="H137" s="163"/>
      <c r="I137" s="151"/>
      <c r="J137" s="127"/>
      <c r="K137" s="162"/>
      <c r="L137" s="162"/>
      <c r="M137" s="162"/>
      <c r="N137" s="164"/>
      <c r="O137" s="165"/>
      <c r="P137" s="165"/>
      <c r="Q137" s="165"/>
      <c r="R137" s="166"/>
      <c r="S137" s="83"/>
      <c r="T137" s="155"/>
      <c r="U137" s="76"/>
      <c r="V137" s="76"/>
      <c r="W137" s="76"/>
      <c r="X137" s="76"/>
      <c r="Y137" s="76"/>
      <c r="Z137" s="76"/>
      <c r="AA137" s="76"/>
      <c r="AB137" s="76"/>
      <c r="AC137" s="76"/>
      <c r="AD137" s="76"/>
      <c r="AE137" s="76"/>
      <c r="AF137" s="76"/>
      <c r="AG137" s="76"/>
      <c r="AH137" s="76"/>
      <c r="AI137" s="76"/>
      <c r="AJ137" s="76"/>
    </row>
    <row r="138" spans="1:36" ht="19.5" customHeight="1" x14ac:dyDescent="0.3">
      <c r="A138" s="76"/>
      <c r="B138" s="181"/>
      <c r="C138" s="181"/>
      <c r="D138" s="162"/>
      <c r="E138" s="187"/>
      <c r="F138" s="116"/>
      <c r="G138" s="116"/>
      <c r="H138" s="163"/>
      <c r="I138" s="151"/>
      <c r="J138" s="127"/>
      <c r="K138" s="162"/>
      <c r="L138" s="162"/>
      <c r="M138" s="162"/>
      <c r="N138" s="164"/>
      <c r="O138" s="165"/>
      <c r="P138" s="165"/>
      <c r="Q138" s="165"/>
      <c r="R138" s="166"/>
      <c r="S138" s="83"/>
      <c r="T138" s="155"/>
      <c r="U138" s="76"/>
      <c r="V138" s="76"/>
      <c r="W138" s="76"/>
      <c r="X138" s="76"/>
      <c r="Y138" s="76"/>
      <c r="Z138" s="76"/>
      <c r="AA138" s="76"/>
      <c r="AB138" s="76"/>
      <c r="AC138" s="76"/>
      <c r="AD138" s="76"/>
      <c r="AE138" s="76"/>
      <c r="AF138" s="76"/>
      <c r="AG138" s="76"/>
      <c r="AH138" s="76"/>
      <c r="AI138" s="76"/>
      <c r="AJ138" s="76"/>
    </row>
    <row r="139" spans="1:36" ht="19.5" customHeight="1" x14ac:dyDescent="0.3">
      <c r="A139" s="76"/>
      <c r="B139" s="181"/>
      <c r="C139" s="181"/>
      <c r="D139" s="162"/>
      <c r="E139" s="187"/>
      <c r="F139" s="116"/>
      <c r="G139" s="116"/>
      <c r="H139" s="163"/>
      <c r="I139" s="151"/>
      <c r="J139" s="127"/>
      <c r="K139" s="162"/>
      <c r="L139" s="162"/>
      <c r="M139" s="162"/>
      <c r="N139" s="164"/>
      <c r="O139" s="165"/>
      <c r="P139" s="165"/>
      <c r="Q139" s="165"/>
      <c r="R139" s="166"/>
      <c r="S139" s="83"/>
      <c r="T139" s="155"/>
      <c r="U139" s="76"/>
      <c r="V139" s="76"/>
      <c r="W139" s="76"/>
      <c r="X139" s="76"/>
      <c r="Y139" s="76"/>
      <c r="Z139" s="76"/>
      <c r="AA139" s="76"/>
      <c r="AB139" s="76"/>
      <c r="AC139" s="76"/>
      <c r="AD139" s="76"/>
      <c r="AE139" s="76"/>
      <c r="AF139" s="76"/>
      <c r="AG139" s="76"/>
      <c r="AH139" s="76"/>
      <c r="AI139" s="76"/>
      <c r="AJ139" s="76"/>
    </row>
    <row r="140" spans="1:36" ht="19.5" customHeight="1" x14ac:dyDescent="0.3">
      <c r="A140" s="76"/>
      <c r="B140" s="181"/>
      <c r="C140" s="181"/>
      <c r="D140" s="162"/>
      <c r="E140" s="187"/>
      <c r="F140" s="116"/>
      <c r="G140" s="116"/>
      <c r="H140" s="163"/>
      <c r="I140" s="151"/>
      <c r="J140" s="127"/>
      <c r="K140" s="162"/>
      <c r="L140" s="162"/>
      <c r="M140" s="162"/>
      <c r="N140" s="164"/>
      <c r="O140" s="165"/>
      <c r="P140" s="165"/>
      <c r="Q140" s="165"/>
      <c r="R140" s="166"/>
      <c r="S140" s="83"/>
      <c r="T140" s="155"/>
      <c r="U140" s="76"/>
      <c r="V140" s="76"/>
      <c r="W140" s="76"/>
      <c r="X140" s="76"/>
      <c r="Y140" s="76"/>
      <c r="Z140" s="76"/>
      <c r="AA140" s="76"/>
      <c r="AB140" s="76"/>
      <c r="AC140" s="76"/>
      <c r="AD140" s="76"/>
      <c r="AE140" s="76"/>
      <c r="AF140" s="76"/>
      <c r="AG140" s="76"/>
      <c r="AH140" s="76"/>
      <c r="AI140" s="76"/>
      <c r="AJ140" s="76"/>
    </row>
    <row r="141" spans="1:36" ht="19.5" customHeight="1" x14ac:dyDescent="0.3">
      <c r="A141" s="76"/>
      <c r="B141" s="181"/>
      <c r="C141" s="181"/>
      <c r="D141" s="162"/>
      <c r="E141" s="185"/>
      <c r="F141" s="116"/>
      <c r="G141" s="116"/>
      <c r="H141" s="163"/>
      <c r="I141" s="151"/>
      <c r="J141" s="127"/>
      <c r="K141" s="162"/>
      <c r="L141" s="162"/>
      <c r="M141" s="162"/>
      <c r="N141" s="164"/>
      <c r="O141" s="165"/>
      <c r="P141" s="165"/>
      <c r="Q141" s="165"/>
      <c r="R141" s="166"/>
      <c r="S141" s="83"/>
      <c r="T141" s="155"/>
      <c r="U141" s="76"/>
      <c r="V141" s="76"/>
      <c r="W141" s="76"/>
      <c r="X141" s="76"/>
      <c r="Y141" s="76"/>
      <c r="Z141" s="76"/>
      <c r="AA141" s="76"/>
      <c r="AB141" s="76"/>
      <c r="AC141" s="76"/>
      <c r="AD141" s="76"/>
      <c r="AE141" s="76"/>
      <c r="AF141" s="76"/>
      <c r="AG141" s="76"/>
      <c r="AH141" s="76"/>
      <c r="AI141" s="76"/>
      <c r="AJ141" s="76"/>
    </row>
    <row r="142" spans="1:36" ht="19.5" customHeight="1" x14ac:dyDescent="0.3">
      <c r="A142" s="76"/>
      <c r="B142" s="181"/>
      <c r="C142" s="181"/>
      <c r="D142" s="162"/>
      <c r="E142" s="185"/>
      <c r="F142" s="116"/>
      <c r="G142" s="116"/>
      <c r="H142" s="163"/>
      <c r="I142" s="151"/>
      <c r="J142" s="127"/>
      <c r="K142" s="162"/>
      <c r="L142" s="162"/>
      <c r="M142" s="162"/>
      <c r="N142" s="164"/>
      <c r="O142" s="165"/>
      <c r="P142" s="165"/>
      <c r="Q142" s="165"/>
      <c r="R142" s="166"/>
      <c r="S142" s="83"/>
      <c r="T142" s="155"/>
      <c r="U142" s="76"/>
      <c r="V142" s="76"/>
      <c r="W142" s="76"/>
      <c r="X142" s="76"/>
      <c r="Y142" s="76"/>
      <c r="Z142" s="76"/>
      <c r="AA142" s="76"/>
      <c r="AB142" s="76"/>
      <c r="AC142" s="76"/>
      <c r="AD142" s="76"/>
      <c r="AE142" s="76"/>
      <c r="AF142" s="76"/>
      <c r="AG142" s="76"/>
      <c r="AH142" s="76"/>
      <c r="AI142" s="76"/>
      <c r="AJ142" s="76"/>
    </row>
    <row r="143" spans="1:36" ht="19.5" customHeight="1" x14ac:dyDescent="0.3">
      <c r="A143" s="76"/>
      <c r="B143" s="162"/>
      <c r="C143" s="162"/>
      <c r="D143" s="162"/>
      <c r="E143" s="163"/>
      <c r="F143" s="116"/>
      <c r="G143" s="163"/>
      <c r="H143" s="163"/>
      <c r="I143" s="151"/>
      <c r="J143" s="127"/>
      <c r="K143" s="162"/>
      <c r="L143" s="162"/>
      <c r="M143" s="162"/>
      <c r="N143" s="164"/>
      <c r="O143" s="165"/>
      <c r="P143" s="165"/>
      <c r="Q143" s="165"/>
      <c r="R143" s="166"/>
      <c r="S143" s="83"/>
      <c r="T143" s="155"/>
      <c r="U143" s="76"/>
      <c r="V143" s="76"/>
      <c r="W143" s="76"/>
      <c r="X143" s="76"/>
      <c r="Y143" s="76"/>
      <c r="Z143" s="76"/>
      <c r="AA143" s="76"/>
      <c r="AB143" s="76"/>
      <c r="AC143" s="76"/>
      <c r="AD143" s="76"/>
      <c r="AE143" s="76"/>
      <c r="AF143" s="76"/>
      <c r="AG143" s="76"/>
      <c r="AH143" s="76"/>
      <c r="AI143" s="76"/>
      <c r="AJ143" s="76"/>
    </row>
    <row r="144" spans="1:36" s="148" customFormat="1" ht="19.5" customHeight="1" x14ac:dyDescent="0.3">
      <c r="A144" s="138"/>
      <c r="B144" s="139"/>
      <c r="C144" s="139"/>
      <c r="D144" s="143"/>
      <c r="E144" s="158"/>
      <c r="F144" s="158"/>
      <c r="G144" s="158"/>
      <c r="H144" s="158"/>
      <c r="I144" s="142"/>
      <c r="J144" s="143"/>
      <c r="K144" s="143"/>
      <c r="L144" s="143"/>
      <c r="M144" s="143"/>
      <c r="N144" s="159"/>
      <c r="O144" s="145"/>
      <c r="P144" s="145"/>
      <c r="Q144" s="145"/>
      <c r="R144" s="146"/>
      <c r="S144" s="147"/>
      <c r="T144" s="155"/>
      <c r="U144" s="138"/>
      <c r="V144" s="138"/>
      <c r="W144" s="138"/>
      <c r="X144" s="138"/>
      <c r="Y144" s="138"/>
      <c r="Z144" s="138"/>
      <c r="AA144" s="138"/>
      <c r="AB144" s="138"/>
      <c r="AC144" s="138"/>
      <c r="AD144" s="138"/>
      <c r="AE144" s="138"/>
      <c r="AF144" s="138"/>
      <c r="AG144" s="138"/>
      <c r="AH144" s="138"/>
      <c r="AI144" s="138"/>
      <c r="AJ144" s="138"/>
    </row>
    <row r="145" spans="1:36" s="189" customFormat="1" ht="19.5" customHeight="1" x14ac:dyDescent="0.3">
      <c r="A145" s="100"/>
      <c r="B145" s="173"/>
      <c r="C145" s="174"/>
      <c r="D145" s="188"/>
      <c r="E145" s="175"/>
      <c r="F145" s="116"/>
      <c r="G145" s="116"/>
      <c r="H145" s="163"/>
      <c r="I145" s="151"/>
      <c r="J145" s="118"/>
      <c r="K145" s="162"/>
      <c r="L145" s="162"/>
      <c r="M145" s="162"/>
      <c r="N145" s="164"/>
      <c r="O145" s="165"/>
      <c r="P145" s="165"/>
      <c r="Q145" s="165"/>
      <c r="R145" s="166"/>
      <c r="S145" s="121"/>
      <c r="T145" s="155"/>
      <c r="U145" s="100"/>
      <c r="V145" s="100"/>
      <c r="W145" s="100"/>
      <c r="X145" s="100"/>
      <c r="Y145" s="100"/>
      <c r="Z145" s="100"/>
      <c r="AA145" s="100"/>
      <c r="AB145" s="100"/>
      <c r="AC145" s="100"/>
      <c r="AD145" s="100"/>
      <c r="AE145" s="100"/>
      <c r="AF145" s="100"/>
      <c r="AG145" s="100"/>
      <c r="AH145" s="100"/>
      <c r="AI145" s="100"/>
      <c r="AJ145" s="100"/>
    </row>
    <row r="146" spans="1:36" s="189" customFormat="1" ht="19.5" customHeight="1" x14ac:dyDescent="0.3">
      <c r="A146" s="100"/>
      <c r="B146" s="173"/>
      <c r="C146" s="174"/>
      <c r="D146" s="188"/>
      <c r="E146" s="175"/>
      <c r="F146" s="116"/>
      <c r="G146" s="116"/>
      <c r="H146" s="163"/>
      <c r="I146" s="151"/>
      <c r="J146" s="118"/>
      <c r="K146" s="162"/>
      <c r="L146" s="162"/>
      <c r="M146" s="162"/>
      <c r="N146" s="164"/>
      <c r="O146" s="165"/>
      <c r="P146" s="165"/>
      <c r="Q146" s="165"/>
      <c r="R146" s="166"/>
      <c r="S146" s="121"/>
      <c r="T146" s="155"/>
      <c r="U146" s="76"/>
      <c r="V146" s="100"/>
      <c r="W146" s="100"/>
      <c r="X146" s="100"/>
      <c r="Y146" s="100"/>
      <c r="Z146" s="100"/>
      <c r="AA146" s="100"/>
      <c r="AB146" s="100"/>
      <c r="AC146" s="100"/>
      <c r="AD146" s="100"/>
      <c r="AE146" s="100"/>
      <c r="AF146" s="100"/>
      <c r="AG146" s="100"/>
      <c r="AH146" s="100"/>
      <c r="AI146" s="100"/>
      <c r="AJ146" s="100"/>
    </row>
    <row r="147" spans="1:36" s="189" customFormat="1" ht="19.5" customHeight="1" x14ac:dyDescent="0.3">
      <c r="A147" s="100"/>
      <c r="B147" s="173"/>
      <c r="C147" s="174"/>
      <c r="D147" s="188"/>
      <c r="E147" s="175"/>
      <c r="F147" s="116"/>
      <c r="G147" s="116"/>
      <c r="H147" s="163"/>
      <c r="I147" s="151"/>
      <c r="J147" s="118"/>
      <c r="K147" s="162"/>
      <c r="L147" s="162"/>
      <c r="M147" s="162"/>
      <c r="N147" s="164"/>
      <c r="O147" s="165"/>
      <c r="P147" s="165"/>
      <c r="Q147" s="165"/>
      <c r="R147" s="166"/>
      <c r="S147" s="121"/>
      <c r="T147" s="155"/>
      <c r="U147" s="100"/>
      <c r="V147" s="100"/>
      <c r="W147" s="100"/>
      <c r="X147" s="100"/>
      <c r="Y147" s="100"/>
      <c r="Z147" s="100"/>
      <c r="AA147" s="100"/>
      <c r="AB147" s="100"/>
      <c r="AC147" s="100"/>
      <c r="AD147" s="100"/>
      <c r="AE147" s="100"/>
      <c r="AF147" s="100"/>
      <c r="AG147" s="100"/>
      <c r="AH147" s="100"/>
      <c r="AI147" s="100"/>
      <c r="AJ147" s="100"/>
    </row>
    <row r="148" spans="1:36" s="189" customFormat="1" ht="19.5" customHeight="1" x14ac:dyDescent="0.3">
      <c r="A148" s="100"/>
      <c r="B148" s="173"/>
      <c r="C148" s="174"/>
      <c r="D148" s="188"/>
      <c r="E148" s="175"/>
      <c r="F148" s="116"/>
      <c r="G148" s="116"/>
      <c r="H148" s="163"/>
      <c r="I148" s="151"/>
      <c r="J148" s="118"/>
      <c r="K148" s="162"/>
      <c r="L148" s="162"/>
      <c r="M148" s="162"/>
      <c r="N148" s="164"/>
      <c r="O148" s="165"/>
      <c r="P148" s="165"/>
      <c r="Q148" s="165"/>
      <c r="R148" s="166"/>
      <c r="S148" s="121"/>
      <c r="T148" s="155"/>
      <c r="U148" s="100"/>
      <c r="V148" s="100"/>
      <c r="W148" s="100"/>
      <c r="X148" s="100"/>
      <c r="Y148" s="100"/>
      <c r="Z148" s="100"/>
      <c r="AA148" s="100"/>
      <c r="AB148" s="100"/>
      <c r="AC148" s="100"/>
      <c r="AD148" s="100"/>
      <c r="AE148" s="100"/>
      <c r="AF148" s="100"/>
      <c r="AG148" s="100"/>
      <c r="AH148" s="100"/>
      <c r="AI148" s="100"/>
      <c r="AJ148" s="100"/>
    </row>
    <row r="149" spans="1:36" s="189" customFormat="1" ht="19.5" customHeight="1" x14ac:dyDescent="0.3">
      <c r="A149" s="100"/>
      <c r="B149" s="173"/>
      <c r="C149" s="174"/>
      <c r="D149" s="188"/>
      <c r="E149" s="175"/>
      <c r="F149" s="116"/>
      <c r="G149" s="116"/>
      <c r="H149" s="163"/>
      <c r="I149" s="151"/>
      <c r="J149" s="118"/>
      <c r="K149" s="162"/>
      <c r="L149" s="162"/>
      <c r="M149" s="162"/>
      <c r="N149" s="164"/>
      <c r="O149" s="165"/>
      <c r="P149" s="165"/>
      <c r="Q149" s="165"/>
      <c r="R149" s="166"/>
      <c r="S149" s="121"/>
      <c r="T149" s="155"/>
      <c r="U149" s="100"/>
      <c r="V149" s="100"/>
      <c r="W149" s="100"/>
      <c r="X149" s="100"/>
      <c r="Y149" s="100"/>
      <c r="Z149" s="100"/>
      <c r="AA149" s="100"/>
      <c r="AB149" s="100"/>
      <c r="AC149" s="100"/>
      <c r="AD149" s="100"/>
      <c r="AE149" s="100"/>
      <c r="AF149" s="100"/>
      <c r="AG149" s="100"/>
      <c r="AH149" s="100"/>
      <c r="AI149" s="100"/>
      <c r="AJ149" s="100"/>
    </row>
    <row r="150" spans="1:36" s="189" customFormat="1" ht="19.5" customHeight="1" x14ac:dyDescent="0.3">
      <c r="A150" s="100"/>
      <c r="B150" s="173"/>
      <c r="C150" s="174"/>
      <c r="D150" s="188"/>
      <c r="E150" s="175"/>
      <c r="F150" s="116"/>
      <c r="G150" s="116"/>
      <c r="H150" s="163"/>
      <c r="I150" s="151"/>
      <c r="J150" s="118"/>
      <c r="K150" s="162"/>
      <c r="L150" s="162"/>
      <c r="M150" s="162"/>
      <c r="N150" s="164"/>
      <c r="O150" s="165"/>
      <c r="P150" s="165"/>
      <c r="Q150" s="165"/>
      <c r="R150" s="166"/>
      <c r="S150" s="121"/>
      <c r="T150" s="155"/>
      <c r="U150" s="100"/>
      <c r="V150" s="100"/>
      <c r="W150" s="100"/>
      <c r="X150" s="100"/>
      <c r="Y150" s="100"/>
      <c r="Z150" s="100"/>
      <c r="AA150" s="100"/>
      <c r="AB150" s="100"/>
      <c r="AC150" s="100"/>
      <c r="AD150" s="100"/>
      <c r="AE150" s="100"/>
      <c r="AF150" s="100"/>
      <c r="AG150" s="100"/>
      <c r="AH150" s="100"/>
      <c r="AI150" s="100"/>
      <c r="AJ150" s="100"/>
    </row>
    <row r="151" spans="1:36" s="189" customFormat="1" ht="19.5" customHeight="1" x14ac:dyDescent="0.3">
      <c r="A151" s="100"/>
      <c r="B151" s="173"/>
      <c r="C151" s="174"/>
      <c r="D151" s="188"/>
      <c r="E151" s="175"/>
      <c r="F151" s="116"/>
      <c r="G151" s="116"/>
      <c r="H151" s="163"/>
      <c r="I151" s="151"/>
      <c r="J151" s="118"/>
      <c r="K151" s="162"/>
      <c r="L151" s="162"/>
      <c r="M151" s="162"/>
      <c r="N151" s="164"/>
      <c r="O151" s="165"/>
      <c r="P151" s="165"/>
      <c r="Q151" s="165"/>
      <c r="R151" s="166"/>
      <c r="S151" s="121"/>
      <c r="T151" s="155"/>
      <c r="U151" s="100"/>
      <c r="V151" s="100"/>
      <c r="W151" s="100"/>
      <c r="X151" s="100"/>
      <c r="Y151" s="100"/>
      <c r="Z151" s="100"/>
      <c r="AA151" s="100"/>
      <c r="AB151" s="100"/>
      <c r="AC151" s="100"/>
      <c r="AD151" s="100"/>
      <c r="AE151" s="100"/>
      <c r="AF151" s="100"/>
      <c r="AG151" s="100"/>
      <c r="AH151" s="100"/>
      <c r="AI151" s="100"/>
      <c r="AJ151" s="100"/>
    </row>
    <row r="152" spans="1:36" s="189" customFormat="1" ht="19.5" customHeight="1" x14ac:dyDescent="0.3">
      <c r="A152" s="100"/>
      <c r="B152" s="173"/>
      <c r="C152" s="174"/>
      <c r="D152" s="188"/>
      <c r="E152" s="175"/>
      <c r="F152" s="116"/>
      <c r="G152" s="116"/>
      <c r="H152" s="163"/>
      <c r="I152" s="151"/>
      <c r="J152" s="118"/>
      <c r="K152" s="162"/>
      <c r="L152" s="162"/>
      <c r="M152" s="162"/>
      <c r="N152" s="164"/>
      <c r="O152" s="165"/>
      <c r="P152" s="165"/>
      <c r="Q152" s="165"/>
      <c r="R152" s="166"/>
      <c r="S152" s="121"/>
      <c r="T152" s="155"/>
      <c r="U152" s="100"/>
      <c r="V152" s="100"/>
      <c r="W152" s="100"/>
      <c r="X152" s="100"/>
      <c r="Y152" s="100"/>
      <c r="Z152" s="100"/>
      <c r="AA152" s="100"/>
      <c r="AB152" s="100"/>
      <c r="AC152" s="100"/>
      <c r="AD152" s="100"/>
      <c r="AE152" s="100"/>
      <c r="AF152" s="100"/>
      <c r="AG152" s="100"/>
      <c r="AH152" s="100"/>
      <c r="AI152" s="100"/>
      <c r="AJ152" s="100"/>
    </row>
    <row r="153" spans="1:36" s="189" customFormat="1" ht="19.5" customHeight="1" x14ac:dyDescent="0.3">
      <c r="A153" s="100"/>
      <c r="B153" s="173"/>
      <c r="C153" s="174"/>
      <c r="D153" s="188"/>
      <c r="E153" s="175"/>
      <c r="F153" s="116"/>
      <c r="G153" s="116"/>
      <c r="H153" s="163"/>
      <c r="I153" s="151"/>
      <c r="J153" s="118"/>
      <c r="K153" s="162"/>
      <c r="L153" s="162"/>
      <c r="M153" s="162"/>
      <c r="N153" s="164"/>
      <c r="O153" s="165"/>
      <c r="P153" s="165"/>
      <c r="Q153" s="165"/>
      <c r="R153" s="166"/>
      <c r="S153" s="121"/>
      <c r="T153" s="155"/>
      <c r="U153" s="100"/>
      <c r="V153" s="100"/>
      <c r="W153" s="100"/>
      <c r="X153" s="100"/>
      <c r="Y153" s="100"/>
      <c r="Z153" s="100"/>
      <c r="AA153" s="100"/>
      <c r="AB153" s="100"/>
      <c r="AC153" s="100"/>
      <c r="AD153" s="100"/>
      <c r="AE153" s="100"/>
      <c r="AF153" s="100"/>
      <c r="AG153" s="100"/>
      <c r="AH153" s="100"/>
      <c r="AI153" s="100"/>
      <c r="AJ153" s="100"/>
    </row>
    <row r="154" spans="1:36" s="189" customFormat="1" ht="19.5" customHeight="1" x14ac:dyDescent="0.3">
      <c r="A154" s="100"/>
      <c r="B154" s="173"/>
      <c r="C154" s="174"/>
      <c r="D154" s="188"/>
      <c r="E154" s="175"/>
      <c r="F154" s="116"/>
      <c r="G154" s="116"/>
      <c r="H154" s="163"/>
      <c r="I154" s="151"/>
      <c r="J154" s="118"/>
      <c r="K154" s="162"/>
      <c r="L154" s="162"/>
      <c r="M154" s="162"/>
      <c r="N154" s="164"/>
      <c r="O154" s="165"/>
      <c r="P154" s="165"/>
      <c r="Q154" s="165"/>
      <c r="R154" s="166"/>
      <c r="S154" s="121"/>
      <c r="T154" s="155"/>
      <c r="U154" s="100"/>
      <c r="V154" s="100"/>
      <c r="W154" s="100"/>
      <c r="X154" s="100"/>
      <c r="Y154" s="100"/>
      <c r="Z154" s="100"/>
      <c r="AA154" s="100"/>
      <c r="AB154" s="100"/>
      <c r="AC154" s="100"/>
      <c r="AD154" s="100"/>
      <c r="AE154" s="100"/>
      <c r="AF154" s="100"/>
      <c r="AG154" s="100"/>
      <c r="AH154" s="100"/>
      <c r="AI154" s="100"/>
      <c r="AJ154" s="100"/>
    </row>
    <row r="155" spans="1:36" s="189" customFormat="1" ht="19.5" customHeight="1" x14ac:dyDescent="0.3">
      <c r="A155" s="100"/>
      <c r="B155" s="173"/>
      <c r="C155" s="174"/>
      <c r="D155" s="188"/>
      <c r="E155" s="175"/>
      <c r="F155" s="116"/>
      <c r="G155" s="116"/>
      <c r="H155" s="163"/>
      <c r="I155" s="151"/>
      <c r="J155" s="118"/>
      <c r="K155" s="162"/>
      <c r="L155" s="162"/>
      <c r="M155" s="162"/>
      <c r="N155" s="164"/>
      <c r="O155" s="165"/>
      <c r="P155" s="165"/>
      <c r="Q155" s="165"/>
      <c r="R155" s="166"/>
      <c r="S155" s="121"/>
      <c r="T155" s="155"/>
      <c r="U155" s="100"/>
      <c r="V155" s="100"/>
      <c r="W155" s="100"/>
      <c r="X155" s="100"/>
      <c r="Y155" s="100"/>
      <c r="Z155" s="100"/>
      <c r="AA155" s="100"/>
      <c r="AB155" s="100"/>
      <c r="AC155" s="100"/>
      <c r="AD155" s="100"/>
      <c r="AE155" s="100"/>
      <c r="AF155" s="100"/>
      <c r="AG155" s="100"/>
      <c r="AH155" s="100"/>
      <c r="AI155" s="100"/>
      <c r="AJ155" s="100"/>
    </row>
    <row r="156" spans="1:36" s="189" customFormat="1" ht="19.5" customHeight="1" x14ac:dyDescent="0.3">
      <c r="A156" s="100"/>
      <c r="B156" s="173"/>
      <c r="C156" s="174"/>
      <c r="D156" s="188"/>
      <c r="E156" s="175"/>
      <c r="F156" s="116"/>
      <c r="G156" s="116"/>
      <c r="H156" s="163"/>
      <c r="I156" s="151"/>
      <c r="J156" s="118"/>
      <c r="K156" s="162"/>
      <c r="L156" s="162"/>
      <c r="M156" s="162"/>
      <c r="N156" s="164"/>
      <c r="O156" s="165"/>
      <c r="P156" s="165"/>
      <c r="Q156" s="165"/>
      <c r="R156" s="166"/>
      <c r="S156" s="121"/>
      <c r="T156" s="155"/>
      <c r="U156" s="100"/>
      <c r="V156" s="100"/>
      <c r="W156" s="100"/>
      <c r="X156" s="100"/>
      <c r="Y156" s="100"/>
      <c r="Z156" s="100"/>
      <c r="AA156" s="100"/>
      <c r="AB156" s="100"/>
      <c r="AC156" s="100"/>
      <c r="AD156" s="100"/>
      <c r="AE156" s="100"/>
      <c r="AF156" s="100"/>
      <c r="AG156" s="100"/>
      <c r="AH156" s="100"/>
      <c r="AI156" s="100"/>
      <c r="AJ156" s="100"/>
    </row>
    <row r="157" spans="1:36" s="189" customFormat="1" ht="19.5" customHeight="1" x14ac:dyDescent="0.3">
      <c r="A157" s="100"/>
      <c r="B157" s="173"/>
      <c r="C157" s="174"/>
      <c r="D157" s="188"/>
      <c r="E157" s="175"/>
      <c r="F157" s="116"/>
      <c r="G157" s="116"/>
      <c r="H157" s="163"/>
      <c r="I157" s="151"/>
      <c r="J157" s="118"/>
      <c r="K157" s="162"/>
      <c r="L157" s="162"/>
      <c r="M157" s="162"/>
      <c r="N157" s="164"/>
      <c r="O157" s="165"/>
      <c r="P157" s="165"/>
      <c r="Q157" s="165"/>
      <c r="R157" s="166"/>
      <c r="S157" s="121"/>
      <c r="T157" s="155"/>
      <c r="U157" s="100"/>
      <c r="V157" s="100"/>
      <c r="W157" s="100"/>
      <c r="X157" s="100"/>
      <c r="Y157" s="100"/>
      <c r="Z157" s="100"/>
      <c r="AA157" s="100"/>
      <c r="AB157" s="100"/>
      <c r="AC157" s="100"/>
      <c r="AD157" s="100"/>
      <c r="AE157" s="100"/>
      <c r="AF157" s="100"/>
      <c r="AG157" s="100"/>
      <c r="AH157" s="100"/>
      <c r="AI157" s="100"/>
      <c r="AJ157" s="100"/>
    </row>
    <row r="158" spans="1:36" s="189" customFormat="1" ht="19.5" customHeight="1" x14ac:dyDescent="0.3">
      <c r="A158" s="100"/>
      <c r="B158" s="173"/>
      <c r="C158" s="174"/>
      <c r="D158" s="188"/>
      <c r="E158" s="175"/>
      <c r="F158" s="116"/>
      <c r="G158" s="116"/>
      <c r="H158" s="163"/>
      <c r="I158" s="151"/>
      <c r="J158" s="118"/>
      <c r="K158" s="162"/>
      <c r="L158" s="162"/>
      <c r="M158" s="162"/>
      <c r="N158" s="164"/>
      <c r="O158" s="165"/>
      <c r="P158" s="165"/>
      <c r="Q158" s="165"/>
      <c r="R158" s="166"/>
      <c r="S158" s="121"/>
      <c r="T158" s="155"/>
      <c r="U158" s="100"/>
      <c r="V158" s="100"/>
      <c r="W158" s="100"/>
      <c r="X158" s="100"/>
      <c r="Y158" s="100"/>
      <c r="Z158" s="100"/>
      <c r="AA158" s="100"/>
      <c r="AB158" s="100"/>
      <c r="AC158" s="100"/>
      <c r="AD158" s="100"/>
      <c r="AE158" s="100"/>
      <c r="AF158" s="100"/>
      <c r="AG158" s="100"/>
      <c r="AH158" s="100"/>
      <c r="AI158" s="100"/>
      <c r="AJ158" s="100"/>
    </row>
    <row r="159" spans="1:36" s="189" customFormat="1" ht="19.5" customHeight="1" x14ac:dyDescent="0.3">
      <c r="A159" s="100"/>
      <c r="B159" s="173"/>
      <c r="C159" s="174"/>
      <c r="D159" s="188"/>
      <c r="E159" s="175"/>
      <c r="F159" s="116"/>
      <c r="G159" s="116"/>
      <c r="H159" s="163"/>
      <c r="I159" s="151"/>
      <c r="J159" s="118"/>
      <c r="K159" s="162"/>
      <c r="L159" s="162"/>
      <c r="M159" s="162"/>
      <c r="N159" s="164"/>
      <c r="O159" s="165"/>
      <c r="P159" s="165"/>
      <c r="Q159" s="165"/>
      <c r="R159" s="166"/>
      <c r="S159" s="121"/>
      <c r="T159" s="155"/>
      <c r="U159" s="100"/>
      <c r="V159" s="100"/>
      <c r="W159" s="100"/>
      <c r="X159" s="100"/>
      <c r="Y159" s="100"/>
      <c r="Z159" s="100"/>
      <c r="AA159" s="100"/>
      <c r="AB159" s="100"/>
      <c r="AC159" s="100"/>
      <c r="AD159" s="100"/>
      <c r="AE159" s="100"/>
      <c r="AF159" s="100"/>
      <c r="AG159" s="100"/>
      <c r="AH159" s="100"/>
      <c r="AI159" s="100"/>
      <c r="AJ159" s="100"/>
    </row>
    <row r="160" spans="1:36" s="189" customFormat="1" ht="19.5" customHeight="1" x14ac:dyDescent="0.3">
      <c r="A160" s="100"/>
      <c r="B160" s="173"/>
      <c r="C160" s="174"/>
      <c r="D160" s="188"/>
      <c r="E160" s="175"/>
      <c r="F160" s="116"/>
      <c r="G160" s="116"/>
      <c r="H160" s="163"/>
      <c r="I160" s="151"/>
      <c r="J160" s="118"/>
      <c r="K160" s="162"/>
      <c r="L160" s="162"/>
      <c r="M160" s="162"/>
      <c r="N160" s="164"/>
      <c r="O160" s="165"/>
      <c r="P160" s="165"/>
      <c r="Q160" s="165"/>
      <c r="R160" s="166"/>
      <c r="S160" s="121"/>
      <c r="T160" s="155"/>
      <c r="U160" s="100"/>
      <c r="V160" s="100"/>
      <c r="W160" s="100"/>
      <c r="X160" s="100"/>
      <c r="Y160" s="100"/>
      <c r="Z160" s="100"/>
      <c r="AA160" s="100"/>
      <c r="AB160" s="100"/>
      <c r="AC160" s="100"/>
      <c r="AD160" s="100"/>
      <c r="AE160" s="100"/>
      <c r="AF160" s="100"/>
      <c r="AG160" s="100"/>
      <c r="AH160" s="100"/>
      <c r="AI160" s="100"/>
      <c r="AJ160" s="100"/>
    </row>
    <row r="161" spans="1:36" s="189" customFormat="1" ht="19.5" customHeight="1" x14ac:dyDescent="0.3">
      <c r="A161" s="100"/>
      <c r="B161" s="173"/>
      <c r="C161" s="174"/>
      <c r="D161" s="188"/>
      <c r="E161" s="175"/>
      <c r="F161" s="116"/>
      <c r="G161" s="116"/>
      <c r="H161" s="163"/>
      <c r="I161" s="151"/>
      <c r="J161" s="118"/>
      <c r="K161" s="162"/>
      <c r="L161" s="162"/>
      <c r="M161" s="162"/>
      <c r="N161" s="164"/>
      <c r="O161" s="165"/>
      <c r="P161" s="165"/>
      <c r="Q161" s="165"/>
      <c r="R161" s="166"/>
      <c r="S161" s="121"/>
      <c r="T161" s="155"/>
      <c r="U161" s="100"/>
      <c r="V161" s="100"/>
      <c r="W161" s="100"/>
      <c r="X161" s="100"/>
      <c r="Y161" s="100"/>
      <c r="Z161" s="100"/>
      <c r="AA161" s="100"/>
      <c r="AB161" s="100"/>
      <c r="AC161" s="100"/>
      <c r="AD161" s="100"/>
      <c r="AE161" s="100"/>
      <c r="AF161" s="100"/>
      <c r="AG161" s="100"/>
      <c r="AH161" s="100"/>
      <c r="AI161" s="100"/>
      <c r="AJ161" s="100"/>
    </row>
    <row r="162" spans="1:36" s="189" customFormat="1" ht="19.5" customHeight="1" x14ac:dyDescent="0.3">
      <c r="A162" s="100"/>
      <c r="B162" s="173"/>
      <c r="C162" s="174"/>
      <c r="D162" s="188"/>
      <c r="E162" s="175"/>
      <c r="F162" s="116"/>
      <c r="G162" s="116"/>
      <c r="H162" s="163"/>
      <c r="I162" s="151"/>
      <c r="J162" s="118"/>
      <c r="K162" s="162"/>
      <c r="L162" s="162"/>
      <c r="M162" s="162"/>
      <c r="N162" s="164"/>
      <c r="O162" s="165"/>
      <c r="P162" s="165"/>
      <c r="Q162" s="165"/>
      <c r="R162" s="166"/>
      <c r="S162" s="121"/>
      <c r="T162" s="155"/>
      <c r="U162" s="100"/>
      <c r="V162" s="100"/>
      <c r="W162" s="100"/>
      <c r="X162" s="100"/>
      <c r="Y162" s="100"/>
      <c r="Z162" s="100"/>
      <c r="AA162" s="100"/>
      <c r="AB162" s="100"/>
      <c r="AC162" s="100"/>
      <c r="AD162" s="100"/>
      <c r="AE162" s="100"/>
      <c r="AF162" s="100"/>
      <c r="AG162" s="100"/>
      <c r="AH162" s="100"/>
      <c r="AI162" s="100"/>
      <c r="AJ162" s="100"/>
    </row>
    <row r="163" spans="1:36" s="189" customFormat="1" ht="19.5" customHeight="1" x14ac:dyDescent="0.3">
      <c r="A163" s="100"/>
      <c r="B163" s="176"/>
      <c r="C163" s="174"/>
      <c r="D163" s="188"/>
      <c r="E163" s="174"/>
      <c r="F163" s="116"/>
      <c r="G163" s="163"/>
      <c r="H163" s="163"/>
      <c r="I163" s="151"/>
      <c r="J163" s="118"/>
      <c r="K163" s="162"/>
      <c r="L163" s="162"/>
      <c r="M163" s="162"/>
      <c r="N163" s="164"/>
      <c r="O163" s="165"/>
      <c r="P163" s="165"/>
      <c r="Q163" s="165"/>
      <c r="R163" s="166"/>
      <c r="S163" s="121"/>
      <c r="T163" s="155"/>
      <c r="U163" s="100"/>
      <c r="V163" s="100"/>
      <c r="W163" s="100"/>
      <c r="X163" s="100"/>
      <c r="Y163" s="100"/>
      <c r="Z163" s="100"/>
      <c r="AA163" s="100"/>
      <c r="AB163" s="100"/>
      <c r="AC163" s="100"/>
      <c r="AD163" s="100"/>
      <c r="AE163" s="100"/>
      <c r="AF163" s="100"/>
      <c r="AG163" s="100"/>
      <c r="AH163" s="100"/>
      <c r="AI163" s="100"/>
      <c r="AJ163" s="100"/>
    </row>
    <row r="164" spans="1:36" s="189" customFormat="1" ht="19.5" customHeight="1" x14ac:dyDescent="0.3">
      <c r="A164" s="100"/>
      <c r="B164" s="176"/>
      <c r="C164" s="174"/>
      <c r="D164" s="188"/>
      <c r="E164" s="174"/>
      <c r="F164" s="116"/>
      <c r="G164" s="163"/>
      <c r="H164" s="163"/>
      <c r="I164" s="151"/>
      <c r="J164" s="118"/>
      <c r="K164" s="162"/>
      <c r="L164" s="162"/>
      <c r="M164" s="162"/>
      <c r="N164" s="164"/>
      <c r="O164" s="165"/>
      <c r="P164" s="165"/>
      <c r="Q164" s="165"/>
      <c r="R164" s="166"/>
      <c r="S164" s="121"/>
      <c r="T164" s="155"/>
      <c r="U164" s="100"/>
      <c r="V164" s="100"/>
      <c r="W164" s="100"/>
      <c r="X164" s="100"/>
      <c r="Y164" s="100"/>
      <c r="Z164" s="100"/>
      <c r="AA164" s="100"/>
      <c r="AB164" s="100"/>
      <c r="AC164" s="100"/>
      <c r="AD164" s="100"/>
      <c r="AE164" s="100"/>
      <c r="AF164" s="100"/>
      <c r="AG164" s="100"/>
      <c r="AH164" s="100"/>
      <c r="AI164" s="100"/>
      <c r="AJ164" s="100"/>
    </row>
    <row r="165" spans="1:36" s="189" customFormat="1" ht="19.5" customHeight="1" x14ac:dyDescent="0.3">
      <c r="A165" s="100"/>
      <c r="B165" s="176"/>
      <c r="C165" s="174"/>
      <c r="D165" s="188"/>
      <c r="E165" s="174"/>
      <c r="F165" s="116"/>
      <c r="G165" s="163"/>
      <c r="H165" s="163"/>
      <c r="I165" s="151"/>
      <c r="J165" s="118"/>
      <c r="K165" s="162"/>
      <c r="L165" s="162"/>
      <c r="M165" s="162"/>
      <c r="N165" s="164"/>
      <c r="O165" s="165"/>
      <c r="P165" s="165"/>
      <c r="Q165" s="165"/>
      <c r="R165" s="166"/>
      <c r="S165" s="121"/>
      <c r="T165" s="155"/>
      <c r="U165" s="100"/>
      <c r="V165" s="100"/>
      <c r="W165" s="100"/>
      <c r="X165" s="100"/>
      <c r="Y165" s="100"/>
      <c r="Z165" s="100"/>
      <c r="AA165" s="100"/>
      <c r="AB165" s="100"/>
      <c r="AC165" s="100"/>
      <c r="AD165" s="100"/>
      <c r="AE165" s="100"/>
      <c r="AF165" s="100"/>
      <c r="AG165" s="100"/>
      <c r="AH165" s="100"/>
      <c r="AI165" s="100"/>
      <c r="AJ165" s="100"/>
    </row>
    <row r="166" spans="1:36" s="189" customFormat="1" ht="19.5" customHeight="1" x14ac:dyDescent="0.3">
      <c r="A166" s="100"/>
      <c r="B166" s="176"/>
      <c r="C166" s="174"/>
      <c r="D166" s="188"/>
      <c r="E166" s="174"/>
      <c r="F166" s="116"/>
      <c r="G166" s="163"/>
      <c r="H166" s="163"/>
      <c r="I166" s="151"/>
      <c r="J166" s="118"/>
      <c r="K166" s="162"/>
      <c r="L166" s="162"/>
      <c r="M166" s="162"/>
      <c r="N166" s="164"/>
      <c r="O166" s="165"/>
      <c r="P166" s="165"/>
      <c r="Q166" s="165"/>
      <c r="R166" s="166"/>
      <c r="S166" s="121"/>
      <c r="T166" s="155"/>
      <c r="U166" s="100"/>
      <c r="V166" s="100"/>
      <c r="W166" s="100"/>
      <c r="X166" s="100"/>
      <c r="Y166" s="100"/>
      <c r="Z166" s="100"/>
      <c r="AA166" s="100"/>
      <c r="AB166" s="100"/>
      <c r="AC166" s="100"/>
      <c r="AD166" s="100"/>
      <c r="AE166" s="100"/>
      <c r="AF166" s="100"/>
      <c r="AG166" s="100"/>
      <c r="AH166" s="100"/>
      <c r="AI166" s="100"/>
      <c r="AJ166" s="100"/>
    </row>
    <row r="167" spans="1:36" s="189" customFormat="1" ht="19.5" customHeight="1" x14ac:dyDescent="0.3">
      <c r="A167" s="100"/>
      <c r="B167" s="176"/>
      <c r="C167" s="190"/>
      <c r="D167" s="188"/>
      <c r="E167" s="174"/>
      <c r="F167" s="116"/>
      <c r="G167" s="163"/>
      <c r="H167" s="163"/>
      <c r="I167" s="151"/>
      <c r="J167" s="118"/>
      <c r="K167" s="162"/>
      <c r="L167" s="162"/>
      <c r="M167" s="162"/>
      <c r="N167" s="164"/>
      <c r="O167" s="165"/>
      <c r="P167" s="165"/>
      <c r="Q167" s="165"/>
      <c r="R167" s="166"/>
      <c r="S167" s="121"/>
      <c r="T167" s="155"/>
      <c r="U167" s="100"/>
      <c r="V167" s="100"/>
      <c r="W167" s="100"/>
      <c r="X167" s="100"/>
      <c r="Y167" s="100"/>
      <c r="Z167" s="100"/>
      <c r="AA167" s="100"/>
      <c r="AB167" s="100"/>
      <c r="AC167" s="100"/>
      <c r="AD167" s="100"/>
      <c r="AE167" s="100"/>
      <c r="AF167" s="100"/>
      <c r="AG167" s="100"/>
      <c r="AH167" s="100"/>
      <c r="AI167" s="100"/>
      <c r="AJ167" s="100"/>
    </row>
    <row r="168" spans="1:36" s="189" customFormat="1" ht="19.5" customHeight="1" x14ac:dyDescent="0.3">
      <c r="A168" s="100"/>
      <c r="B168" s="176"/>
      <c r="C168" s="190"/>
      <c r="D168" s="188"/>
      <c r="E168" s="174"/>
      <c r="F168" s="116"/>
      <c r="G168" s="163"/>
      <c r="H168" s="163"/>
      <c r="I168" s="151"/>
      <c r="J168" s="118"/>
      <c r="K168" s="162"/>
      <c r="L168" s="162"/>
      <c r="M168" s="162"/>
      <c r="N168" s="164"/>
      <c r="O168" s="165"/>
      <c r="P168" s="165"/>
      <c r="Q168" s="165"/>
      <c r="R168" s="166"/>
      <c r="S168" s="121"/>
      <c r="T168" s="155"/>
      <c r="U168" s="100"/>
      <c r="V168" s="100"/>
      <c r="W168" s="100"/>
      <c r="X168" s="100"/>
      <c r="Y168" s="100"/>
      <c r="Z168" s="100"/>
      <c r="AA168" s="100"/>
      <c r="AB168" s="100"/>
      <c r="AC168" s="100"/>
      <c r="AD168" s="100"/>
      <c r="AE168" s="100"/>
      <c r="AF168" s="100"/>
      <c r="AG168" s="100"/>
      <c r="AH168" s="100"/>
      <c r="AI168" s="100"/>
      <c r="AJ168" s="100"/>
    </row>
    <row r="169" spans="1:36" s="189" customFormat="1" ht="19.5" customHeight="1" x14ac:dyDescent="0.3">
      <c r="A169" s="100"/>
      <c r="B169" s="176"/>
      <c r="C169" s="191"/>
      <c r="D169" s="188"/>
      <c r="E169" s="174"/>
      <c r="F169" s="116"/>
      <c r="G169" s="163"/>
      <c r="H169" s="163"/>
      <c r="I169" s="151"/>
      <c r="J169" s="118"/>
      <c r="K169" s="162"/>
      <c r="L169" s="162"/>
      <c r="M169" s="162"/>
      <c r="N169" s="164"/>
      <c r="O169" s="165"/>
      <c r="P169" s="165"/>
      <c r="Q169" s="165"/>
      <c r="R169" s="166"/>
      <c r="S169" s="121"/>
      <c r="T169" s="155"/>
      <c r="U169" s="100"/>
      <c r="V169" s="100"/>
      <c r="W169" s="100"/>
      <c r="X169" s="100"/>
      <c r="Y169" s="100"/>
      <c r="Z169" s="100"/>
      <c r="AA169" s="100"/>
      <c r="AB169" s="100"/>
      <c r="AC169" s="100"/>
      <c r="AD169" s="100"/>
      <c r="AE169" s="100"/>
      <c r="AF169" s="100"/>
      <c r="AG169" s="100"/>
      <c r="AH169" s="100"/>
      <c r="AI169" s="100"/>
      <c r="AJ169" s="100"/>
    </row>
    <row r="170" spans="1:36" s="189" customFormat="1" ht="19.5" customHeight="1" x14ac:dyDescent="0.3">
      <c r="A170" s="100"/>
      <c r="B170" s="176"/>
      <c r="C170" s="174"/>
      <c r="D170" s="188"/>
      <c r="E170" s="174"/>
      <c r="F170" s="116"/>
      <c r="G170" s="163"/>
      <c r="H170" s="163"/>
      <c r="I170" s="151"/>
      <c r="J170" s="118"/>
      <c r="K170" s="162"/>
      <c r="L170" s="162"/>
      <c r="M170" s="162"/>
      <c r="N170" s="164"/>
      <c r="O170" s="165"/>
      <c r="P170" s="165"/>
      <c r="Q170" s="165"/>
      <c r="R170" s="166"/>
      <c r="S170" s="121"/>
      <c r="T170" s="155"/>
      <c r="U170" s="100"/>
      <c r="V170" s="100"/>
      <c r="W170" s="100"/>
      <c r="X170" s="100"/>
      <c r="Y170" s="100"/>
      <c r="Z170" s="100"/>
      <c r="AA170" s="100"/>
      <c r="AB170" s="100"/>
      <c r="AC170" s="100"/>
      <c r="AD170" s="100"/>
      <c r="AE170" s="100"/>
      <c r="AF170" s="100"/>
      <c r="AG170" s="100"/>
      <c r="AH170" s="100"/>
      <c r="AI170" s="100"/>
      <c r="AJ170" s="100"/>
    </row>
    <row r="171" spans="1:36" s="189" customFormat="1" ht="19.5" customHeight="1" x14ac:dyDescent="0.3">
      <c r="A171" s="100"/>
      <c r="B171" s="192"/>
      <c r="C171" s="192"/>
      <c r="D171" s="188"/>
      <c r="E171" s="192"/>
      <c r="F171" s="116"/>
      <c r="G171" s="163"/>
      <c r="H171" s="163"/>
      <c r="I171" s="151"/>
      <c r="J171" s="118"/>
      <c r="K171" s="162"/>
      <c r="L171" s="162"/>
      <c r="M171" s="162"/>
      <c r="N171" s="164"/>
      <c r="O171" s="165"/>
      <c r="P171" s="165"/>
      <c r="Q171" s="165"/>
      <c r="R171" s="166"/>
      <c r="S171" s="121"/>
      <c r="T171" s="155"/>
      <c r="U171" s="100"/>
      <c r="V171" s="100"/>
      <c r="W171" s="100"/>
      <c r="X171" s="100"/>
      <c r="Y171" s="100"/>
      <c r="Z171" s="100"/>
      <c r="AA171" s="100"/>
      <c r="AB171" s="100"/>
      <c r="AC171" s="100"/>
      <c r="AD171" s="100"/>
      <c r="AE171" s="100"/>
      <c r="AF171" s="100"/>
      <c r="AG171" s="100"/>
      <c r="AH171" s="100"/>
      <c r="AI171" s="100"/>
      <c r="AJ171" s="100"/>
    </row>
    <row r="172" spans="1:36" s="189" customFormat="1" ht="19.5" customHeight="1" x14ac:dyDescent="0.3">
      <c r="A172" s="100"/>
      <c r="B172" s="192"/>
      <c r="C172" s="192"/>
      <c r="D172" s="188"/>
      <c r="E172" s="192"/>
      <c r="F172" s="116"/>
      <c r="G172" s="163"/>
      <c r="H172" s="163"/>
      <c r="I172" s="151"/>
      <c r="J172" s="118"/>
      <c r="K172" s="162"/>
      <c r="L172" s="162"/>
      <c r="M172" s="162"/>
      <c r="N172" s="164"/>
      <c r="O172" s="165"/>
      <c r="P172" s="165"/>
      <c r="Q172" s="165"/>
      <c r="R172" s="166"/>
      <c r="S172" s="121"/>
      <c r="T172" s="155"/>
      <c r="U172" s="100"/>
      <c r="V172" s="100"/>
      <c r="W172" s="100"/>
      <c r="X172" s="100"/>
      <c r="Y172" s="100"/>
      <c r="Z172" s="100"/>
      <c r="AA172" s="100"/>
      <c r="AB172" s="100"/>
      <c r="AC172" s="100"/>
      <c r="AD172" s="100"/>
      <c r="AE172" s="100"/>
      <c r="AF172" s="100"/>
      <c r="AG172" s="100"/>
      <c r="AH172" s="100"/>
      <c r="AI172" s="100"/>
      <c r="AJ172" s="100"/>
    </row>
    <row r="173" spans="1:36" s="189" customFormat="1" ht="19.5" customHeight="1" x14ac:dyDescent="0.3">
      <c r="A173" s="100"/>
      <c r="B173" s="192"/>
      <c r="C173" s="192"/>
      <c r="D173" s="188"/>
      <c r="E173" s="192"/>
      <c r="F173" s="116"/>
      <c r="G173" s="163"/>
      <c r="H173" s="163"/>
      <c r="I173" s="151"/>
      <c r="J173" s="118"/>
      <c r="K173" s="162"/>
      <c r="L173" s="162"/>
      <c r="M173" s="162"/>
      <c r="N173" s="164"/>
      <c r="O173" s="165"/>
      <c r="P173" s="165"/>
      <c r="Q173" s="165"/>
      <c r="R173" s="166"/>
      <c r="S173" s="121"/>
      <c r="T173" s="155"/>
      <c r="U173" s="100"/>
      <c r="V173" s="100"/>
      <c r="W173" s="100"/>
      <c r="X173" s="100"/>
      <c r="Y173" s="100"/>
      <c r="Z173" s="100"/>
      <c r="AA173" s="100"/>
      <c r="AB173" s="100"/>
      <c r="AC173" s="100"/>
      <c r="AD173" s="100"/>
      <c r="AE173" s="100"/>
      <c r="AF173" s="100"/>
      <c r="AG173" s="100"/>
      <c r="AH173" s="100"/>
      <c r="AI173" s="100"/>
      <c r="AJ173" s="100"/>
    </row>
    <row r="174" spans="1:36" s="189" customFormat="1" ht="19.5" customHeight="1" x14ac:dyDescent="0.3">
      <c r="A174" s="100"/>
      <c r="B174" s="192"/>
      <c r="C174" s="192"/>
      <c r="D174" s="188"/>
      <c r="E174" s="192"/>
      <c r="F174" s="116"/>
      <c r="G174" s="163"/>
      <c r="H174" s="163"/>
      <c r="I174" s="151"/>
      <c r="J174" s="118"/>
      <c r="K174" s="162"/>
      <c r="L174" s="162"/>
      <c r="M174" s="162"/>
      <c r="N174" s="164"/>
      <c r="O174" s="165"/>
      <c r="P174" s="165"/>
      <c r="Q174" s="165"/>
      <c r="R174" s="166"/>
      <c r="S174" s="121"/>
      <c r="T174" s="155"/>
      <c r="U174" s="100"/>
      <c r="V174" s="100"/>
      <c r="W174" s="100"/>
      <c r="X174" s="100"/>
      <c r="Y174" s="100"/>
      <c r="Z174" s="100"/>
      <c r="AA174" s="100"/>
      <c r="AB174" s="100"/>
      <c r="AC174" s="100"/>
      <c r="AD174" s="100"/>
      <c r="AE174" s="100"/>
      <c r="AF174" s="100"/>
      <c r="AG174" s="100"/>
      <c r="AH174" s="100"/>
      <c r="AI174" s="100"/>
      <c r="AJ174" s="100"/>
    </row>
    <row r="175" spans="1:36" s="189" customFormat="1" ht="19.5" customHeight="1" x14ac:dyDescent="0.3">
      <c r="A175" s="100"/>
      <c r="B175" s="192"/>
      <c r="C175" s="192"/>
      <c r="D175" s="188"/>
      <c r="E175" s="193"/>
      <c r="F175" s="116"/>
      <c r="G175" s="163"/>
      <c r="H175" s="163"/>
      <c r="I175" s="151"/>
      <c r="J175" s="118"/>
      <c r="K175" s="162"/>
      <c r="L175" s="162"/>
      <c r="M175" s="162"/>
      <c r="N175" s="164"/>
      <c r="O175" s="165"/>
      <c r="P175" s="165"/>
      <c r="Q175" s="165"/>
      <c r="R175" s="166"/>
      <c r="S175" s="121"/>
      <c r="T175" s="155"/>
      <c r="U175" s="100"/>
      <c r="V175" s="100"/>
      <c r="W175" s="100"/>
      <c r="X175" s="100"/>
      <c r="Y175" s="100"/>
      <c r="Z175" s="100"/>
      <c r="AA175" s="100"/>
      <c r="AB175" s="100"/>
      <c r="AC175" s="100"/>
      <c r="AD175" s="100"/>
      <c r="AE175" s="100"/>
      <c r="AF175" s="100"/>
      <c r="AG175" s="100"/>
      <c r="AH175" s="100"/>
      <c r="AI175" s="100"/>
      <c r="AJ175" s="100"/>
    </row>
    <row r="176" spans="1:36" s="189" customFormat="1" ht="19.5" customHeight="1" x14ac:dyDescent="0.3">
      <c r="A176" s="100"/>
      <c r="B176" s="192"/>
      <c r="C176" s="192"/>
      <c r="D176" s="188"/>
      <c r="E176" s="193"/>
      <c r="F176" s="116"/>
      <c r="G176" s="163"/>
      <c r="H176" s="163"/>
      <c r="I176" s="151"/>
      <c r="J176" s="118"/>
      <c r="K176" s="162"/>
      <c r="L176" s="162"/>
      <c r="M176" s="162"/>
      <c r="N176" s="164"/>
      <c r="O176" s="165"/>
      <c r="P176" s="165"/>
      <c r="Q176" s="165"/>
      <c r="R176" s="166"/>
      <c r="S176" s="121"/>
      <c r="T176" s="155"/>
      <c r="U176" s="100"/>
      <c r="V176" s="100"/>
      <c r="W176" s="100"/>
      <c r="X176" s="100"/>
      <c r="Y176" s="100"/>
      <c r="Z176" s="100"/>
      <c r="AA176" s="100"/>
      <c r="AB176" s="100"/>
      <c r="AC176" s="100"/>
      <c r="AD176" s="100"/>
      <c r="AE176" s="100"/>
      <c r="AF176" s="100"/>
      <c r="AG176" s="100"/>
      <c r="AH176" s="100"/>
      <c r="AI176" s="100"/>
      <c r="AJ176" s="100"/>
    </row>
    <row r="177" spans="1:36" s="189" customFormat="1" ht="19.5" customHeight="1" x14ac:dyDescent="0.3">
      <c r="A177" s="100"/>
      <c r="B177" s="192"/>
      <c r="C177" s="192"/>
      <c r="D177" s="188"/>
      <c r="E177" s="193"/>
      <c r="F177" s="116"/>
      <c r="G177" s="163"/>
      <c r="H177" s="163"/>
      <c r="I177" s="151"/>
      <c r="J177" s="118"/>
      <c r="K177" s="162"/>
      <c r="L177" s="162"/>
      <c r="M177" s="162"/>
      <c r="N177" s="164"/>
      <c r="O177" s="165"/>
      <c r="P177" s="165"/>
      <c r="Q177" s="165"/>
      <c r="R177" s="166"/>
      <c r="S177" s="121"/>
      <c r="T177" s="155"/>
      <c r="U177" s="100"/>
      <c r="V177" s="100"/>
      <c r="W177" s="100"/>
      <c r="X177" s="100"/>
      <c r="Y177" s="100"/>
      <c r="Z177" s="100"/>
      <c r="AA177" s="100"/>
      <c r="AB177" s="100"/>
      <c r="AC177" s="100"/>
      <c r="AD177" s="100"/>
      <c r="AE177" s="100"/>
      <c r="AF177" s="100"/>
      <c r="AG177" s="100"/>
      <c r="AH177" s="100"/>
      <c r="AI177" s="100"/>
      <c r="AJ177" s="100"/>
    </row>
    <row r="178" spans="1:36" s="189" customFormat="1" ht="19.5" customHeight="1" x14ac:dyDescent="0.3">
      <c r="A178" s="100"/>
      <c r="B178" s="192"/>
      <c r="C178" s="192"/>
      <c r="D178" s="188"/>
      <c r="E178" s="193"/>
      <c r="F178" s="116"/>
      <c r="G178" s="163"/>
      <c r="H178" s="163"/>
      <c r="I178" s="151"/>
      <c r="J178" s="118"/>
      <c r="K178" s="162"/>
      <c r="L178" s="162"/>
      <c r="M178" s="162"/>
      <c r="N178" s="164"/>
      <c r="O178" s="165"/>
      <c r="P178" s="165"/>
      <c r="Q178" s="165"/>
      <c r="R178" s="166"/>
      <c r="S178" s="121"/>
      <c r="T178" s="155"/>
      <c r="U178" s="100"/>
      <c r="V178" s="100"/>
      <c r="W178" s="100"/>
      <c r="X178" s="100"/>
      <c r="Y178" s="100"/>
      <c r="Z178" s="100"/>
      <c r="AA178" s="100"/>
      <c r="AB178" s="100"/>
      <c r="AC178" s="100"/>
      <c r="AD178" s="100"/>
      <c r="AE178" s="100"/>
      <c r="AF178" s="100"/>
      <c r="AG178" s="100"/>
      <c r="AH178" s="100"/>
      <c r="AI178" s="100"/>
      <c r="AJ178" s="100"/>
    </row>
    <row r="179" spans="1:36" s="189" customFormat="1" ht="19.5" customHeight="1" x14ac:dyDescent="0.3">
      <c r="A179" s="100"/>
      <c r="B179" s="192"/>
      <c r="C179" s="192"/>
      <c r="D179" s="188"/>
      <c r="E179" s="193"/>
      <c r="F179" s="116"/>
      <c r="G179" s="163"/>
      <c r="H179" s="163"/>
      <c r="I179" s="151"/>
      <c r="J179" s="118"/>
      <c r="K179" s="162"/>
      <c r="L179" s="162"/>
      <c r="M179" s="162"/>
      <c r="N179" s="164"/>
      <c r="O179" s="165"/>
      <c r="P179" s="165"/>
      <c r="Q179" s="165"/>
      <c r="R179" s="166"/>
      <c r="S179" s="121"/>
      <c r="T179" s="155"/>
      <c r="U179" s="100"/>
      <c r="V179" s="100"/>
      <c r="W179" s="100"/>
      <c r="X179" s="100"/>
      <c r="Y179" s="100"/>
      <c r="Z179" s="100"/>
      <c r="AA179" s="100"/>
      <c r="AB179" s="100"/>
      <c r="AC179" s="100"/>
      <c r="AD179" s="100"/>
      <c r="AE179" s="100"/>
      <c r="AF179" s="100"/>
      <c r="AG179" s="100"/>
      <c r="AH179" s="100"/>
      <c r="AI179" s="100"/>
      <c r="AJ179" s="100"/>
    </row>
    <row r="180" spans="1:36" s="189" customFormat="1" ht="19.5" customHeight="1" x14ac:dyDescent="0.3">
      <c r="A180" s="100"/>
      <c r="B180" s="192"/>
      <c r="C180" s="192"/>
      <c r="D180" s="188"/>
      <c r="E180" s="193"/>
      <c r="F180" s="116"/>
      <c r="G180" s="163"/>
      <c r="H180" s="163"/>
      <c r="I180" s="151"/>
      <c r="J180" s="118"/>
      <c r="K180" s="162"/>
      <c r="L180" s="162"/>
      <c r="M180" s="162"/>
      <c r="N180" s="164"/>
      <c r="O180" s="165"/>
      <c r="P180" s="165"/>
      <c r="Q180" s="165"/>
      <c r="R180" s="166"/>
      <c r="S180" s="121"/>
      <c r="T180" s="155"/>
      <c r="U180" s="100"/>
      <c r="V180" s="100"/>
      <c r="W180" s="100"/>
      <c r="X180" s="100"/>
      <c r="Y180" s="100"/>
      <c r="Z180" s="100"/>
      <c r="AA180" s="100"/>
      <c r="AB180" s="100"/>
      <c r="AC180" s="100"/>
      <c r="AD180" s="100"/>
      <c r="AE180" s="100"/>
      <c r="AF180" s="100"/>
      <c r="AG180" s="100"/>
      <c r="AH180" s="100"/>
      <c r="AI180" s="100"/>
      <c r="AJ180" s="100"/>
    </row>
    <row r="181" spans="1:36" s="189" customFormat="1" ht="19.5" customHeight="1" x14ac:dyDescent="0.3">
      <c r="A181" s="100"/>
      <c r="B181" s="192"/>
      <c r="C181" s="192"/>
      <c r="D181" s="188"/>
      <c r="E181" s="193"/>
      <c r="F181" s="116"/>
      <c r="G181" s="163"/>
      <c r="H181" s="163"/>
      <c r="I181" s="151"/>
      <c r="J181" s="118"/>
      <c r="K181" s="162"/>
      <c r="L181" s="162"/>
      <c r="M181" s="162"/>
      <c r="N181" s="164"/>
      <c r="O181" s="165"/>
      <c r="P181" s="165"/>
      <c r="Q181" s="165"/>
      <c r="R181" s="166"/>
      <c r="S181" s="121"/>
      <c r="T181" s="155"/>
      <c r="U181" s="100"/>
      <c r="V181" s="100"/>
      <c r="W181" s="100"/>
      <c r="X181" s="100"/>
      <c r="Y181" s="100"/>
      <c r="Z181" s="100"/>
      <c r="AA181" s="100"/>
      <c r="AB181" s="100"/>
      <c r="AC181" s="100"/>
      <c r="AD181" s="100"/>
      <c r="AE181" s="100"/>
      <c r="AF181" s="100"/>
      <c r="AG181" s="100"/>
      <c r="AH181" s="100"/>
      <c r="AI181" s="100"/>
      <c r="AJ181" s="100"/>
    </row>
    <row r="182" spans="1:36" s="189" customFormat="1" ht="19.5" customHeight="1" x14ac:dyDescent="0.3">
      <c r="A182" s="100"/>
      <c r="B182" s="192"/>
      <c r="C182" s="192"/>
      <c r="D182" s="188"/>
      <c r="E182" s="193"/>
      <c r="F182" s="116"/>
      <c r="G182" s="163"/>
      <c r="H182" s="163"/>
      <c r="I182" s="151"/>
      <c r="J182" s="118"/>
      <c r="K182" s="162"/>
      <c r="L182" s="162"/>
      <c r="M182" s="162"/>
      <c r="N182" s="164"/>
      <c r="O182" s="165"/>
      <c r="P182" s="165"/>
      <c r="Q182" s="165"/>
      <c r="R182" s="166"/>
      <c r="S182" s="121"/>
      <c r="T182" s="155"/>
      <c r="U182" s="100"/>
      <c r="V182" s="100"/>
      <c r="W182" s="100"/>
      <c r="X182" s="100"/>
      <c r="Y182" s="100"/>
      <c r="Z182" s="100"/>
      <c r="AA182" s="100"/>
      <c r="AB182" s="100"/>
      <c r="AC182" s="100"/>
      <c r="AD182" s="100"/>
      <c r="AE182" s="100"/>
      <c r="AF182" s="100"/>
      <c r="AG182" s="100"/>
      <c r="AH182" s="100"/>
      <c r="AI182" s="100"/>
      <c r="AJ182" s="100"/>
    </row>
    <row r="183" spans="1:36" s="189" customFormat="1" ht="19.5" customHeight="1" x14ac:dyDescent="0.3">
      <c r="A183" s="100"/>
      <c r="B183" s="192"/>
      <c r="C183" s="192"/>
      <c r="D183" s="188"/>
      <c r="E183" s="193"/>
      <c r="F183" s="116"/>
      <c r="G183" s="163"/>
      <c r="H183" s="163"/>
      <c r="I183" s="151"/>
      <c r="J183" s="118"/>
      <c r="K183" s="162"/>
      <c r="L183" s="162"/>
      <c r="M183" s="162"/>
      <c r="N183" s="164"/>
      <c r="O183" s="165"/>
      <c r="P183" s="165"/>
      <c r="Q183" s="165"/>
      <c r="R183" s="166"/>
      <c r="S183" s="121"/>
      <c r="T183" s="155"/>
      <c r="U183" s="100"/>
      <c r="V183" s="100"/>
      <c r="W183" s="100"/>
      <c r="X183" s="100"/>
      <c r="Y183" s="100"/>
      <c r="Z183" s="100"/>
      <c r="AA183" s="100"/>
      <c r="AB183" s="100"/>
      <c r="AC183" s="100"/>
      <c r="AD183" s="100"/>
      <c r="AE183" s="100"/>
      <c r="AF183" s="100"/>
      <c r="AG183" s="100"/>
      <c r="AH183" s="100"/>
      <c r="AI183" s="100"/>
      <c r="AJ183" s="100"/>
    </row>
    <row r="184" spans="1:36" s="189" customFormat="1" ht="19.5" customHeight="1" x14ac:dyDescent="0.3">
      <c r="A184" s="100"/>
      <c r="B184" s="192"/>
      <c r="C184" s="192"/>
      <c r="D184" s="188"/>
      <c r="E184" s="193"/>
      <c r="F184" s="116"/>
      <c r="G184" s="163"/>
      <c r="H184" s="163"/>
      <c r="I184" s="151"/>
      <c r="J184" s="118"/>
      <c r="K184" s="162"/>
      <c r="L184" s="162"/>
      <c r="M184" s="162"/>
      <c r="N184" s="164"/>
      <c r="O184" s="165"/>
      <c r="P184" s="165"/>
      <c r="Q184" s="165"/>
      <c r="R184" s="166"/>
      <c r="S184" s="121"/>
      <c r="T184" s="155"/>
      <c r="U184" s="100"/>
      <c r="V184" s="100"/>
      <c r="W184" s="100"/>
      <c r="X184" s="100"/>
      <c r="Y184" s="100"/>
      <c r="Z184" s="100"/>
      <c r="AA184" s="100"/>
      <c r="AB184" s="100"/>
      <c r="AC184" s="100"/>
      <c r="AD184" s="100"/>
      <c r="AE184" s="100"/>
      <c r="AF184" s="100"/>
      <c r="AG184" s="100"/>
      <c r="AH184" s="100"/>
      <c r="AI184" s="100"/>
      <c r="AJ184" s="100"/>
    </row>
    <row r="185" spans="1:36" s="189" customFormat="1" ht="19.5" customHeight="1" x14ac:dyDescent="0.3">
      <c r="A185" s="100"/>
      <c r="B185" s="192"/>
      <c r="C185" s="192"/>
      <c r="D185" s="188"/>
      <c r="E185" s="193"/>
      <c r="F185" s="116"/>
      <c r="G185" s="163"/>
      <c r="H185" s="163"/>
      <c r="I185" s="151"/>
      <c r="J185" s="118"/>
      <c r="K185" s="162"/>
      <c r="L185" s="162"/>
      <c r="M185" s="162"/>
      <c r="N185" s="164"/>
      <c r="O185" s="165"/>
      <c r="P185" s="165"/>
      <c r="Q185" s="165"/>
      <c r="R185" s="166"/>
      <c r="S185" s="121"/>
      <c r="T185" s="155"/>
      <c r="U185" s="100"/>
      <c r="V185" s="100"/>
      <c r="W185" s="100"/>
      <c r="X185" s="100"/>
      <c r="Y185" s="100"/>
      <c r="Z185" s="100"/>
      <c r="AA185" s="100"/>
      <c r="AB185" s="100"/>
      <c r="AC185" s="100"/>
      <c r="AD185" s="100"/>
      <c r="AE185" s="100"/>
      <c r="AF185" s="100"/>
      <c r="AG185" s="100"/>
      <c r="AH185" s="100"/>
      <c r="AI185" s="100"/>
      <c r="AJ185" s="100"/>
    </row>
    <row r="186" spans="1:36" s="189" customFormat="1" ht="19.5" customHeight="1" x14ac:dyDescent="0.3">
      <c r="A186" s="100"/>
      <c r="B186" s="192"/>
      <c r="C186" s="192"/>
      <c r="D186" s="188"/>
      <c r="E186" s="193"/>
      <c r="F186" s="116"/>
      <c r="G186" s="163"/>
      <c r="H186" s="163"/>
      <c r="I186" s="151"/>
      <c r="J186" s="118"/>
      <c r="K186" s="162"/>
      <c r="L186" s="162"/>
      <c r="M186" s="162"/>
      <c r="N186" s="164"/>
      <c r="O186" s="165"/>
      <c r="P186" s="165"/>
      <c r="Q186" s="165"/>
      <c r="R186" s="166"/>
      <c r="S186" s="121"/>
      <c r="T186" s="155"/>
      <c r="U186" s="100"/>
      <c r="V186" s="100"/>
      <c r="W186" s="100"/>
      <c r="X186" s="100"/>
      <c r="Y186" s="100"/>
      <c r="Z186" s="100"/>
      <c r="AA186" s="100"/>
      <c r="AB186" s="100"/>
      <c r="AC186" s="100"/>
      <c r="AD186" s="100"/>
      <c r="AE186" s="100"/>
      <c r="AF186" s="100"/>
      <c r="AG186" s="100"/>
      <c r="AH186" s="100"/>
      <c r="AI186" s="100"/>
      <c r="AJ186" s="100"/>
    </row>
    <row r="187" spans="1:36" s="189" customFormat="1" ht="19.5" customHeight="1" x14ac:dyDescent="0.3">
      <c r="A187" s="100"/>
      <c r="B187" s="194"/>
      <c r="C187" s="84"/>
      <c r="D187" s="188"/>
      <c r="E187" s="84"/>
      <c r="F187" s="116"/>
      <c r="G187" s="163"/>
      <c r="H187" s="163"/>
      <c r="I187" s="151"/>
      <c r="J187" s="118"/>
      <c r="K187" s="162"/>
      <c r="L187" s="162"/>
      <c r="M187" s="162"/>
      <c r="N187" s="164"/>
      <c r="O187" s="165"/>
      <c r="P187" s="165"/>
      <c r="Q187" s="165"/>
      <c r="R187" s="166"/>
      <c r="S187" s="121"/>
      <c r="T187" s="155"/>
      <c r="U187" s="100"/>
      <c r="V187" s="100"/>
      <c r="W187" s="100"/>
      <c r="X187" s="100"/>
      <c r="Y187" s="100"/>
      <c r="Z187" s="100"/>
      <c r="AA187" s="100"/>
      <c r="AB187" s="100"/>
      <c r="AC187" s="100"/>
      <c r="AD187" s="100"/>
      <c r="AE187" s="100"/>
      <c r="AF187" s="100"/>
      <c r="AG187" s="100"/>
      <c r="AH187" s="100"/>
      <c r="AI187" s="100"/>
      <c r="AJ187" s="100"/>
    </row>
    <row r="188" spans="1:36" s="189" customFormat="1" ht="19.5" customHeight="1" x14ac:dyDescent="0.3">
      <c r="A188" s="100"/>
      <c r="B188" s="194"/>
      <c r="C188" s="84"/>
      <c r="D188" s="188"/>
      <c r="E188" s="84"/>
      <c r="F188" s="116"/>
      <c r="G188" s="163"/>
      <c r="H188" s="163"/>
      <c r="I188" s="151"/>
      <c r="J188" s="118"/>
      <c r="K188" s="162"/>
      <c r="L188" s="162"/>
      <c r="M188" s="162"/>
      <c r="N188" s="164"/>
      <c r="O188" s="165"/>
      <c r="P188" s="165"/>
      <c r="Q188" s="165"/>
      <c r="R188" s="166"/>
      <c r="S188" s="121"/>
      <c r="T188" s="155"/>
      <c r="U188" s="100"/>
      <c r="V188" s="100"/>
      <c r="W188" s="100"/>
      <c r="X188" s="100"/>
      <c r="Y188" s="100"/>
      <c r="Z188" s="100"/>
      <c r="AA188" s="100"/>
      <c r="AB188" s="100"/>
      <c r="AC188" s="100"/>
      <c r="AD188" s="100"/>
      <c r="AE188" s="100"/>
      <c r="AF188" s="100"/>
      <c r="AG188" s="100"/>
      <c r="AH188" s="100"/>
      <c r="AI188" s="100"/>
      <c r="AJ188" s="100"/>
    </row>
    <row r="189" spans="1:36" s="189" customFormat="1" ht="19.5" customHeight="1" x14ac:dyDescent="0.3">
      <c r="A189" s="100"/>
      <c r="B189" s="192"/>
      <c r="C189" s="192"/>
      <c r="D189" s="188"/>
      <c r="E189" s="84"/>
      <c r="F189" s="116"/>
      <c r="G189" s="163"/>
      <c r="H189" s="163"/>
      <c r="I189" s="151"/>
      <c r="J189" s="118"/>
      <c r="K189" s="162"/>
      <c r="L189" s="162"/>
      <c r="M189" s="162"/>
      <c r="N189" s="164"/>
      <c r="O189" s="165"/>
      <c r="P189" s="165"/>
      <c r="Q189" s="165"/>
      <c r="R189" s="166"/>
      <c r="S189" s="121"/>
      <c r="T189" s="155"/>
      <c r="U189" s="100"/>
      <c r="V189" s="100"/>
      <c r="W189" s="100"/>
      <c r="X189" s="100"/>
      <c r="Y189" s="100"/>
      <c r="Z189" s="100"/>
      <c r="AA189" s="100"/>
      <c r="AB189" s="100"/>
      <c r="AC189" s="100"/>
      <c r="AD189" s="100"/>
      <c r="AE189" s="100"/>
      <c r="AF189" s="100"/>
      <c r="AG189" s="100"/>
      <c r="AH189" s="100"/>
      <c r="AI189" s="100"/>
      <c r="AJ189" s="100"/>
    </row>
    <row r="190" spans="1:36" s="189" customFormat="1" ht="19.5" customHeight="1" x14ac:dyDescent="0.3">
      <c r="A190" s="100"/>
      <c r="B190" s="192"/>
      <c r="C190" s="192"/>
      <c r="D190" s="188"/>
      <c r="E190" s="192"/>
      <c r="F190" s="116"/>
      <c r="G190" s="163"/>
      <c r="H190" s="163"/>
      <c r="I190" s="151"/>
      <c r="J190" s="118"/>
      <c r="K190" s="162"/>
      <c r="L190" s="162"/>
      <c r="M190" s="162"/>
      <c r="N190" s="164"/>
      <c r="O190" s="165"/>
      <c r="P190" s="165"/>
      <c r="Q190" s="165"/>
      <c r="R190" s="166"/>
      <c r="S190" s="121"/>
      <c r="T190" s="155"/>
      <c r="U190" s="100"/>
      <c r="V190" s="100"/>
      <c r="W190" s="100"/>
      <c r="X190" s="100"/>
      <c r="Y190" s="100"/>
      <c r="Z190" s="100"/>
      <c r="AA190" s="100"/>
      <c r="AB190" s="100"/>
      <c r="AC190" s="100"/>
      <c r="AD190" s="100"/>
      <c r="AE190" s="100"/>
      <c r="AF190" s="100"/>
      <c r="AG190" s="100"/>
      <c r="AH190" s="100"/>
      <c r="AI190" s="100"/>
      <c r="AJ190" s="100"/>
    </row>
    <row r="191" spans="1:36" s="148" customFormat="1" ht="19.5" customHeight="1" x14ac:dyDescent="0.3">
      <c r="A191" s="138"/>
      <c r="B191" s="139"/>
      <c r="C191" s="139"/>
      <c r="D191" s="143"/>
      <c r="E191" s="158"/>
      <c r="F191" s="158"/>
      <c r="G191" s="158"/>
      <c r="H191" s="158"/>
      <c r="I191" s="142"/>
      <c r="J191" s="143"/>
      <c r="K191" s="143"/>
      <c r="L191" s="143"/>
      <c r="M191" s="143"/>
      <c r="N191" s="159"/>
      <c r="O191" s="145"/>
      <c r="P191" s="145"/>
      <c r="Q191" s="145"/>
      <c r="R191" s="146"/>
      <c r="S191" s="147"/>
      <c r="T191" s="155"/>
      <c r="U191" s="138"/>
      <c r="V191" s="138"/>
      <c r="W191" s="138"/>
      <c r="X191" s="138"/>
      <c r="Y191" s="138"/>
      <c r="Z191" s="138"/>
      <c r="AA191" s="138"/>
      <c r="AB191" s="138"/>
      <c r="AC191" s="138"/>
      <c r="AD191" s="138"/>
      <c r="AE191" s="138"/>
      <c r="AF191" s="138"/>
      <c r="AG191" s="138"/>
      <c r="AH191" s="138"/>
      <c r="AI191" s="138"/>
      <c r="AJ191" s="138"/>
    </row>
    <row r="192" spans="1:36" ht="19.5" customHeight="1" x14ac:dyDescent="0.3">
      <c r="A192" s="76"/>
      <c r="B192" s="195"/>
      <c r="C192" s="196"/>
      <c r="D192" s="162"/>
      <c r="E192" s="196"/>
      <c r="F192" s="116"/>
      <c r="G192" s="116"/>
      <c r="H192" s="163"/>
      <c r="I192" s="151"/>
      <c r="J192" s="127"/>
      <c r="K192" s="162"/>
      <c r="L192" s="162"/>
      <c r="M192" s="162"/>
      <c r="N192" s="164"/>
      <c r="O192" s="165"/>
      <c r="P192" s="165"/>
      <c r="Q192" s="165"/>
      <c r="R192" s="166"/>
      <c r="S192" s="83"/>
      <c r="T192" s="155"/>
      <c r="U192" s="76"/>
      <c r="V192" s="76"/>
      <c r="W192" s="76"/>
      <c r="X192" s="76"/>
      <c r="Y192" s="76"/>
      <c r="Z192" s="76"/>
      <c r="AA192" s="76"/>
      <c r="AB192" s="76"/>
      <c r="AC192" s="76"/>
      <c r="AD192" s="76"/>
      <c r="AE192" s="76"/>
      <c r="AF192" s="76"/>
      <c r="AG192" s="76"/>
      <c r="AH192" s="76"/>
      <c r="AI192" s="76"/>
      <c r="AJ192" s="76"/>
    </row>
    <row r="193" spans="1:36" ht="19.5" customHeight="1" x14ac:dyDescent="0.3">
      <c r="A193" s="76"/>
      <c r="B193" s="149"/>
      <c r="C193" s="150"/>
      <c r="D193" s="162"/>
      <c r="E193" s="150"/>
      <c r="F193" s="116"/>
      <c r="G193" s="116"/>
      <c r="H193" s="163"/>
      <c r="I193" s="151"/>
      <c r="J193" s="127"/>
      <c r="K193" s="162"/>
      <c r="L193" s="162"/>
      <c r="M193" s="162"/>
      <c r="N193" s="164"/>
      <c r="O193" s="165"/>
      <c r="P193" s="165"/>
      <c r="Q193" s="165"/>
      <c r="R193" s="166"/>
      <c r="S193" s="83"/>
      <c r="T193" s="155"/>
      <c r="U193" s="76"/>
      <c r="V193" s="76"/>
      <c r="W193" s="76"/>
      <c r="X193" s="76"/>
      <c r="Y193" s="76"/>
      <c r="Z193" s="76"/>
      <c r="AA193" s="76"/>
      <c r="AB193" s="76"/>
      <c r="AC193" s="76"/>
      <c r="AD193" s="76"/>
      <c r="AE193" s="76"/>
      <c r="AF193" s="76"/>
      <c r="AG193" s="76"/>
      <c r="AH193" s="76"/>
      <c r="AI193" s="76"/>
      <c r="AJ193" s="76"/>
    </row>
    <row r="194" spans="1:36" ht="19.5" customHeight="1" x14ac:dyDescent="0.3">
      <c r="A194" s="76"/>
      <c r="B194" s="149"/>
      <c r="C194" s="150"/>
      <c r="D194" s="162"/>
      <c r="E194" s="150"/>
      <c r="F194" s="116"/>
      <c r="G194" s="116"/>
      <c r="H194" s="163"/>
      <c r="I194" s="151"/>
      <c r="J194" s="127"/>
      <c r="K194" s="162"/>
      <c r="L194" s="162"/>
      <c r="M194" s="162"/>
      <c r="N194" s="164"/>
      <c r="O194" s="165"/>
      <c r="P194" s="165"/>
      <c r="Q194" s="165"/>
      <c r="R194" s="166"/>
      <c r="S194" s="83"/>
      <c r="T194" s="155"/>
      <c r="U194" s="76"/>
      <c r="V194" s="76"/>
      <c r="W194" s="76"/>
      <c r="X194" s="76"/>
      <c r="Y194" s="76"/>
      <c r="Z194" s="76"/>
      <c r="AA194" s="76"/>
      <c r="AB194" s="76"/>
      <c r="AC194" s="76"/>
      <c r="AD194" s="76"/>
      <c r="AE194" s="76"/>
      <c r="AF194" s="76"/>
      <c r="AG194" s="76"/>
      <c r="AH194" s="76"/>
      <c r="AI194" s="76"/>
      <c r="AJ194" s="76"/>
    </row>
    <row r="195" spans="1:36" ht="19.5" customHeight="1" x14ac:dyDescent="0.3">
      <c r="A195" s="76"/>
      <c r="B195" s="149"/>
      <c r="C195" s="150"/>
      <c r="D195" s="162"/>
      <c r="E195" s="150"/>
      <c r="F195" s="116"/>
      <c r="G195" s="116"/>
      <c r="H195" s="163"/>
      <c r="I195" s="151"/>
      <c r="J195" s="127"/>
      <c r="K195" s="162"/>
      <c r="L195" s="162"/>
      <c r="M195" s="162"/>
      <c r="N195" s="164"/>
      <c r="O195" s="165"/>
      <c r="P195" s="165"/>
      <c r="Q195" s="165"/>
      <c r="R195" s="166"/>
      <c r="S195" s="83"/>
      <c r="T195" s="155"/>
      <c r="U195" s="76"/>
      <c r="V195" s="76"/>
      <c r="W195" s="76"/>
      <c r="X195" s="76"/>
      <c r="Y195" s="76"/>
      <c r="Z195" s="76"/>
      <c r="AA195" s="76"/>
      <c r="AB195" s="76"/>
      <c r="AC195" s="76"/>
      <c r="AD195" s="76"/>
      <c r="AE195" s="76"/>
      <c r="AF195" s="76"/>
      <c r="AG195" s="76"/>
      <c r="AH195" s="76"/>
      <c r="AI195" s="76"/>
      <c r="AJ195" s="76"/>
    </row>
    <row r="196" spans="1:36" ht="19.5" customHeight="1" x14ac:dyDescent="0.3">
      <c r="A196" s="76"/>
      <c r="B196" s="149"/>
      <c r="C196" s="150"/>
      <c r="D196" s="162"/>
      <c r="E196" s="150"/>
      <c r="F196" s="116"/>
      <c r="G196" s="116"/>
      <c r="H196" s="163"/>
      <c r="I196" s="151"/>
      <c r="J196" s="127"/>
      <c r="K196" s="162"/>
      <c r="L196" s="162"/>
      <c r="M196" s="162"/>
      <c r="N196" s="164"/>
      <c r="O196" s="165"/>
      <c r="P196" s="165"/>
      <c r="Q196" s="165"/>
      <c r="R196" s="166"/>
      <c r="S196" s="83"/>
      <c r="T196" s="155"/>
      <c r="U196" s="76"/>
      <c r="V196" s="76"/>
      <c r="W196" s="76"/>
      <c r="X196" s="76"/>
      <c r="Y196" s="76"/>
      <c r="Z196" s="76"/>
      <c r="AA196" s="76"/>
      <c r="AB196" s="76"/>
      <c r="AC196" s="76"/>
      <c r="AD196" s="76"/>
      <c r="AE196" s="76"/>
      <c r="AF196" s="76"/>
      <c r="AG196" s="76"/>
      <c r="AH196" s="76"/>
      <c r="AI196" s="76"/>
      <c r="AJ196" s="76"/>
    </row>
    <row r="197" spans="1:36" ht="19.5" customHeight="1" x14ac:dyDescent="0.3">
      <c r="A197" s="76"/>
      <c r="B197" s="149"/>
      <c r="C197" s="150"/>
      <c r="D197" s="162"/>
      <c r="E197" s="150"/>
      <c r="F197" s="116"/>
      <c r="G197" s="116"/>
      <c r="H197" s="163"/>
      <c r="I197" s="151"/>
      <c r="J197" s="127"/>
      <c r="K197" s="162"/>
      <c r="L197" s="162"/>
      <c r="M197" s="162"/>
      <c r="N197" s="164"/>
      <c r="O197" s="165"/>
      <c r="P197" s="165"/>
      <c r="Q197" s="165"/>
      <c r="R197" s="166"/>
      <c r="S197" s="83"/>
      <c r="T197" s="155"/>
      <c r="U197" s="76"/>
      <c r="V197" s="76"/>
      <c r="W197" s="76"/>
      <c r="X197" s="76"/>
      <c r="Y197" s="76"/>
      <c r="Z197" s="76"/>
      <c r="AA197" s="76"/>
      <c r="AB197" s="76"/>
      <c r="AC197" s="76"/>
      <c r="AD197" s="76"/>
      <c r="AE197" s="76"/>
      <c r="AF197" s="76"/>
      <c r="AG197" s="76"/>
      <c r="AH197" s="76"/>
      <c r="AI197" s="76"/>
      <c r="AJ197" s="76"/>
    </row>
    <row r="198" spans="1:36" ht="19.5" customHeight="1" x14ac:dyDescent="0.3">
      <c r="A198" s="76"/>
      <c r="B198" s="162"/>
      <c r="C198" s="162"/>
      <c r="D198" s="162"/>
      <c r="E198" s="163"/>
      <c r="F198" s="116"/>
      <c r="G198" s="163"/>
      <c r="H198" s="163"/>
      <c r="I198" s="151"/>
      <c r="J198" s="127"/>
      <c r="K198" s="162"/>
      <c r="L198" s="162"/>
      <c r="M198" s="162"/>
      <c r="N198" s="164"/>
      <c r="O198" s="165"/>
      <c r="P198" s="165"/>
      <c r="Q198" s="165"/>
      <c r="R198" s="166"/>
      <c r="S198" s="83"/>
      <c r="T198" s="155"/>
      <c r="U198" s="76"/>
      <c r="V198" s="76"/>
      <c r="W198" s="76"/>
      <c r="X198" s="76"/>
      <c r="Y198" s="76"/>
      <c r="Z198" s="76"/>
      <c r="AA198" s="76"/>
      <c r="AB198" s="76"/>
      <c r="AC198" s="76"/>
      <c r="AD198" s="76"/>
      <c r="AE198" s="76"/>
      <c r="AF198" s="76"/>
      <c r="AG198" s="76"/>
      <c r="AH198" s="76"/>
      <c r="AI198" s="76"/>
      <c r="AJ198" s="76"/>
    </row>
    <row r="199" spans="1:36" s="148" customFormat="1" ht="19.5" customHeight="1" x14ac:dyDescent="0.3">
      <c r="A199" s="138"/>
      <c r="B199" s="139"/>
      <c r="C199" s="139"/>
      <c r="D199" s="143"/>
      <c r="E199" s="158"/>
      <c r="F199" s="158"/>
      <c r="G199" s="158"/>
      <c r="H199" s="158"/>
      <c r="I199" s="142"/>
      <c r="J199" s="143"/>
      <c r="K199" s="143"/>
      <c r="L199" s="143"/>
      <c r="M199" s="143"/>
      <c r="N199" s="159"/>
      <c r="O199" s="145"/>
      <c r="P199" s="145"/>
      <c r="Q199" s="145"/>
      <c r="R199" s="146"/>
      <c r="S199" s="147"/>
      <c r="T199" s="155"/>
      <c r="U199" s="138"/>
      <c r="V199" s="138"/>
      <c r="W199" s="138"/>
      <c r="X199" s="138"/>
      <c r="Y199" s="138"/>
      <c r="Z199" s="138"/>
      <c r="AA199" s="138"/>
      <c r="AB199" s="138"/>
      <c r="AC199" s="138"/>
      <c r="AD199" s="138"/>
      <c r="AE199" s="138"/>
      <c r="AF199" s="138"/>
      <c r="AG199" s="138"/>
      <c r="AH199" s="138"/>
      <c r="AI199" s="138"/>
      <c r="AJ199" s="138"/>
    </row>
    <row r="200" spans="1:36" ht="19.5" customHeight="1" x14ac:dyDescent="0.3">
      <c r="A200" s="100"/>
      <c r="B200" s="173"/>
      <c r="C200" s="174"/>
      <c r="D200" s="186"/>
      <c r="E200" s="175"/>
      <c r="F200" s="116"/>
      <c r="G200" s="116"/>
      <c r="H200" s="163"/>
      <c r="I200" s="151"/>
      <c r="J200" s="118"/>
      <c r="K200" s="162"/>
      <c r="L200" s="162"/>
      <c r="M200" s="162"/>
      <c r="N200" s="164"/>
      <c r="O200" s="165"/>
      <c r="P200" s="165"/>
      <c r="Q200" s="165"/>
      <c r="R200" s="166"/>
      <c r="S200" s="121"/>
      <c r="T200" s="155"/>
      <c r="U200" s="100"/>
      <c r="V200" s="100"/>
      <c r="W200" s="100"/>
      <c r="X200" s="100"/>
      <c r="Y200" s="100"/>
      <c r="Z200" s="100"/>
      <c r="AA200" s="100"/>
      <c r="AB200" s="100"/>
      <c r="AC200" s="100"/>
      <c r="AD200" s="100"/>
      <c r="AE200" s="100"/>
      <c r="AF200" s="100"/>
      <c r="AG200" s="100"/>
      <c r="AH200" s="100"/>
      <c r="AI200" s="100"/>
      <c r="AJ200" s="100"/>
    </row>
    <row r="201" spans="1:36" ht="19.5" customHeight="1" x14ac:dyDescent="0.3">
      <c r="A201" s="100"/>
      <c r="B201" s="173"/>
      <c r="C201" s="174"/>
      <c r="D201" s="186"/>
      <c r="E201" s="175"/>
      <c r="F201" s="116"/>
      <c r="G201" s="116"/>
      <c r="H201" s="163"/>
      <c r="I201" s="151"/>
      <c r="J201" s="118"/>
      <c r="K201" s="162"/>
      <c r="L201" s="162"/>
      <c r="M201" s="162"/>
      <c r="N201" s="164"/>
      <c r="O201" s="165"/>
      <c r="P201" s="165"/>
      <c r="Q201" s="165"/>
      <c r="R201" s="166"/>
      <c r="S201" s="121"/>
      <c r="T201" s="155"/>
      <c r="U201" s="100"/>
      <c r="V201" s="100"/>
      <c r="W201" s="100"/>
      <c r="X201" s="100"/>
      <c r="Y201" s="100"/>
      <c r="Z201" s="100"/>
      <c r="AA201" s="100"/>
      <c r="AB201" s="100"/>
      <c r="AC201" s="100"/>
      <c r="AD201" s="100"/>
      <c r="AE201" s="100"/>
      <c r="AF201" s="100"/>
      <c r="AG201" s="100"/>
      <c r="AH201" s="100"/>
      <c r="AI201" s="100"/>
      <c r="AJ201" s="100"/>
    </row>
    <row r="202" spans="1:36" ht="19.5" customHeight="1" x14ac:dyDescent="0.3">
      <c r="A202" s="100"/>
      <c r="B202" s="173"/>
      <c r="C202" s="174"/>
      <c r="D202" s="186"/>
      <c r="E202" s="175"/>
      <c r="F202" s="116"/>
      <c r="G202" s="116"/>
      <c r="H202" s="163"/>
      <c r="I202" s="151"/>
      <c r="J202" s="118"/>
      <c r="K202" s="162"/>
      <c r="L202" s="162"/>
      <c r="M202" s="162"/>
      <c r="N202" s="164"/>
      <c r="O202" s="165"/>
      <c r="P202" s="165"/>
      <c r="Q202" s="165"/>
      <c r="R202" s="166"/>
      <c r="S202" s="121"/>
      <c r="T202" s="155"/>
      <c r="U202" s="100"/>
      <c r="V202" s="100"/>
      <c r="W202" s="100"/>
      <c r="X202" s="100"/>
      <c r="Y202" s="100"/>
      <c r="Z202" s="100"/>
      <c r="AA202" s="100"/>
      <c r="AB202" s="100"/>
      <c r="AC202" s="100"/>
      <c r="AD202" s="100"/>
      <c r="AE202" s="100"/>
      <c r="AF202" s="100"/>
      <c r="AG202" s="100"/>
      <c r="AH202" s="100"/>
      <c r="AI202" s="100"/>
      <c r="AJ202" s="100"/>
    </row>
    <row r="203" spans="1:36" ht="19.5" customHeight="1" x14ac:dyDescent="0.3">
      <c r="A203" s="100"/>
      <c r="B203" s="173"/>
      <c r="C203" s="174"/>
      <c r="D203" s="186"/>
      <c r="E203" s="175"/>
      <c r="F203" s="116"/>
      <c r="G203" s="116"/>
      <c r="H203" s="163"/>
      <c r="I203" s="151"/>
      <c r="J203" s="118"/>
      <c r="K203" s="162"/>
      <c r="L203" s="162"/>
      <c r="M203" s="162"/>
      <c r="N203" s="164"/>
      <c r="O203" s="165"/>
      <c r="P203" s="165"/>
      <c r="Q203" s="165"/>
      <c r="R203" s="166"/>
      <c r="S203" s="121"/>
      <c r="T203" s="155"/>
      <c r="U203" s="100"/>
      <c r="V203" s="100"/>
      <c r="W203" s="100"/>
      <c r="X203" s="100"/>
      <c r="Y203" s="100"/>
      <c r="Z203" s="100"/>
      <c r="AA203" s="100"/>
      <c r="AB203" s="100"/>
      <c r="AC203" s="100"/>
      <c r="AD203" s="100"/>
      <c r="AE203" s="100"/>
      <c r="AF203" s="100"/>
      <c r="AG203" s="100"/>
      <c r="AH203" s="100"/>
      <c r="AI203" s="100"/>
      <c r="AJ203" s="100"/>
    </row>
    <row r="204" spans="1:36" ht="19.5" customHeight="1" x14ac:dyDescent="0.3">
      <c r="A204" s="100"/>
      <c r="B204" s="173"/>
      <c r="C204" s="174"/>
      <c r="D204" s="186"/>
      <c r="E204" s="175"/>
      <c r="F204" s="116"/>
      <c r="G204" s="116"/>
      <c r="H204" s="163"/>
      <c r="I204" s="151"/>
      <c r="J204" s="118"/>
      <c r="K204" s="162"/>
      <c r="L204" s="162"/>
      <c r="M204" s="162"/>
      <c r="N204" s="164"/>
      <c r="O204" s="165"/>
      <c r="P204" s="165"/>
      <c r="Q204" s="165"/>
      <c r="R204" s="166"/>
      <c r="S204" s="121"/>
      <c r="T204" s="155"/>
      <c r="U204" s="100"/>
      <c r="V204" s="100"/>
      <c r="W204" s="100"/>
      <c r="X204" s="100"/>
      <c r="Y204" s="100"/>
      <c r="Z204" s="100"/>
      <c r="AA204" s="100"/>
      <c r="AB204" s="100"/>
      <c r="AC204" s="100"/>
      <c r="AD204" s="100"/>
      <c r="AE204" s="100"/>
      <c r="AF204" s="100"/>
      <c r="AG204" s="100"/>
      <c r="AH204" s="100"/>
      <c r="AI204" s="100"/>
      <c r="AJ204" s="100"/>
    </row>
    <row r="205" spans="1:36" ht="19.5" customHeight="1" x14ac:dyDescent="0.3">
      <c r="A205" s="100"/>
      <c r="B205" s="173"/>
      <c r="C205" s="174"/>
      <c r="D205" s="186"/>
      <c r="E205" s="175"/>
      <c r="F205" s="116"/>
      <c r="G205" s="116"/>
      <c r="H205" s="163"/>
      <c r="I205" s="151"/>
      <c r="J205" s="118"/>
      <c r="K205" s="162"/>
      <c r="L205" s="162"/>
      <c r="M205" s="162"/>
      <c r="N205" s="164"/>
      <c r="O205" s="165"/>
      <c r="P205" s="165"/>
      <c r="Q205" s="165"/>
      <c r="R205" s="166"/>
      <c r="S205" s="121"/>
      <c r="T205" s="155"/>
      <c r="U205" s="100"/>
      <c r="V205" s="100"/>
      <c r="W205" s="100"/>
      <c r="X205" s="100"/>
      <c r="Y205" s="100"/>
      <c r="Z205" s="100"/>
      <c r="AA205" s="100"/>
      <c r="AB205" s="100"/>
      <c r="AC205" s="100"/>
      <c r="AD205" s="100"/>
      <c r="AE205" s="100"/>
      <c r="AF205" s="100"/>
      <c r="AG205" s="100"/>
      <c r="AH205" s="100"/>
      <c r="AI205" s="100"/>
      <c r="AJ205" s="100"/>
    </row>
    <row r="206" spans="1:36" ht="19.5" customHeight="1" x14ac:dyDescent="0.3">
      <c r="A206" s="100"/>
      <c r="B206" s="173"/>
      <c r="C206" s="174"/>
      <c r="D206" s="186"/>
      <c r="E206" s="175"/>
      <c r="F206" s="116"/>
      <c r="G206" s="116"/>
      <c r="H206" s="163"/>
      <c r="I206" s="151"/>
      <c r="J206" s="118"/>
      <c r="K206" s="162"/>
      <c r="L206" s="162"/>
      <c r="M206" s="162"/>
      <c r="N206" s="164"/>
      <c r="O206" s="165"/>
      <c r="P206" s="165"/>
      <c r="Q206" s="165"/>
      <c r="R206" s="166"/>
      <c r="S206" s="121"/>
      <c r="T206" s="155"/>
      <c r="U206" s="100"/>
      <c r="V206" s="100"/>
      <c r="W206" s="100"/>
      <c r="X206" s="100"/>
      <c r="Y206" s="100"/>
      <c r="Z206" s="100"/>
      <c r="AA206" s="100"/>
      <c r="AB206" s="100"/>
      <c r="AC206" s="100"/>
      <c r="AD206" s="100"/>
      <c r="AE206" s="100"/>
      <c r="AF206" s="100"/>
      <c r="AG206" s="100"/>
      <c r="AH206" s="100"/>
      <c r="AI206" s="100"/>
      <c r="AJ206" s="100"/>
    </row>
    <row r="207" spans="1:36" ht="19.5" customHeight="1" x14ac:dyDescent="0.3">
      <c r="A207" s="100"/>
      <c r="B207" s="173"/>
      <c r="C207" s="174"/>
      <c r="D207" s="186"/>
      <c r="E207" s="175"/>
      <c r="F207" s="116"/>
      <c r="G207" s="116"/>
      <c r="H207" s="163"/>
      <c r="I207" s="151"/>
      <c r="J207" s="118"/>
      <c r="K207" s="162"/>
      <c r="L207" s="162"/>
      <c r="M207" s="162"/>
      <c r="N207" s="164"/>
      <c r="O207" s="165"/>
      <c r="P207" s="165"/>
      <c r="Q207" s="165"/>
      <c r="R207" s="166"/>
      <c r="S207" s="121"/>
      <c r="T207" s="155"/>
      <c r="U207" s="100"/>
      <c r="V207" s="100"/>
      <c r="W207" s="100"/>
      <c r="X207" s="100"/>
      <c r="Y207" s="100"/>
      <c r="Z207" s="100"/>
      <c r="AA207" s="100"/>
      <c r="AB207" s="100"/>
      <c r="AC207" s="100"/>
      <c r="AD207" s="100"/>
      <c r="AE207" s="100"/>
      <c r="AF207" s="100"/>
      <c r="AG207" s="100"/>
      <c r="AH207" s="100"/>
      <c r="AI207" s="100"/>
      <c r="AJ207" s="100"/>
    </row>
    <row r="208" spans="1:36" ht="19.5" customHeight="1" x14ac:dyDescent="0.3">
      <c r="A208" s="100"/>
      <c r="B208" s="173"/>
      <c r="C208" s="174"/>
      <c r="D208" s="186"/>
      <c r="E208" s="175"/>
      <c r="F208" s="116"/>
      <c r="G208" s="116"/>
      <c r="H208" s="163"/>
      <c r="I208" s="151"/>
      <c r="J208" s="118"/>
      <c r="K208" s="162"/>
      <c r="L208" s="162"/>
      <c r="M208" s="162"/>
      <c r="N208" s="164"/>
      <c r="O208" s="165"/>
      <c r="P208" s="165"/>
      <c r="Q208" s="165"/>
      <c r="R208" s="166"/>
      <c r="S208" s="121"/>
      <c r="T208" s="155"/>
      <c r="U208" s="100"/>
      <c r="V208" s="100"/>
      <c r="W208" s="100"/>
      <c r="X208" s="100"/>
      <c r="Y208" s="100"/>
      <c r="Z208" s="100"/>
      <c r="AA208" s="100"/>
      <c r="AB208" s="100"/>
      <c r="AC208" s="100"/>
      <c r="AD208" s="100"/>
      <c r="AE208" s="100"/>
      <c r="AF208" s="100"/>
      <c r="AG208" s="100"/>
      <c r="AH208" s="100"/>
      <c r="AI208" s="100"/>
      <c r="AJ208" s="100"/>
    </row>
    <row r="209" spans="1:36" ht="19.5" customHeight="1" x14ac:dyDescent="0.3">
      <c r="A209" s="100"/>
      <c r="B209" s="173"/>
      <c r="C209" s="174"/>
      <c r="D209" s="186"/>
      <c r="E209" s="175"/>
      <c r="F209" s="116"/>
      <c r="G209" s="116"/>
      <c r="H209" s="163"/>
      <c r="I209" s="151"/>
      <c r="J209" s="118"/>
      <c r="K209" s="162"/>
      <c r="L209" s="162"/>
      <c r="M209" s="162"/>
      <c r="N209" s="164"/>
      <c r="O209" s="165"/>
      <c r="P209" s="165"/>
      <c r="Q209" s="165"/>
      <c r="R209" s="166"/>
      <c r="S209" s="121"/>
      <c r="T209" s="155"/>
      <c r="U209" s="100"/>
      <c r="V209" s="100"/>
      <c r="W209" s="100"/>
      <c r="X209" s="100"/>
      <c r="Y209" s="100"/>
      <c r="Z209" s="100"/>
      <c r="AA209" s="100"/>
      <c r="AB209" s="100"/>
      <c r="AC209" s="100"/>
      <c r="AD209" s="100"/>
      <c r="AE209" s="100"/>
      <c r="AF209" s="100"/>
      <c r="AG209" s="100"/>
      <c r="AH209" s="100"/>
      <c r="AI209" s="100"/>
      <c r="AJ209" s="100"/>
    </row>
    <row r="210" spans="1:36" ht="19.5" customHeight="1" x14ac:dyDescent="0.3">
      <c r="A210" s="100"/>
      <c r="B210" s="173"/>
      <c r="C210" s="174"/>
      <c r="D210" s="186"/>
      <c r="E210" s="175"/>
      <c r="F210" s="116"/>
      <c r="G210" s="116"/>
      <c r="H210" s="163"/>
      <c r="I210" s="151"/>
      <c r="J210" s="118"/>
      <c r="K210" s="162"/>
      <c r="L210" s="162"/>
      <c r="M210" s="162"/>
      <c r="N210" s="164"/>
      <c r="O210" s="165"/>
      <c r="P210" s="165"/>
      <c r="Q210" s="165"/>
      <c r="R210" s="166"/>
      <c r="S210" s="121"/>
      <c r="T210" s="155"/>
      <c r="U210" s="100"/>
      <c r="V210" s="100"/>
      <c r="W210" s="100"/>
      <c r="X210" s="100"/>
      <c r="Y210" s="100"/>
      <c r="Z210" s="100"/>
      <c r="AA210" s="100"/>
      <c r="AB210" s="100"/>
      <c r="AC210" s="100"/>
      <c r="AD210" s="100"/>
      <c r="AE210" s="100"/>
      <c r="AF210" s="100"/>
      <c r="AG210" s="100"/>
      <c r="AH210" s="100"/>
      <c r="AI210" s="100"/>
      <c r="AJ210" s="100"/>
    </row>
    <row r="211" spans="1:36" ht="19.5" customHeight="1" x14ac:dyDescent="0.3">
      <c r="A211" s="100"/>
      <c r="B211" s="173"/>
      <c r="C211" s="174"/>
      <c r="D211" s="186"/>
      <c r="E211" s="175"/>
      <c r="F211" s="116"/>
      <c r="G211" s="116"/>
      <c r="H211" s="163"/>
      <c r="I211" s="151"/>
      <c r="J211" s="118"/>
      <c r="K211" s="162"/>
      <c r="L211" s="162"/>
      <c r="M211" s="162"/>
      <c r="N211" s="164"/>
      <c r="O211" s="165"/>
      <c r="P211" s="165"/>
      <c r="Q211" s="165"/>
      <c r="R211" s="166"/>
      <c r="S211" s="121"/>
      <c r="T211" s="155"/>
      <c r="U211" s="100"/>
      <c r="V211" s="100"/>
      <c r="W211" s="100"/>
      <c r="X211" s="100"/>
      <c r="Y211" s="100"/>
      <c r="Z211" s="100"/>
      <c r="AA211" s="100"/>
      <c r="AB211" s="100"/>
      <c r="AC211" s="100"/>
      <c r="AD211" s="100"/>
      <c r="AE211" s="100"/>
      <c r="AF211" s="100"/>
      <c r="AG211" s="100"/>
      <c r="AH211" s="100"/>
      <c r="AI211" s="100"/>
      <c r="AJ211" s="100"/>
    </row>
    <row r="212" spans="1:36" ht="19.5" customHeight="1" x14ac:dyDescent="0.3">
      <c r="A212" s="100"/>
      <c r="B212" s="173"/>
      <c r="C212" s="174"/>
      <c r="D212" s="186"/>
      <c r="E212" s="175"/>
      <c r="F212" s="116"/>
      <c r="G212" s="116"/>
      <c r="H212" s="163"/>
      <c r="I212" s="151"/>
      <c r="J212" s="118"/>
      <c r="K212" s="162"/>
      <c r="L212" s="162"/>
      <c r="M212" s="162"/>
      <c r="N212" s="164"/>
      <c r="O212" s="165"/>
      <c r="P212" s="165"/>
      <c r="Q212" s="165"/>
      <c r="R212" s="166"/>
      <c r="S212" s="121"/>
      <c r="T212" s="155"/>
      <c r="U212" s="100"/>
      <c r="V212" s="100"/>
      <c r="W212" s="100"/>
      <c r="X212" s="100"/>
      <c r="Y212" s="100"/>
      <c r="Z212" s="100"/>
      <c r="AA212" s="100"/>
      <c r="AB212" s="100"/>
      <c r="AC212" s="100"/>
      <c r="AD212" s="100"/>
      <c r="AE212" s="100"/>
      <c r="AF212" s="100"/>
      <c r="AG212" s="100"/>
      <c r="AH212" s="100"/>
      <c r="AI212" s="100"/>
      <c r="AJ212" s="100"/>
    </row>
    <row r="213" spans="1:36" ht="19.5" customHeight="1" x14ac:dyDescent="0.3">
      <c r="A213" s="100"/>
      <c r="B213" s="173"/>
      <c r="C213" s="174"/>
      <c r="D213" s="186"/>
      <c r="E213" s="175"/>
      <c r="F213" s="116"/>
      <c r="G213" s="116"/>
      <c r="H213" s="163"/>
      <c r="I213" s="151"/>
      <c r="J213" s="118"/>
      <c r="K213" s="162"/>
      <c r="L213" s="162"/>
      <c r="M213" s="162"/>
      <c r="N213" s="164"/>
      <c r="O213" s="165"/>
      <c r="P213" s="165"/>
      <c r="Q213" s="165"/>
      <c r="R213" s="166"/>
      <c r="S213" s="121"/>
      <c r="T213" s="155"/>
      <c r="U213" s="100"/>
      <c r="V213" s="100"/>
      <c r="W213" s="100"/>
      <c r="X213" s="100"/>
      <c r="Y213" s="100"/>
      <c r="Z213" s="100"/>
      <c r="AA213" s="100"/>
      <c r="AB213" s="100"/>
      <c r="AC213" s="100"/>
      <c r="AD213" s="100"/>
      <c r="AE213" s="100"/>
      <c r="AF213" s="100"/>
      <c r="AG213" s="100"/>
      <c r="AH213" s="100"/>
      <c r="AI213" s="100"/>
      <c r="AJ213" s="100"/>
    </row>
    <row r="214" spans="1:36" ht="19.5" customHeight="1" x14ac:dyDescent="0.3">
      <c r="A214" s="100"/>
      <c r="B214" s="173"/>
      <c r="C214" s="174"/>
      <c r="D214" s="186"/>
      <c r="E214" s="175"/>
      <c r="F214" s="116"/>
      <c r="G214" s="116"/>
      <c r="H214" s="163"/>
      <c r="I214" s="151"/>
      <c r="J214" s="118"/>
      <c r="K214" s="162"/>
      <c r="L214" s="162"/>
      <c r="M214" s="162"/>
      <c r="N214" s="164"/>
      <c r="O214" s="165"/>
      <c r="P214" s="165"/>
      <c r="Q214" s="165"/>
      <c r="R214" s="166"/>
      <c r="S214" s="121"/>
      <c r="T214" s="155"/>
      <c r="U214" s="100"/>
      <c r="V214" s="100"/>
      <c r="W214" s="100"/>
      <c r="X214" s="100"/>
      <c r="Y214" s="100"/>
      <c r="Z214" s="100"/>
      <c r="AA214" s="100"/>
      <c r="AB214" s="100"/>
      <c r="AC214" s="100"/>
      <c r="AD214" s="100"/>
      <c r="AE214" s="100"/>
      <c r="AF214" s="100"/>
      <c r="AG214" s="100"/>
      <c r="AH214" s="100"/>
      <c r="AI214" s="100"/>
      <c r="AJ214" s="100"/>
    </row>
    <row r="215" spans="1:36" ht="19.5" customHeight="1" x14ac:dyDescent="0.3">
      <c r="A215" s="100"/>
      <c r="B215" s="173"/>
      <c r="C215" s="174"/>
      <c r="D215" s="186"/>
      <c r="E215" s="175"/>
      <c r="F215" s="116"/>
      <c r="G215" s="116"/>
      <c r="H215" s="163"/>
      <c r="I215" s="151"/>
      <c r="J215" s="118"/>
      <c r="K215" s="162"/>
      <c r="L215" s="162"/>
      <c r="M215" s="162"/>
      <c r="N215" s="164"/>
      <c r="O215" s="165"/>
      <c r="P215" s="165"/>
      <c r="Q215" s="165"/>
      <c r="R215" s="166"/>
      <c r="S215" s="121"/>
      <c r="T215" s="155"/>
      <c r="U215" s="100"/>
      <c r="V215" s="100"/>
      <c r="W215" s="100"/>
      <c r="X215" s="100"/>
      <c r="Y215" s="100"/>
      <c r="Z215" s="100"/>
      <c r="AA215" s="100"/>
      <c r="AB215" s="100"/>
      <c r="AC215" s="100"/>
      <c r="AD215" s="100"/>
      <c r="AE215" s="100"/>
      <c r="AF215" s="100"/>
      <c r="AG215" s="100"/>
      <c r="AH215" s="100"/>
      <c r="AI215" s="100"/>
      <c r="AJ215" s="100"/>
    </row>
    <row r="216" spans="1:36" ht="19.5" customHeight="1" x14ac:dyDescent="0.3">
      <c r="A216" s="100"/>
      <c r="B216" s="173"/>
      <c r="C216" s="174"/>
      <c r="D216" s="186"/>
      <c r="E216" s="175"/>
      <c r="F216" s="116"/>
      <c r="G216" s="116"/>
      <c r="H216" s="163"/>
      <c r="I216" s="151"/>
      <c r="J216" s="118"/>
      <c r="K216" s="162"/>
      <c r="L216" s="162"/>
      <c r="M216" s="162"/>
      <c r="N216" s="164"/>
      <c r="O216" s="165"/>
      <c r="P216" s="165"/>
      <c r="Q216" s="165"/>
      <c r="R216" s="166"/>
      <c r="S216" s="121"/>
      <c r="T216" s="155"/>
      <c r="U216" s="100"/>
      <c r="V216" s="100"/>
      <c r="W216" s="100"/>
      <c r="X216" s="100"/>
      <c r="Y216" s="100"/>
      <c r="Z216" s="100"/>
      <c r="AA216" s="100"/>
      <c r="AB216" s="100"/>
      <c r="AC216" s="100"/>
      <c r="AD216" s="100"/>
      <c r="AE216" s="100"/>
      <c r="AF216" s="100"/>
      <c r="AG216" s="100"/>
      <c r="AH216" s="100"/>
      <c r="AI216" s="100"/>
      <c r="AJ216" s="100"/>
    </row>
    <row r="217" spans="1:36" ht="19.5" customHeight="1" x14ac:dyDescent="0.3">
      <c r="A217" s="100"/>
      <c r="B217" s="173"/>
      <c r="C217" s="174"/>
      <c r="D217" s="186"/>
      <c r="E217" s="175"/>
      <c r="F217" s="116"/>
      <c r="G217" s="116"/>
      <c r="H217" s="163"/>
      <c r="I217" s="151"/>
      <c r="J217" s="118"/>
      <c r="K217" s="162"/>
      <c r="L217" s="162"/>
      <c r="M217" s="162"/>
      <c r="N217" s="164"/>
      <c r="O217" s="165"/>
      <c r="P217" s="165"/>
      <c r="Q217" s="165"/>
      <c r="R217" s="166"/>
      <c r="S217" s="121"/>
      <c r="T217" s="155"/>
      <c r="U217" s="100"/>
      <c r="V217" s="100"/>
      <c r="W217" s="100"/>
      <c r="X217" s="100"/>
      <c r="Y217" s="100"/>
      <c r="Z217" s="100"/>
      <c r="AA217" s="100"/>
      <c r="AB217" s="100"/>
      <c r="AC217" s="100"/>
      <c r="AD217" s="100"/>
      <c r="AE217" s="100"/>
      <c r="AF217" s="100"/>
      <c r="AG217" s="100"/>
      <c r="AH217" s="100"/>
      <c r="AI217" s="100"/>
      <c r="AJ217" s="100"/>
    </row>
    <row r="218" spans="1:36" ht="19.5" customHeight="1" x14ac:dyDescent="0.3">
      <c r="A218" s="100"/>
      <c r="B218" s="173"/>
      <c r="C218" s="174"/>
      <c r="D218" s="186"/>
      <c r="E218" s="175"/>
      <c r="F218" s="116"/>
      <c r="G218" s="163"/>
      <c r="H218" s="163"/>
      <c r="I218" s="151"/>
      <c r="J218" s="118"/>
      <c r="K218" s="162"/>
      <c r="L218" s="162"/>
      <c r="M218" s="162"/>
      <c r="N218" s="164"/>
      <c r="O218" s="165"/>
      <c r="P218" s="165"/>
      <c r="Q218" s="165"/>
      <c r="R218" s="166"/>
      <c r="S218" s="121"/>
      <c r="T218" s="155"/>
      <c r="U218" s="76"/>
      <c r="V218" s="100"/>
      <c r="W218" s="100"/>
      <c r="X218" s="100"/>
      <c r="Y218" s="100"/>
      <c r="Z218" s="100"/>
      <c r="AA218" s="100"/>
      <c r="AB218" s="100"/>
      <c r="AC218" s="100"/>
      <c r="AD218" s="100"/>
      <c r="AE218" s="100"/>
      <c r="AF218" s="100"/>
      <c r="AG218" s="100"/>
      <c r="AH218" s="100"/>
      <c r="AI218" s="100"/>
      <c r="AJ218" s="100"/>
    </row>
    <row r="219" spans="1:36" ht="19.5" customHeight="1" x14ac:dyDescent="0.3">
      <c r="A219" s="100"/>
      <c r="B219" s="177"/>
      <c r="C219" s="178"/>
      <c r="D219" s="197"/>
      <c r="E219" s="178"/>
      <c r="F219" s="180"/>
      <c r="G219" s="163"/>
      <c r="H219" s="163"/>
      <c r="I219" s="151"/>
      <c r="J219" s="118"/>
      <c r="K219" s="162"/>
      <c r="L219" s="162"/>
      <c r="M219" s="162"/>
      <c r="N219" s="164"/>
      <c r="O219" s="165"/>
      <c r="P219" s="165"/>
      <c r="Q219" s="165"/>
      <c r="R219" s="166"/>
      <c r="S219" s="121"/>
      <c r="T219" s="155"/>
      <c r="U219" s="76"/>
      <c r="V219" s="100"/>
      <c r="W219" s="100"/>
      <c r="X219" s="100"/>
      <c r="Y219" s="100"/>
      <c r="Z219" s="100"/>
      <c r="AA219" s="100"/>
      <c r="AB219" s="100"/>
      <c r="AC219" s="100"/>
      <c r="AD219" s="100"/>
      <c r="AE219" s="100"/>
      <c r="AF219" s="100"/>
      <c r="AG219" s="100"/>
      <c r="AH219" s="100"/>
      <c r="AI219" s="100"/>
      <c r="AJ219" s="100"/>
    </row>
    <row r="220" spans="1:36" ht="19.5" customHeight="1" x14ac:dyDescent="0.3">
      <c r="A220" s="100"/>
      <c r="B220" s="177"/>
      <c r="C220" s="178"/>
      <c r="D220" s="197"/>
      <c r="E220" s="178"/>
      <c r="F220" s="180"/>
      <c r="G220" s="163"/>
      <c r="H220" s="163"/>
      <c r="I220" s="151"/>
      <c r="J220" s="118"/>
      <c r="K220" s="162"/>
      <c r="L220" s="162"/>
      <c r="M220" s="162"/>
      <c r="N220" s="164"/>
      <c r="O220" s="165"/>
      <c r="P220" s="165"/>
      <c r="Q220" s="165"/>
      <c r="R220" s="166"/>
      <c r="S220" s="121"/>
      <c r="T220" s="155"/>
      <c r="U220" s="76"/>
      <c r="V220" s="100"/>
      <c r="W220" s="100"/>
      <c r="X220" s="100"/>
      <c r="Y220" s="100"/>
      <c r="Z220" s="100"/>
      <c r="AA220" s="100"/>
      <c r="AB220" s="100"/>
      <c r="AC220" s="100"/>
      <c r="AD220" s="100"/>
      <c r="AE220" s="100"/>
      <c r="AF220" s="100"/>
      <c r="AG220" s="100"/>
      <c r="AH220" s="100"/>
      <c r="AI220" s="100"/>
      <c r="AJ220" s="100"/>
    </row>
    <row r="221" spans="1:36" ht="19.5" customHeight="1" x14ac:dyDescent="0.3">
      <c r="A221" s="100"/>
      <c r="B221" s="173"/>
      <c r="C221" s="173"/>
      <c r="D221" s="186"/>
      <c r="E221" s="175"/>
      <c r="F221" s="116"/>
      <c r="G221" s="163"/>
      <c r="H221" s="163"/>
      <c r="I221" s="151"/>
      <c r="J221" s="118"/>
      <c r="K221" s="162"/>
      <c r="L221" s="162"/>
      <c r="M221" s="162"/>
      <c r="N221" s="164"/>
      <c r="O221" s="165"/>
      <c r="P221" s="165"/>
      <c r="Q221" s="165"/>
      <c r="R221" s="166"/>
      <c r="S221" s="121"/>
      <c r="T221" s="155"/>
      <c r="U221" s="100"/>
      <c r="V221" s="100"/>
      <c r="W221" s="100"/>
      <c r="X221" s="100"/>
      <c r="Y221" s="100"/>
      <c r="Z221" s="100"/>
      <c r="AA221" s="100"/>
      <c r="AB221" s="100"/>
      <c r="AC221" s="100"/>
      <c r="AD221" s="100"/>
      <c r="AE221" s="100"/>
      <c r="AF221" s="100"/>
      <c r="AG221" s="100"/>
      <c r="AH221" s="100"/>
      <c r="AI221" s="100"/>
      <c r="AJ221" s="100"/>
    </row>
    <row r="222" spans="1:36" ht="19.5" customHeight="1" x14ac:dyDescent="0.3">
      <c r="A222" s="100"/>
      <c r="B222" s="173"/>
      <c r="C222" s="174"/>
      <c r="D222" s="186"/>
      <c r="E222" s="175"/>
      <c r="F222" s="116"/>
      <c r="G222" s="163"/>
      <c r="H222" s="163"/>
      <c r="I222" s="151"/>
      <c r="J222" s="118"/>
      <c r="K222" s="162"/>
      <c r="L222" s="162"/>
      <c r="M222" s="162"/>
      <c r="N222" s="164"/>
      <c r="O222" s="165"/>
      <c r="P222" s="165"/>
      <c r="Q222" s="165"/>
      <c r="R222" s="166"/>
      <c r="S222" s="121"/>
      <c r="T222" s="155"/>
      <c r="U222" s="100"/>
      <c r="V222" s="100"/>
      <c r="W222" s="100"/>
      <c r="X222" s="100"/>
      <c r="Y222" s="100"/>
      <c r="Z222" s="100"/>
      <c r="AA222" s="100"/>
      <c r="AB222" s="100"/>
      <c r="AC222" s="100"/>
      <c r="AD222" s="100"/>
      <c r="AE222" s="100"/>
      <c r="AF222" s="100"/>
      <c r="AG222" s="100"/>
      <c r="AH222" s="100"/>
      <c r="AI222" s="100"/>
      <c r="AJ222" s="100"/>
    </row>
    <row r="223" spans="1:36" ht="19.5" customHeight="1" x14ac:dyDescent="0.3">
      <c r="A223" s="100"/>
      <c r="B223" s="173"/>
      <c r="C223" s="174"/>
      <c r="D223" s="186"/>
      <c r="E223" s="175"/>
      <c r="F223" s="116"/>
      <c r="G223" s="163"/>
      <c r="H223" s="163"/>
      <c r="I223" s="151"/>
      <c r="J223" s="118"/>
      <c r="K223" s="162"/>
      <c r="L223" s="162"/>
      <c r="M223" s="162"/>
      <c r="N223" s="164"/>
      <c r="O223" s="165"/>
      <c r="P223" s="165"/>
      <c r="Q223" s="165"/>
      <c r="R223" s="166"/>
      <c r="S223" s="121"/>
      <c r="T223" s="155"/>
      <c r="U223" s="100"/>
      <c r="V223" s="100"/>
      <c r="W223" s="100"/>
      <c r="X223" s="100"/>
      <c r="Y223" s="100"/>
      <c r="Z223" s="100"/>
      <c r="AA223" s="100"/>
      <c r="AB223" s="100"/>
      <c r="AC223" s="100"/>
      <c r="AD223" s="100"/>
      <c r="AE223" s="100"/>
      <c r="AF223" s="100"/>
      <c r="AG223" s="100"/>
      <c r="AH223" s="100"/>
      <c r="AI223" s="100"/>
      <c r="AJ223" s="100"/>
    </row>
    <row r="224" spans="1:36" s="148" customFormat="1" ht="19.5" customHeight="1" x14ac:dyDescent="0.3">
      <c r="A224" s="138"/>
      <c r="B224" s="139"/>
      <c r="C224" s="139"/>
      <c r="D224" s="143"/>
      <c r="E224" s="158"/>
      <c r="F224" s="158"/>
      <c r="G224" s="158"/>
      <c r="H224" s="158"/>
      <c r="I224" s="142"/>
      <c r="J224" s="143"/>
      <c r="K224" s="143"/>
      <c r="L224" s="143"/>
      <c r="M224" s="143"/>
      <c r="N224" s="159"/>
      <c r="O224" s="145"/>
      <c r="P224" s="145"/>
      <c r="Q224" s="145"/>
      <c r="R224" s="146"/>
      <c r="S224" s="147"/>
      <c r="T224" s="155"/>
      <c r="U224" s="138"/>
      <c r="V224" s="138"/>
      <c r="W224" s="138"/>
      <c r="X224" s="138"/>
      <c r="Y224" s="138"/>
      <c r="Z224" s="138"/>
      <c r="AA224" s="138"/>
      <c r="AB224" s="138"/>
      <c r="AC224" s="138"/>
      <c r="AD224" s="138"/>
      <c r="AE224" s="138"/>
      <c r="AF224" s="138"/>
      <c r="AG224" s="138"/>
      <c r="AH224" s="138"/>
      <c r="AI224" s="138"/>
      <c r="AJ224" s="138"/>
    </row>
    <row r="225" spans="1:36" ht="19.5" customHeight="1" x14ac:dyDescent="0.3">
      <c r="A225" s="100"/>
      <c r="B225" s="173"/>
      <c r="C225" s="174"/>
      <c r="D225" s="186"/>
      <c r="E225" s="175"/>
      <c r="F225" s="116"/>
      <c r="G225" s="163"/>
      <c r="H225" s="163"/>
      <c r="I225" s="151"/>
      <c r="J225" s="118"/>
      <c r="K225" s="162"/>
      <c r="L225" s="162"/>
      <c r="M225" s="162"/>
      <c r="N225" s="164"/>
      <c r="O225" s="165"/>
      <c r="P225" s="165"/>
      <c r="Q225" s="165"/>
      <c r="R225" s="166"/>
      <c r="S225" s="121"/>
      <c r="T225" s="155"/>
      <c r="U225" s="100"/>
      <c r="V225" s="100"/>
      <c r="W225" s="100"/>
      <c r="X225" s="100"/>
      <c r="Y225" s="100"/>
      <c r="Z225" s="100"/>
      <c r="AA225" s="100"/>
      <c r="AB225" s="100"/>
      <c r="AC225" s="100"/>
      <c r="AD225" s="100"/>
      <c r="AE225" s="100"/>
      <c r="AF225" s="100"/>
      <c r="AG225" s="100"/>
      <c r="AH225" s="100"/>
      <c r="AI225" s="100"/>
      <c r="AJ225" s="100"/>
    </row>
    <row r="226" spans="1:36" ht="19.5" customHeight="1" x14ac:dyDescent="0.3">
      <c r="A226" s="100"/>
      <c r="B226" s="173"/>
      <c r="C226" s="174"/>
      <c r="D226" s="186"/>
      <c r="E226" s="175"/>
      <c r="F226" s="116"/>
      <c r="G226" s="163"/>
      <c r="H226" s="163"/>
      <c r="I226" s="151"/>
      <c r="J226" s="118"/>
      <c r="K226" s="162"/>
      <c r="L226" s="162"/>
      <c r="M226" s="162"/>
      <c r="N226" s="164"/>
      <c r="O226" s="165"/>
      <c r="P226" s="165"/>
      <c r="Q226" s="165"/>
      <c r="R226" s="166"/>
      <c r="S226" s="121"/>
      <c r="T226" s="155"/>
      <c r="U226" s="100"/>
      <c r="V226" s="100"/>
      <c r="W226" s="100"/>
      <c r="X226" s="100"/>
      <c r="Y226" s="100"/>
      <c r="Z226" s="100"/>
      <c r="AA226" s="100"/>
      <c r="AB226" s="100"/>
      <c r="AC226" s="100"/>
      <c r="AD226" s="100"/>
      <c r="AE226" s="100"/>
      <c r="AF226" s="100"/>
      <c r="AG226" s="100"/>
      <c r="AH226" s="100"/>
      <c r="AI226" s="100"/>
      <c r="AJ226" s="100"/>
    </row>
    <row r="227" spans="1:36" ht="19.5" customHeight="1" x14ac:dyDescent="0.3">
      <c r="A227" s="100"/>
      <c r="B227" s="173"/>
      <c r="C227" s="174"/>
      <c r="D227" s="186"/>
      <c r="E227" s="175"/>
      <c r="F227" s="116"/>
      <c r="G227" s="163"/>
      <c r="H227" s="163"/>
      <c r="I227" s="151"/>
      <c r="J227" s="118"/>
      <c r="K227" s="162"/>
      <c r="L227" s="162"/>
      <c r="M227" s="162"/>
      <c r="N227" s="164"/>
      <c r="O227" s="165"/>
      <c r="P227" s="165"/>
      <c r="Q227" s="165"/>
      <c r="R227" s="166"/>
      <c r="S227" s="121"/>
      <c r="T227" s="155"/>
      <c r="U227" s="100"/>
      <c r="V227" s="100"/>
      <c r="W227" s="100"/>
      <c r="X227" s="100"/>
      <c r="Y227" s="100"/>
      <c r="Z227" s="100"/>
      <c r="AA227" s="100"/>
      <c r="AB227" s="100"/>
      <c r="AC227" s="100"/>
      <c r="AD227" s="100"/>
      <c r="AE227" s="100"/>
      <c r="AF227" s="100"/>
      <c r="AG227" s="100"/>
      <c r="AH227" s="100"/>
      <c r="AI227" s="100"/>
      <c r="AJ227" s="100"/>
    </row>
    <row r="228" spans="1:36" ht="19.5" customHeight="1" x14ac:dyDescent="0.3">
      <c r="A228" s="100"/>
      <c r="B228" s="173"/>
      <c r="C228" s="174"/>
      <c r="D228" s="186"/>
      <c r="E228" s="175"/>
      <c r="F228" s="116"/>
      <c r="G228" s="163"/>
      <c r="H228" s="163"/>
      <c r="I228" s="151"/>
      <c r="J228" s="118"/>
      <c r="K228" s="162"/>
      <c r="L228" s="162"/>
      <c r="M228" s="162"/>
      <c r="N228" s="164"/>
      <c r="O228" s="165"/>
      <c r="P228" s="165"/>
      <c r="Q228" s="165"/>
      <c r="R228" s="166"/>
      <c r="S228" s="121"/>
      <c r="T228" s="155"/>
      <c r="U228" s="100"/>
      <c r="V228" s="100"/>
      <c r="W228" s="100"/>
      <c r="X228" s="100"/>
      <c r="Y228" s="100"/>
      <c r="Z228" s="100"/>
      <c r="AA228" s="100"/>
      <c r="AB228" s="100"/>
      <c r="AC228" s="100"/>
      <c r="AD228" s="100"/>
      <c r="AE228" s="100"/>
      <c r="AF228" s="100"/>
      <c r="AG228" s="100"/>
      <c r="AH228" s="100"/>
      <c r="AI228" s="100"/>
      <c r="AJ228" s="100"/>
    </row>
    <row r="229" spans="1:36" ht="19.5" customHeight="1" x14ac:dyDescent="0.3">
      <c r="A229" s="100"/>
      <c r="B229" s="173"/>
      <c r="C229" s="174"/>
      <c r="D229" s="186"/>
      <c r="E229" s="175"/>
      <c r="F229" s="116"/>
      <c r="G229" s="163"/>
      <c r="H229" s="163"/>
      <c r="I229" s="151"/>
      <c r="J229" s="118"/>
      <c r="K229" s="162"/>
      <c r="L229" s="162"/>
      <c r="M229" s="162"/>
      <c r="N229" s="164"/>
      <c r="O229" s="165"/>
      <c r="P229" s="165"/>
      <c r="Q229" s="165"/>
      <c r="R229" s="166"/>
      <c r="S229" s="121"/>
      <c r="T229" s="155"/>
      <c r="U229" s="100"/>
      <c r="V229" s="100"/>
      <c r="W229" s="100"/>
      <c r="X229" s="100"/>
      <c r="Y229" s="100"/>
      <c r="Z229" s="100"/>
      <c r="AA229" s="100"/>
      <c r="AB229" s="100"/>
      <c r="AC229" s="100"/>
      <c r="AD229" s="100"/>
      <c r="AE229" s="100"/>
      <c r="AF229" s="100"/>
      <c r="AG229" s="100"/>
      <c r="AH229" s="100"/>
      <c r="AI229" s="100"/>
      <c r="AJ229" s="100"/>
    </row>
    <row r="230" spans="1:36" ht="19.5" customHeight="1" x14ac:dyDescent="0.3">
      <c r="A230" s="100"/>
      <c r="B230" s="173"/>
      <c r="C230" s="174"/>
      <c r="D230" s="186"/>
      <c r="E230" s="175"/>
      <c r="F230" s="116"/>
      <c r="G230" s="198"/>
      <c r="H230" s="163"/>
      <c r="I230" s="151"/>
      <c r="J230" s="118"/>
      <c r="K230" s="162"/>
      <c r="L230" s="162"/>
      <c r="M230" s="162"/>
      <c r="N230" s="164"/>
      <c r="O230" s="165"/>
      <c r="P230" s="165"/>
      <c r="Q230" s="165"/>
      <c r="R230" s="166"/>
      <c r="S230" s="121"/>
      <c r="T230" s="155"/>
      <c r="U230" s="100"/>
      <c r="V230" s="100"/>
      <c r="W230" s="100"/>
      <c r="X230" s="100"/>
      <c r="Y230" s="100"/>
      <c r="Z230" s="100"/>
      <c r="AA230" s="100"/>
      <c r="AB230" s="100"/>
      <c r="AC230" s="100"/>
      <c r="AD230" s="100"/>
      <c r="AE230" s="100"/>
      <c r="AF230" s="100"/>
      <c r="AG230" s="100"/>
      <c r="AH230" s="100"/>
      <c r="AI230" s="100"/>
      <c r="AJ230" s="100"/>
    </row>
    <row r="231" spans="1:36" ht="19.5" customHeight="1" x14ac:dyDescent="0.3">
      <c r="A231" s="100"/>
      <c r="B231" s="173"/>
      <c r="C231" s="174"/>
      <c r="D231" s="186"/>
      <c r="E231" s="175"/>
      <c r="F231" s="116"/>
      <c r="G231" s="163"/>
      <c r="H231" s="163"/>
      <c r="I231" s="151"/>
      <c r="J231" s="118"/>
      <c r="K231" s="162"/>
      <c r="L231" s="162"/>
      <c r="M231" s="162"/>
      <c r="N231" s="164"/>
      <c r="O231" s="165"/>
      <c r="P231" s="165"/>
      <c r="Q231" s="165"/>
      <c r="R231" s="166"/>
      <c r="S231" s="121"/>
      <c r="T231" s="155"/>
      <c r="U231" s="100"/>
      <c r="V231" s="100"/>
      <c r="W231" s="100"/>
      <c r="X231" s="100"/>
      <c r="Y231" s="100"/>
      <c r="Z231" s="100"/>
      <c r="AA231" s="100"/>
      <c r="AB231" s="100"/>
      <c r="AC231" s="100"/>
      <c r="AD231" s="100"/>
      <c r="AE231" s="100"/>
      <c r="AF231" s="100"/>
      <c r="AG231" s="100"/>
      <c r="AH231" s="100"/>
      <c r="AI231" s="100"/>
      <c r="AJ231" s="100"/>
    </row>
    <row r="232" spans="1:36" ht="19.5" customHeight="1" x14ac:dyDescent="0.3">
      <c r="A232" s="100"/>
      <c r="B232" s="173"/>
      <c r="C232" s="174"/>
      <c r="D232" s="186"/>
      <c r="E232" s="175"/>
      <c r="F232" s="116"/>
      <c r="G232" s="198"/>
      <c r="H232" s="163"/>
      <c r="I232" s="151"/>
      <c r="J232" s="118"/>
      <c r="K232" s="162"/>
      <c r="L232" s="162"/>
      <c r="M232" s="162"/>
      <c r="N232" s="164"/>
      <c r="O232" s="165"/>
      <c r="P232" s="165"/>
      <c r="Q232" s="165"/>
      <c r="R232" s="166"/>
      <c r="S232" s="121"/>
      <c r="T232" s="155"/>
      <c r="U232" s="100"/>
      <c r="V232" s="100"/>
      <c r="W232" s="100"/>
      <c r="X232" s="100"/>
      <c r="Y232" s="100"/>
      <c r="Z232" s="100"/>
      <c r="AA232" s="100"/>
      <c r="AB232" s="100"/>
      <c r="AC232" s="100"/>
      <c r="AD232" s="100"/>
      <c r="AE232" s="100"/>
      <c r="AF232" s="100"/>
      <c r="AG232" s="100"/>
      <c r="AH232" s="100"/>
      <c r="AI232" s="100"/>
      <c r="AJ232" s="100"/>
    </row>
    <row r="233" spans="1:36" ht="19.5" customHeight="1" x14ac:dyDescent="0.3">
      <c r="A233" s="100"/>
      <c r="B233" s="173"/>
      <c r="C233" s="174"/>
      <c r="D233" s="186"/>
      <c r="E233" s="175"/>
      <c r="F233" s="116"/>
      <c r="G233" s="163"/>
      <c r="H233" s="163"/>
      <c r="I233" s="151"/>
      <c r="J233" s="118"/>
      <c r="K233" s="162"/>
      <c r="L233" s="162"/>
      <c r="M233" s="162"/>
      <c r="N233" s="164"/>
      <c r="O233" s="165"/>
      <c r="P233" s="165"/>
      <c r="Q233" s="165"/>
      <c r="R233" s="166"/>
      <c r="S233" s="121"/>
      <c r="T233" s="155"/>
      <c r="U233" s="100"/>
      <c r="V233" s="100"/>
      <c r="W233" s="100"/>
      <c r="X233" s="100"/>
      <c r="Y233" s="100"/>
      <c r="Z233" s="100"/>
      <c r="AA233" s="100"/>
      <c r="AB233" s="100"/>
      <c r="AC233" s="100"/>
      <c r="AD233" s="100"/>
      <c r="AE233" s="100"/>
      <c r="AF233" s="100"/>
      <c r="AG233" s="100"/>
      <c r="AH233" s="100"/>
      <c r="AI233" s="100"/>
      <c r="AJ233" s="100"/>
    </row>
    <row r="234" spans="1:36" ht="19.5" customHeight="1" x14ac:dyDescent="0.3">
      <c r="A234" s="100"/>
      <c r="B234" s="173"/>
      <c r="C234" s="174"/>
      <c r="D234" s="186"/>
      <c r="E234" s="175"/>
      <c r="F234" s="116"/>
      <c r="G234" s="198"/>
      <c r="H234" s="163"/>
      <c r="I234" s="151"/>
      <c r="J234" s="118"/>
      <c r="K234" s="162"/>
      <c r="L234" s="162"/>
      <c r="M234" s="162"/>
      <c r="N234" s="164"/>
      <c r="O234" s="165"/>
      <c r="P234" s="165"/>
      <c r="Q234" s="165"/>
      <c r="R234" s="166"/>
      <c r="S234" s="121"/>
      <c r="T234" s="155"/>
      <c r="U234" s="100"/>
      <c r="V234" s="100"/>
      <c r="W234" s="100"/>
      <c r="X234" s="100"/>
      <c r="Y234" s="100"/>
      <c r="Z234" s="100"/>
      <c r="AA234" s="100"/>
      <c r="AB234" s="100"/>
      <c r="AC234" s="100"/>
      <c r="AD234" s="100"/>
      <c r="AE234" s="100"/>
      <c r="AF234" s="100"/>
      <c r="AG234" s="100"/>
      <c r="AH234" s="100"/>
      <c r="AI234" s="100"/>
      <c r="AJ234" s="100"/>
    </row>
    <row r="235" spans="1:36" ht="19.5" customHeight="1" x14ac:dyDescent="0.3">
      <c r="A235" s="100"/>
      <c r="B235" s="173"/>
      <c r="C235" s="174"/>
      <c r="D235" s="186"/>
      <c r="E235" s="175"/>
      <c r="F235" s="116"/>
      <c r="G235" s="163"/>
      <c r="H235" s="163"/>
      <c r="I235" s="151"/>
      <c r="J235" s="118"/>
      <c r="K235" s="162"/>
      <c r="L235" s="162"/>
      <c r="M235" s="162"/>
      <c r="N235" s="164"/>
      <c r="O235" s="165"/>
      <c r="P235" s="165"/>
      <c r="Q235" s="165"/>
      <c r="R235" s="166"/>
      <c r="S235" s="121"/>
      <c r="T235" s="155"/>
      <c r="U235" s="100"/>
      <c r="V235" s="100"/>
      <c r="W235" s="100"/>
      <c r="X235" s="100"/>
      <c r="Y235" s="100"/>
      <c r="Z235" s="100"/>
      <c r="AA235" s="100"/>
      <c r="AB235" s="100"/>
      <c r="AC235" s="100"/>
      <c r="AD235" s="100"/>
      <c r="AE235" s="100"/>
      <c r="AF235" s="100"/>
      <c r="AG235" s="100"/>
      <c r="AH235" s="100"/>
      <c r="AI235" s="100"/>
      <c r="AJ235" s="100"/>
    </row>
    <row r="236" spans="1:36" ht="19.5" customHeight="1" x14ac:dyDescent="0.3">
      <c r="A236" s="100"/>
      <c r="B236" s="173"/>
      <c r="C236" s="174"/>
      <c r="D236" s="186"/>
      <c r="E236" s="175"/>
      <c r="F236" s="116"/>
      <c r="G236" s="163"/>
      <c r="H236" s="163"/>
      <c r="I236" s="151"/>
      <c r="J236" s="118"/>
      <c r="K236" s="162"/>
      <c r="L236" s="162"/>
      <c r="M236" s="162"/>
      <c r="N236" s="164"/>
      <c r="O236" s="165"/>
      <c r="P236" s="165"/>
      <c r="Q236" s="165"/>
      <c r="R236" s="166"/>
      <c r="S236" s="121"/>
      <c r="T236" s="155"/>
      <c r="U236" s="100"/>
      <c r="V236" s="100"/>
      <c r="W236" s="100"/>
      <c r="X236" s="100"/>
      <c r="Y236" s="100"/>
      <c r="Z236" s="100"/>
      <c r="AA236" s="100"/>
      <c r="AB236" s="100"/>
      <c r="AC236" s="100"/>
      <c r="AD236" s="100"/>
      <c r="AE236" s="100"/>
      <c r="AF236" s="100"/>
      <c r="AG236" s="100"/>
      <c r="AH236" s="100"/>
      <c r="AI236" s="100"/>
      <c r="AJ236" s="100"/>
    </row>
    <row r="237" spans="1:36" ht="19.5" customHeight="1" x14ac:dyDescent="0.3">
      <c r="A237" s="100"/>
      <c r="B237" s="173"/>
      <c r="C237" s="174"/>
      <c r="D237" s="186"/>
      <c r="E237" s="175"/>
      <c r="F237" s="116"/>
      <c r="G237" s="163"/>
      <c r="H237" s="163"/>
      <c r="I237" s="151"/>
      <c r="J237" s="118"/>
      <c r="K237" s="162"/>
      <c r="L237" s="162"/>
      <c r="M237" s="162"/>
      <c r="N237" s="164"/>
      <c r="O237" s="165"/>
      <c r="P237" s="165"/>
      <c r="Q237" s="165"/>
      <c r="R237" s="166"/>
      <c r="S237" s="121"/>
      <c r="T237" s="155"/>
      <c r="U237" s="100"/>
      <c r="V237" s="100"/>
      <c r="W237" s="100"/>
      <c r="X237" s="100"/>
      <c r="Y237" s="100"/>
      <c r="Z237" s="100"/>
      <c r="AA237" s="100"/>
      <c r="AB237" s="100"/>
      <c r="AC237" s="100"/>
      <c r="AD237" s="100"/>
      <c r="AE237" s="100"/>
      <c r="AF237" s="100"/>
      <c r="AG237" s="100"/>
      <c r="AH237" s="100"/>
      <c r="AI237" s="100"/>
      <c r="AJ237" s="100"/>
    </row>
    <row r="238" spans="1:36" ht="19.5" customHeight="1" x14ac:dyDescent="0.3">
      <c r="A238" s="100"/>
      <c r="B238" s="173"/>
      <c r="C238" s="174"/>
      <c r="D238" s="186"/>
      <c r="E238" s="175"/>
      <c r="F238" s="116"/>
      <c r="G238" s="163"/>
      <c r="H238" s="163"/>
      <c r="I238" s="151"/>
      <c r="J238" s="118"/>
      <c r="K238" s="162"/>
      <c r="L238" s="162"/>
      <c r="M238" s="162"/>
      <c r="N238" s="164"/>
      <c r="O238" s="165"/>
      <c r="P238" s="165"/>
      <c r="Q238" s="165"/>
      <c r="R238" s="166"/>
      <c r="S238" s="121"/>
      <c r="T238" s="155"/>
      <c r="U238" s="100"/>
      <c r="V238" s="100"/>
      <c r="W238" s="100"/>
      <c r="X238" s="100"/>
      <c r="Y238" s="100"/>
      <c r="Z238" s="100"/>
      <c r="AA238" s="100"/>
      <c r="AB238" s="100"/>
      <c r="AC238" s="100"/>
      <c r="AD238" s="100"/>
      <c r="AE238" s="100"/>
      <c r="AF238" s="100"/>
      <c r="AG238" s="100"/>
      <c r="AH238" s="100"/>
      <c r="AI238" s="100"/>
      <c r="AJ238" s="100"/>
    </row>
    <row r="239" spans="1:36" ht="19.5" customHeight="1" x14ac:dyDescent="0.3">
      <c r="A239" s="100"/>
      <c r="B239" s="173"/>
      <c r="C239" s="174"/>
      <c r="D239" s="186"/>
      <c r="E239" s="175"/>
      <c r="F239" s="116"/>
      <c r="G239" s="163"/>
      <c r="H239" s="163"/>
      <c r="I239" s="151"/>
      <c r="J239" s="118"/>
      <c r="K239" s="162"/>
      <c r="L239" s="162"/>
      <c r="M239" s="162"/>
      <c r="N239" s="164"/>
      <c r="O239" s="165"/>
      <c r="P239" s="165"/>
      <c r="Q239" s="165"/>
      <c r="R239" s="166"/>
      <c r="S239" s="121"/>
      <c r="T239" s="155"/>
      <c r="U239" s="100"/>
      <c r="V239" s="100"/>
      <c r="W239" s="100"/>
      <c r="X239" s="100"/>
      <c r="Y239" s="100"/>
      <c r="Z239" s="100"/>
      <c r="AA239" s="100"/>
      <c r="AB239" s="100"/>
      <c r="AC239" s="100"/>
      <c r="AD239" s="100"/>
      <c r="AE239" s="100"/>
      <c r="AF239" s="100"/>
      <c r="AG239" s="100"/>
      <c r="AH239" s="100"/>
      <c r="AI239" s="100"/>
      <c r="AJ239" s="100"/>
    </row>
    <row r="240" spans="1:36" ht="19.5" customHeight="1" x14ac:dyDescent="0.3">
      <c r="A240" s="100"/>
      <c r="B240" s="173"/>
      <c r="C240" s="174"/>
      <c r="D240" s="186"/>
      <c r="E240" s="175"/>
      <c r="F240" s="116"/>
      <c r="G240" s="163"/>
      <c r="H240" s="163"/>
      <c r="I240" s="151"/>
      <c r="J240" s="118"/>
      <c r="K240" s="162"/>
      <c r="L240" s="162"/>
      <c r="M240" s="162"/>
      <c r="N240" s="164"/>
      <c r="O240" s="165"/>
      <c r="P240" s="165"/>
      <c r="Q240" s="165"/>
      <c r="R240" s="166"/>
      <c r="S240" s="121"/>
      <c r="T240" s="155"/>
      <c r="U240" s="100"/>
      <c r="V240" s="100"/>
      <c r="W240" s="100"/>
      <c r="X240" s="100"/>
      <c r="Y240" s="100"/>
      <c r="Z240" s="100"/>
      <c r="AA240" s="100"/>
      <c r="AB240" s="100"/>
      <c r="AC240" s="100"/>
      <c r="AD240" s="100"/>
      <c r="AE240" s="100"/>
      <c r="AF240" s="100"/>
      <c r="AG240" s="100"/>
      <c r="AH240" s="100"/>
      <c r="AI240" s="100"/>
      <c r="AJ240" s="100"/>
    </row>
    <row r="241" spans="1:36" s="189" customFormat="1" ht="19.5" customHeight="1" x14ac:dyDescent="0.3">
      <c r="A241" s="100"/>
      <c r="B241" s="199"/>
      <c r="C241" s="199"/>
      <c r="D241" s="199"/>
      <c r="E241" s="200"/>
      <c r="F241" s="200"/>
      <c r="G241" s="200"/>
      <c r="H241" s="200"/>
      <c r="I241" s="201"/>
      <c r="J241" s="202"/>
      <c r="K241" s="202"/>
      <c r="L241" s="202"/>
      <c r="M241" s="202"/>
      <c r="N241" s="203"/>
      <c r="O241" s="204"/>
      <c r="P241" s="204"/>
      <c r="Q241" s="204"/>
      <c r="R241" s="205"/>
      <c r="S241" s="206"/>
      <c r="T241" s="207"/>
      <c r="U241" s="100"/>
      <c r="V241" s="100"/>
      <c r="W241" s="100"/>
      <c r="X241" s="100"/>
      <c r="Y241" s="100"/>
      <c r="Z241" s="100"/>
      <c r="AA241" s="100"/>
      <c r="AB241" s="100"/>
      <c r="AC241" s="100"/>
      <c r="AD241" s="100"/>
      <c r="AE241" s="100"/>
      <c r="AF241" s="100"/>
      <c r="AG241" s="100"/>
      <c r="AH241" s="100"/>
      <c r="AI241" s="100"/>
      <c r="AJ241" s="100"/>
    </row>
    <row r="242" spans="1:36" s="148" customFormat="1" ht="19.5" customHeight="1" x14ac:dyDescent="0.3">
      <c r="A242" s="138"/>
      <c r="B242" s="139"/>
      <c r="C242" s="140"/>
      <c r="D242" s="140"/>
      <c r="E242" s="141"/>
      <c r="F242" s="141"/>
      <c r="G242" s="141"/>
      <c r="H242" s="141"/>
      <c r="I242" s="142"/>
      <c r="J242" s="143"/>
      <c r="K242" s="140"/>
      <c r="L242" s="140"/>
      <c r="M242" s="140"/>
      <c r="N242" s="159"/>
      <c r="O242" s="160"/>
      <c r="P242" s="160"/>
      <c r="Q242" s="160"/>
      <c r="R242" s="161"/>
      <c r="S242" s="147"/>
      <c r="T242" s="155"/>
      <c r="U242" s="138"/>
      <c r="V242" s="138"/>
      <c r="W242" s="138"/>
      <c r="X242" s="138"/>
      <c r="Y242" s="138"/>
      <c r="Z242" s="138"/>
      <c r="AA242" s="138"/>
      <c r="AB242" s="138"/>
      <c r="AC242" s="138"/>
      <c r="AD242" s="138"/>
      <c r="AE242" s="138"/>
      <c r="AF242" s="138"/>
      <c r="AG242" s="138"/>
      <c r="AH242" s="138"/>
      <c r="AI242" s="138"/>
      <c r="AJ242" s="138"/>
    </row>
    <row r="243" spans="1:36" ht="19.5" customHeight="1" x14ac:dyDescent="0.3">
      <c r="A243" s="76"/>
      <c r="B243" s="170"/>
      <c r="C243" s="171"/>
      <c r="D243" s="162"/>
      <c r="E243" s="171"/>
      <c r="F243" s="116"/>
      <c r="G243" s="116"/>
      <c r="H243" s="163"/>
      <c r="I243" s="151"/>
      <c r="J243" s="127"/>
      <c r="K243" s="162"/>
      <c r="L243" s="162"/>
      <c r="M243" s="162"/>
      <c r="N243" s="164"/>
      <c r="O243" s="165"/>
      <c r="P243" s="165"/>
      <c r="Q243" s="165"/>
      <c r="R243" s="166"/>
      <c r="S243" s="83"/>
      <c r="T243" s="155"/>
      <c r="U243" s="76"/>
      <c r="V243" s="76"/>
      <c r="W243" s="76"/>
      <c r="X243" s="76"/>
      <c r="Y243" s="76"/>
      <c r="Z243" s="76"/>
      <c r="AA243" s="76"/>
      <c r="AB243" s="76"/>
      <c r="AC243" s="76"/>
      <c r="AD243" s="76"/>
      <c r="AE243" s="76"/>
      <c r="AF243" s="76"/>
      <c r="AG243" s="76"/>
      <c r="AH243" s="76"/>
      <c r="AI243" s="76"/>
      <c r="AJ243" s="76"/>
    </row>
    <row r="244" spans="1:36" ht="19.5" customHeight="1" x14ac:dyDescent="0.3">
      <c r="A244" s="76"/>
      <c r="B244" s="170"/>
      <c r="C244" s="171"/>
      <c r="D244" s="162"/>
      <c r="E244" s="171"/>
      <c r="F244" s="116"/>
      <c r="G244" s="116"/>
      <c r="H244" s="163"/>
      <c r="I244" s="151"/>
      <c r="J244" s="127"/>
      <c r="K244" s="162"/>
      <c r="L244" s="162"/>
      <c r="M244" s="162"/>
      <c r="N244" s="164"/>
      <c r="O244" s="165"/>
      <c r="P244" s="165"/>
      <c r="Q244" s="165"/>
      <c r="R244" s="166"/>
      <c r="S244" s="83"/>
      <c r="T244" s="155"/>
      <c r="U244" s="76"/>
      <c r="V244" s="76"/>
      <c r="W244" s="76"/>
      <c r="X244" s="76"/>
      <c r="Y244" s="76"/>
      <c r="Z244" s="76"/>
      <c r="AA244" s="76"/>
      <c r="AB244" s="76"/>
      <c r="AC244" s="76"/>
      <c r="AD244" s="76"/>
      <c r="AE244" s="76"/>
      <c r="AF244" s="76"/>
      <c r="AG244" s="76"/>
      <c r="AH244" s="76"/>
      <c r="AI244" s="76"/>
      <c r="AJ244" s="76"/>
    </row>
    <row r="245" spans="1:36" ht="32.25" customHeight="1" x14ac:dyDescent="0.3">
      <c r="A245" s="76"/>
      <c r="B245" s="170"/>
      <c r="C245" s="171"/>
      <c r="D245" s="162"/>
      <c r="E245" s="171"/>
      <c r="F245" s="116"/>
      <c r="G245" s="116"/>
      <c r="H245" s="163"/>
      <c r="I245" s="151"/>
      <c r="J245" s="127"/>
      <c r="K245" s="162"/>
      <c r="L245" s="162"/>
      <c r="M245" s="162"/>
      <c r="N245" s="164"/>
      <c r="O245" s="165"/>
      <c r="P245" s="165"/>
      <c r="Q245" s="165"/>
      <c r="R245" s="166"/>
      <c r="S245" s="83"/>
      <c r="T245" s="155"/>
      <c r="U245" s="76"/>
      <c r="V245" s="76"/>
      <c r="W245" s="76"/>
      <c r="X245" s="76"/>
      <c r="Y245" s="76"/>
      <c r="Z245" s="76"/>
      <c r="AA245" s="76"/>
      <c r="AB245" s="76"/>
      <c r="AC245" s="76"/>
      <c r="AD245" s="76"/>
      <c r="AE245" s="76"/>
      <c r="AF245" s="76"/>
      <c r="AG245" s="76"/>
      <c r="AH245" s="76"/>
      <c r="AI245" s="76"/>
      <c r="AJ245" s="76"/>
    </row>
    <row r="246" spans="1:36" ht="19.5" customHeight="1" x14ac:dyDescent="0.3">
      <c r="A246" s="76"/>
      <c r="B246" s="170"/>
      <c r="C246" s="171"/>
      <c r="D246" s="162"/>
      <c r="E246" s="171"/>
      <c r="F246" s="116"/>
      <c r="G246" s="116"/>
      <c r="H246" s="163"/>
      <c r="I246" s="151"/>
      <c r="J246" s="127"/>
      <c r="K246" s="162"/>
      <c r="L246" s="162"/>
      <c r="M246" s="162"/>
      <c r="N246" s="164"/>
      <c r="O246" s="165"/>
      <c r="P246" s="165"/>
      <c r="Q246" s="165"/>
      <c r="R246" s="166"/>
      <c r="S246" s="83"/>
      <c r="T246" s="155"/>
      <c r="U246" s="76"/>
      <c r="V246" s="76"/>
      <c r="W246" s="76"/>
      <c r="X246" s="76"/>
      <c r="Y246" s="76"/>
      <c r="Z246" s="76"/>
      <c r="AA246" s="76"/>
      <c r="AB246" s="76"/>
      <c r="AC246" s="76"/>
      <c r="AD246" s="76"/>
      <c r="AE246" s="76"/>
      <c r="AF246" s="76"/>
      <c r="AG246" s="76"/>
      <c r="AH246" s="76"/>
      <c r="AI246" s="76"/>
      <c r="AJ246" s="76"/>
    </row>
    <row r="247" spans="1:36" ht="19.5" customHeight="1" x14ac:dyDescent="0.3">
      <c r="A247" s="76"/>
      <c r="B247" s="170"/>
      <c r="C247" s="171"/>
      <c r="D247" s="162"/>
      <c r="E247" s="171"/>
      <c r="F247" s="116"/>
      <c r="G247" s="116"/>
      <c r="H247" s="163"/>
      <c r="I247" s="151"/>
      <c r="J247" s="127"/>
      <c r="K247" s="162"/>
      <c r="L247" s="162"/>
      <c r="M247" s="162"/>
      <c r="N247" s="164"/>
      <c r="O247" s="165"/>
      <c r="P247" s="165"/>
      <c r="Q247" s="165"/>
      <c r="R247" s="166"/>
      <c r="S247" s="83"/>
      <c r="T247" s="155"/>
      <c r="U247" s="76"/>
      <c r="V247" s="76"/>
      <c r="W247" s="76"/>
      <c r="X247" s="76"/>
      <c r="Y247" s="76"/>
      <c r="Z247" s="76"/>
      <c r="AA247" s="76"/>
      <c r="AB247" s="76"/>
      <c r="AC247" s="76"/>
      <c r="AD247" s="76"/>
      <c r="AE247" s="76"/>
      <c r="AF247" s="76"/>
      <c r="AG247" s="76"/>
      <c r="AH247" s="76"/>
      <c r="AI247" s="76"/>
      <c r="AJ247" s="76"/>
    </row>
    <row r="248" spans="1:36" ht="19.5" customHeight="1" x14ac:dyDescent="0.3">
      <c r="A248" s="76"/>
      <c r="B248" s="170"/>
      <c r="C248" s="171"/>
      <c r="D248" s="162"/>
      <c r="E248" s="171"/>
      <c r="F248" s="116"/>
      <c r="G248" s="116"/>
      <c r="H248" s="163"/>
      <c r="I248" s="151"/>
      <c r="J248" s="127"/>
      <c r="K248" s="162"/>
      <c r="L248" s="162"/>
      <c r="M248" s="162"/>
      <c r="N248" s="164"/>
      <c r="O248" s="165"/>
      <c r="P248" s="165"/>
      <c r="Q248" s="165"/>
      <c r="R248" s="166"/>
      <c r="S248" s="83"/>
      <c r="T248" s="155"/>
      <c r="U248" s="76"/>
      <c r="V248" s="76"/>
      <c r="W248" s="76"/>
      <c r="X248" s="76"/>
      <c r="Y248" s="76"/>
      <c r="Z248" s="76"/>
      <c r="AA248" s="76"/>
      <c r="AB248" s="76"/>
      <c r="AC248" s="76"/>
      <c r="AD248" s="76"/>
      <c r="AE248" s="76"/>
      <c r="AF248" s="76"/>
      <c r="AG248" s="76"/>
      <c r="AH248" s="76"/>
      <c r="AI248" s="76"/>
      <c r="AJ248" s="76"/>
    </row>
    <row r="249" spans="1:36" ht="19.5" customHeight="1" x14ac:dyDescent="0.3">
      <c r="A249" s="76"/>
      <c r="B249" s="170"/>
      <c r="C249" s="171"/>
      <c r="D249" s="162"/>
      <c r="E249" s="171"/>
      <c r="F249" s="116"/>
      <c r="G249" s="116"/>
      <c r="H249" s="163"/>
      <c r="I249" s="151"/>
      <c r="J249" s="127"/>
      <c r="K249" s="162"/>
      <c r="L249" s="162"/>
      <c r="M249" s="162"/>
      <c r="N249" s="164"/>
      <c r="O249" s="165"/>
      <c r="P249" s="165"/>
      <c r="Q249" s="165"/>
      <c r="R249" s="166"/>
      <c r="S249" s="83"/>
      <c r="T249" s="155"/>
      <c r="U249" s="76"/>
      <c r="V249" s="76"/>
      <c r="W249" s="76"/>
      <c r="X249" s="76"/>
      <c r="Y249" s="76"/>
      <c r="Z249" s="76"/>
      <c r="AA249" s="76"/>
      <c r="AB249" s="76"/>
      <c r="AC249" s="76"/>
      <c r="AD249" s="76"/>
      <c r="AE249" s="76"/>
      <c r="AF249" s="76"/>
      <c r="AG249" s="76"/>
      <c r="AH249" s="76"/>
      <c r="AI249" s="76"/>
      <c r="AJ249" s="76"/>
    </row>
    <row r="250" spans="1:36" ht="19.5" customHeight="1" x14ac:dyDescent="0.3">
      <c r="A250" s="76"/>
      <c r="B250" s="162"/>
      <c r="C250" s="162"/>
      <c r="D250" s="162"/>
      <c r="E250" s="163"/>
      <c r="F250" s="116"/>
      <c r="G250" s="163"/>
      <c r="H250" s="163"/>
      <c r="I250" s="151"/>
      <c r="J250" s="127"/>
      <c r="K250" s="162"/>
      <c r="L250" s="162"/>
      <c r="M250" s="162"/>
      <c r="N250" s="164"/>
      <c r="O250" s="165"/>
      <c r="P250" s="165"/>
      <c r="Q250" s="165"/>
      <c r="R250" s="166"/>
      <c r="S250" s="83"/>
      <c r="T250" s="155"/>
      <c r="U250" s="76"/>
      <c r="V250" s="76"/>
      <c r="W250" s="76"/>
      <c r="X250" s="76"/>
      <c r="Y250" s="76"/>
      <c r="Z250" s="76"/>
      <c r="AA250" s="76"/>
      <c r="AB250" s="76"/>
      <c r="AC250" s="76"/>
      <c r="AD250" s="76"/>
      <c r="AE250" s="76"/>
      <c r="AF250" s="76"/>
      <c r="AG250" s="76"/>
      <c r="AH250" s="76"/>
      <c r="AI250" s="76"/>
      <c r="AJ250" s="76"/>
    </row>
    <row r="251" spans="1:36" s="148" customFormat="1" ht="19.5" customHeight="1" x14ac:dyDescent="0.3">
      <c r="A251" s="138"/>
      <c r="B251" s="139"/>
      <c r="C251" s="140"/>
      <c r="D251" s="140"/>
      <c r="E251" s="141"/>
      <c r="F251" s="141"/>
      <c r="G251" s="141"/>
      <c r="H251" s="141"/>
      <c r="I251" s="142"/>
      <c r="J251" s="143"/>
      <c r="K251" s="140"/>
      <c r="L251" s="140"/>
      <c r="M251" s="140"/>
      <c r="N251" s="159"/>
      <c r="O251" s="160"/>
      <c r="P251" s="160"/>
      <c r="Q251" s="160"/>
      <c r="R251" s="161"/>
      <c r="S251" s="147"/>
      <c r="T251" s="155"/>
      <c r="U251" s="138"/>
      <c r="V251" s="138"/>
      <c r="W251" s="138"/>
      <c r="X251" s="138"/>
      <c r="Y251" s="138"/>
      <c r="Z251" s="138"/>
      <c r="AA251" s="138"/>
      <c r="AB251" s="138"/>
      <c r="AC251" s="138"/>
      <c r="AD251" s="138"/>
      <c r="AE251" s="138"/>
      <c r="AF251" s="138"/>
      <c r="AG251" s="138"/>
      <c r="AH251" s="138"/>
      <c r="AI251" s="138"/>
      <c r="AJ251" s="138"/>
    </row>
    <row r="252" spans="1:36" ht="19.5" customHeight="1" x14ac:dyDescent="0.3">
      <c r="A252" s="76"/>
      <c r="B252" s="170"/>
      <c r="C252" s="171"/>
      <c r="D252" s="162"/>
      <c r="E252" s="208"/>
      <c r="F252" s="116"/>
      <c r="G252" s="116"/>
      <c r="H252" s="163"/>
      <c r="I252" s="151"/>
      <c r="J252" s="127"/>
      <c r="K252" s="162"/>
      <c r="L252" s="162"/>
      <c r="M252" s="162"/>
      <c r="N252" s="164"/>
      <c r="O252" s="165"/>
      <c r="P252" s="165"/>
      <c r="Q252" s="165"/>
      <c r="R252" s="166"/>
      <c r="S252" s="83"/>
      <c r="T252" s="155"/>
      <c r="U252" s="76"/>
      <c r="V252" s="76"/>
      <c r="W252" s="76"/>
      <c r="X252" s="76"/>
      <c r="Y252" s="76"/>
      <c r="Z252" s="76"/>
      <c r="AA252" s="76"/>
      <c r="AB252" s="76"/>
      <c r="AC252" s="76"/>
      <c r="AD252" s="76"/>
      <c r="AE252" s="76"/>
      <c r="AF252" s="76"/>
      <c r="AG252" s="76"/>
      <c r="AH252" s="76"/>
      <c r="AI252" s="76"/>
      <c r="AJ252" s="76"/>
    </row>
    <row r="253" spans="1:36" ht="19.5" customHeight="1" x14ac:dyDescent="0.3">
      <c r="A253" s="76"/>
      <c r="B253" s="170"/>
      <c r="C253" s="171"/>
      <c r="D253" s="162"/>
      <c r="E253" s="208"/>
      <c r="F253" s="116"/>
      <c r="G253" s="116"/>
      <c r="H253" s="163"/>
      <c r="I253" s="151"/>
      <c r="J253" s="127"/>
      <c r="K253" s="162"/>
      <c r="L253" s="162"/>
      <c r="M253" s="162"/>
      <c r="N253" s="164"/>
      <c r="O253" s="165"/>
      <c r="P253" s="165"/>
      <c r="Q253" s="165"/>
      <c r="R253" s="166"/>
      <c r="S253" s="83"/>
      <c r="T253" s="155"/>
      <c r="U253" s="76"/>
      <c r="V253" s="76"/>
      <c r="W253" s="76"/>
      <c r="X253" s="76"/>
      <c r="Y253" s="76"/>
      <c r="Z253" s="76"/>
      <c r="AA253" s="76"/>
      <c r="AB253" s="76"/>
      <c r="AC253" s="76"/>
      <c r="AD253" s="76"/>
      <c r="AE253" s="76"/>
      <c r="AF253" s="76"/>
      <c r="AG253" s="76"/>
      <c r="AH253" s="76"/>
      <c r="AI253" s="76"/>
      <c r="AJ253" s="76"/>
    </row>
    <row r="254" spans="1:36" ht="19.5" customHeight="1" x14ac:dyDescent="0.3">
      <c r="A254" s="76"/>
      <c r="B254" s="170"/>
      <c r="C254" s="171"/>
      <c r="D254" s="162"/>
      <c r="E254" s="208"/>
      <c r="F254" s="116"/>
      <c r="G254" s="116"/>
      <c r="H254" s="163"/>
      <c r="I254" s="151"/>
      <c r="J254" s="127"/>
      <c r="K254" s="162"/>
      <c r="L254" s="162"/>
      <c r="M254" s="162"/>
      <c r="N254" s="164"/>
      <c r="O254" s="165"/>
      <c r="P254" s="165"/>
      <c r="Q254" s="165"/>
      <c r="R254" s="166"/>
      <c r="S254" s="83"/>
      <c r="T254" s="155"/>
      <c r="U254" s="76"/>
      <c r="V254" s="76"/>
      <c r="W254" s="76"/>
      <c r="X254" s="76"/>
      <c r="Y254" s="76"/>
      <c r="Z254" s="76"/>
      <c r="AA254" s="76"/>
      <c r="AB254" s="76"/>
      <c r="AC254" s="76"/>
      <c r="AD254" s="76"/>
      <c r="AE254" s="76"/>
      <c r="AF254" s="76"/>
      <c r="AG254" s="76"/>
      <c r="AH254" s="76"/>
      <c r="AI254" s="76"/>
      <c r="AJ254" s="76"/>
    </row>
    <row r="255" spans="1:36" ht="19.5" customHeight="1" x14ac:dyDescent="0.3">
      <c r="A255" s="76"/>
      <c r="B255" s="170"/>
      <c r="C255" s="171"/>
      <c r="D255" s="162"/>
      <c r="E255" s="208"/>
      <c r="F255" s="116"/>
      <c r="G255" s="116"/>
      <c r="H255" s="163"/>
      <c r="I255" s="151"/>
      <c r="J255" s="127"/>
      <c r="K255" s="162"/>
      <c r="L255" s="162"/>
      <c r="M255" s="162"/>
      <c r="N255" s="164"/>
      <c r="O255" s="165"/>
      <c r="P255" s="165"/>
      <c r="Q255" s="165"/>
      <c r="R255" s="166"/>
      <c r="S255" s="83"/>
      <c r="T255" s="155"/>
      <c r="U255" s="76"/>
      <c r="V255" s="76"/>
      <c r="W255" s="76"/>
      <c r="X255" s="76"/>
      <c r="Y255" s="76"/>
      <c r="Z255" s="76"/>
      <c r="AA255" s="76"/>
      <c r="AB255" s="76"/>
      <c r="AC255" s="76"/>
      <c r="AD255" s="76"/>
      <c r="AE255" s="76"/>
      <c r="AF255" s="76"/>
      <c r="AG255" s="76"/>
      <c r="AH255" s="76"/>
      <c r="AI255" s="76"/>
      <c r="AJ255" s="76"/>
    </row>
    <row r="256" spans="1:36" ht="19.5" customHeight="1" x14ac:dyDescent="0.3">
      <c r="A256" s="76"/>
      <c r="B256" s="170"/>
      <c r="C256" s="171"/>
      <c r="D256" s="162"/>
      <c r="E256" s="208"/>
      <c r="F256" s="116"/>
      <c r="G256" s="116"/>
      <c r="H256" s="163"/>
      <c r="I256" s="151"/>
      <c r="J256" s="127"/>
      <c r="K256" s="162"/>
      <c r="L256" s="162"/>
      <c r="M256" s="162"/>
      <c r="N256" s="164"/>
      <c r="O256" s="165"/>
      <c r="P256" s="165"/>
      <c r="Q256" s="165"/>
      <c r="R256" s="166"/>
      <c r="S256" s="83"/>
      <c r="T256" s="155"/>
      <c r="U256" s="76"/>
      <c r="V256" s="76"/>
      <c r="W256" s="76"/>
      <c r="X256" s="76"/>
      <c r="Y256" s="76"/>
      <c r="Z256" s="76"/>
      <c r="AA256" s="76"/>
      <c r="AB256" s="76"/>
      <c r="AC256" s="76"/>
      <c r="AD256" s="76"/>
      <c r="AE256" s="76"/>
      <c r="AF256" s="76"/>
      <c r="AG256" s="76"/>
      <c r="AH256" s="76"/>
      <c r="AI256" s="76"/>
      <c r="AJ256" s="76"/>
    </row>
    <row r="257" spans="1:36" ht="19.5" customHeight="1" x14ac:dyDescent="0.3">
      <c r="A257" s="76"/>
      <c r="B257" s="170"/>
      <c r="C257" s="171"/>
      <c r="D257" s="162"/>
      <c r="E257" s="208"/>
      <c r="F257" s="116"/>
      <c r="G257" s="116"/>
      <c r="H257" s="163"/>
      <c r="I257" s="151"/>
      <c r="J257" s="127"/>
      <c r="K257" s="162"/>
      <c r="L257" s="162"/>
      <c r="M257" s="162"/>
      <c r="N257" s="164"/>
      <c r="O257" s="165"/>
      <c r="P257" s="165"/>
      <c r="Q257" s="165"/>
      <c r="R257" s="166"/>
      <c r="S257" s="83"/>
      <c r="T257" s="155"/>
      <c r="U257" s="76"/>
      <c r="V257" s="76"/>
      <c r="W257" s="76"/>
      <c r="X257" s="76"/>
      <c r="Y257" s="76"/>
      <c r="Z257" s="76"/>
      <c r="AA257" s="76"/>
      <c r="AB257" s="76"/>
      <c r="AC257" s="76"/>
      <c r="AD257" s="76"/>
      <c r="AE257" s="76"/>
      <c r="AF257" s="76"/>
      <c r="AG257" s="76"/>
      <c r="AH257" s="76"/>
      <c r="AI257" s="76"/>
      <c r="AJ257" s="76"/>
    </row>
    <row r="258" spans="1:36" ht="19.5" customHeight="1" x14ac:dyDescent="0.3">
      <c r="A258" s="76"/>
      <c r="B258" s="170"/>
      <c r="C258" s="171"/>
      <c r="D258" s="162"/>
      <c r="E258" s="208"/>
      <c r="F258" s="116"/>
      <c r="G258" s="116"/>
      <c r="H258" s="163"/>
      <c r="I258" s="151"/>
      <c r="J258" s="127"/>
      <c r="K258" s="162"/>
      <c r="L258" s="162"/>
      <c r="M258" s="162"/>
      <c r="N258" s="164"/>
      <c r="O258" s="165"/>
      <c r="P258" s="165"/>
      <c r="Q258" s="165"/>
      <c r="R258" s="166"/>
      <c r="S258" s="83"/>
      <c r="T258" s="155"/>
      <c r="U258" s="76"/>
      <c r="V258" s="76"/>
      <c r="W258" s="76"/>
      <c r="X258" s="76"/>
      <c r="Y258" s="76"/>
      <c r="Z258" s="76"/>
      <c r="AA258" s="76"/>
      <c r="AB258" s="76"/>
      <c r="AC258" s="76"/>
      <c r="AD258" s="76"/>
      <c r="AE258" s="76"/>
      <c r="AF258" s="76"/>
      <c r="AG258" s="76"/>
      <c r="AH258" s="76"/>
      <c r="AI258" s="76"/>
      <c r="AJ258" s="76"/>
    </row>
    <row r="259" spans="1:36" ht="19.5" customHeight="1" x14ac:dyDescent="0.3">
      <c r="A259" s="76"/>
      <c r="B259" s="170"/>
      <c r="C259" s="171"/>
      <c r="D259" s="162"/>
      <c r="E259" s="208"/>
      <c r="F259" s="116"/>
      <c r="G259" s="116"/>
      <c r="H259" s="163"/>
      <c r="I259" s="151"/>
      <c r="J259" s="127"/>
      <c r="K259" s="162"/>
      <c r="L259" s="162"/>
      <c r="M259" s="162"/>
      <c r="N259" s="164"/>
      <c r="O259" s="165"/>
      <c r="P259" s="165"/>
      <c r="Q259" s="165"/>
      <c r="R259" s="166"/>
      <c r="S259" s="83"/>
      <c r="T259" s="155"/>
      <c r="U259" s="76"/>
      <c r="V259" s="76"/>
      <c r="W259" s="76"/>
      <c r="X259" s="76"/>
      <c r="Y259" s="76"/>
      <c r="Z259" s="76"/>
      <c r="AA259" s="76"/>
      <c r="AB259" s="76"/>
      <c r="AC259" s="76"/>
      <c r="AD259" s="76"/>
      <c r="AE259" s="76"/>
      <c r="AF259" s="76"/>
      <c r="AG259" s="76"/>
      <c r="AH259" s="76"/>
      <c r="AI259" s="76"/>
      <c r="AJ259" s="76"/>
    </row>
    <row r="260" spans="1:36" ht="19.5" customHeight="1" x14ac:dyDescent="0.3">
      <c r="A260" s="76"/>
      <c r="B260" s="170"/>
      <c r="C260" s="171"/>
      <c r="D260" s="162"/>
      <c r="E260" s="208"/>
      <c r="F260" s="116"/>
      <c r="G260" s="116"/>
      <c r="H260" s="163"/>
      <c r="I260" s="151"/>
      <c r="J260" s="127"/>
      <c r="K260" s="162"/>
      <c r="L260" s="162"/>
      <c r="M260" s="162"/>
      <c r="N260" s="164"/>
      <c r="O260" s="165"/>
      <c r="P260" s="165"/>
      <c r="Q260" s="165"/>
      <c r="R260" s="166"/>
      <c r="S260" s="83"/>
      <c r="T260" s="155"/>
      <c r="U260" s="76"/>
      <c r="V260" s="76"/>
      <c r="W260" s="76"/>
      <c r="X260" s="76"/>
      <c r="Y260" s="76"/>
      <c r="Z260" s="76"/>
      <c r="AA260" s="76"/>
      <c r="AB260" s="76"/>
      <c r="AC260" s="76"/>
      <c r="AD260" s="76"/>
      <c r="AE260" s="76"/>
      <c r="AF260" s="76"/>
      <c r="AG260" s="76"/>
      <c r="AH260" s="76"/>
      <c r="AI260" s="76"/>
      <c r="AJ260" s="76"/>
    </row>
    <row r="261" spans="1:36" ht="19.5" customHeight="1" x14ac:dyDescent="0.3">
      <c r="A261" s="76"/>
      <c r="B261" s="170"/>
      <c r="C261" s="171"/>
      <c r="D261" s="162"/>
      <c r="E261" s="208"/>
      <c r="F261" s="116"/>
      <c r="G261" s="116"/>
      <c r="H261" s="163"/>
      <c r="I261" s="151"/>
      <c r="J261" s="127"/>
      <c r="K261" s="162"/>
      <c r="L261" s="162"/>
      <c r="M261" s="162"/>
      <c r="N261" s="164"/>
      <c r="O261" s="165"/>
      <c r="P261" s="165"/>
      <c r="Q261" s="165"/>
      <c r="R261" s="166"/>
      <c r="S261" s="83"/>
      <c r="T261" s="155"/>
      <c r="U261" s="76"/>
      <c r="V261" s="76"/>
      <c r="W261" s="76"/>
      <c r="X261" s="76"/>
      <c r="Y261" s="76"/>
      <c r="Z261" s="76"/>
      <c r="AA261" s="76"/>
      <c r="AB261" s="76"/>
      <c r="AC261" s="76"/>
      <c r="AD261" s="76"/>
      <c r="AE261" s="76"/>
      <c r="AF261" s="76"/>
      <c r="AG261" s="76"/>
      <c r="AH261" s="76"/>
      <c r="AI261" s="76"/>
      <c r="AJ261" s="76"/>
    </row>
    <row r="262" spans="1:36" ht="19.5" customHeight="1" x14ac:dyDescent="0.3">
      <c r="A262" s="76"/>
      <c r="B262" s="170"/>
      <c r="C262" s="171"/>
      <c r="D262" s="162"/>
      <c r="E262" s="208"/>
      <c r="F262" s="116"/>
      <c r="G262" s="116"/>
      <c r="H262" s="163"/>
      <c r="I262" s="151"/>
      <c r="J262" s="127"/>
      <c r="K262" s="162"/>
      <c r="L262" s="162"/>
      <c r="M262" s="162"/>
      <c r="N262" s="164"/>
      <c r="O262" s="165"/>
      <c r="P262" s="165"/>
      <c r="Q262" s="165"/>
      <c r="R262" s="166"/>
      <c r="S262" s="83"/>
      <c r="T262" s="155"/>
      <c r="U262" s="76"/>
      <c r="V262" s="76"/>
      <c r="W262" s="76"/>
      <c r="X262" s="76"/>
      <c r="Y262" s="76"/>
      <c r="Z262" s="76"/>
      <c r="AA262" s="76"/>
      <c r="AB262" s="76"/>
      <c r="AC262" s="76"/>
      <c r="AD262" s="76"/>
      <c r="AE262" s="76"/>
      <c r="AF262" s="76"/>
      <c r="AG262" s="76"/>
      <c r="AH262" s="76"/>
      <c r="AI262" s="76"/>
      <c r="AJ262" s="76"/>
    </row>
    <row r="263" spans="1:36" ht="19.5" customHeight="1" x14ac:dyDescent="0.3">
      <c r="A263" s="76"/>
      <c r="B263" s="170"/>
      <c r="C263" s="171"/>
      <c r="D263" s="162"/>
      <c r="E263" s="208"/>
      <c r="F263" s="116"/>
      <c r="G263" s="116"/>
      <c r="H263" s="163"/>
      <c r="I263" s="151"/>
      <c r="J263" s="127"/>
      <c r="K263" s="162"/>
      <c r="L263" s="162"/>
      <c r="M263" s="162"/>
      <c r="N263" s="164"/>
      <c r="O263" s="165"/>
      <c r="P263" s="165"/>
      <c r="Q263" s="165"/>
      <c r="R263" s="166"/>
      <c r="S263" s="83"/>
      <c r="T263" s="155"/>
      <c r="U263" s="76"/>
      <c r="V263" s="76"/>
      <c r="W263" s="76"/>
      <c r="X263" s="76"/>
      <c r="Y263" s="76"/>
      <c r="Z263" s="76"/>
      <c r="AA263" s="76"/>
      <c r="AB263" s="76"/>
      <c r="AC263" s="76"/>
      <c r="AD263" s="76"/>
      <c r="AE263" s="76"/>
      <c r="AF263" s="76"/>
      <c r="AG263" s="76"/>
      <c r="AH263" s="76"/>
      <c r="AI263" s="76"/>
      <c r="AJ263" s="76"/>
    </row>
    <row r="264" spans="1:36" ht="19.5" customHeight="1" x14ac:dyDescent="0.3">
      <c r="A264" s="76"/>
      <c r="B264" s="170"/>
      <c r="C264" s="171"/>
      <c r="D264" s="162"/>
      <c r="E264" s="208"/>
      <c r="F264" s="116"/>
      <c r="G264" s="116"/>
      <c r="H264" s="163"/>
      <c r="I264" s="151"/>
      <c r="J264" s="127"/>
      <c r="K264" s="162"/>
      <c r="L264" s="162"/>
      <c r="M264" s="162"/>
      <c r="N264" s="164"/>
      <c r="O264" s="165"/>
      <c r="P264" s="165"/>
      <c r="Q264" s="165"/>
      <c r="R264" s="166"/>
      <c r="S264" s="83"/>
      <c r="T264" s="155"/>
      <c r="U264" s="76"/>
      <c r="V264" s="76"/>
      <c r="W264" s="76"/>
      <c r="X264" s="76"/>
      <c r="Y264" s="76"/>
      <c r="Z264" s="76"/>
      <c r="AA264" s="76"/>
      <c r="AB264" s="76"/>
      <c r="AC264" s="76"/>
      <c r="AD264" s="76"/>
      <c r="AE264" s="76"/>
      <c r="AF264" s="76"/>
      <c r="AG264" s="76"/>
      <c r="AH264" s="76"/>
      <c r="AI264" s="76"/>
      <c r="AJ264" s="76"/>
    </row>
    <row r="265" spans="1:36" ht="19.5" customHeight="1" x14ac:dyDescent="0.3">
      <c r="A265" s="76"/>
      <c r="B265" s="170"/>
      <c r="C265" s="171"/>
      <c r="D265" s="162"/>
      <c r="E265" s="208"/>
      <c r="F265" s="116"/>
      <c r="G265" s="116"/>
      <c r="H265" s="163"/>
      <c r="I265" s="151"/>
      <c r="J265" s="127"/>
      <c r="K265" s="162"/>
      <c r="L265" s="162"/>
      <c r="M265" s="162"/>
      <c r="N265" s="164"/>
      <c r="O265" s="165"/>
      <c r="P265" s="165"/>
      <c r="Q265" s="165"/>
      <c r="R265" s="166"/>
      <c r="S265" s="83"/>
      <c r="T265" s="155"/>
      <c r="U265" s="76"/>
      <c r="V265" s="76"/>
      <c r="W265" s="76"/>
      <c r="X265" s="76"/>
      <c r="Y265" s="76"/>
      <c r="Z265" s="76"/>
      <c r="AA265" s="76"/>
      <c r="AB265" s="76"/>
      <c r="AC265" s="76"/>
      <c r="AD265" s="76"/>
      <c r="AE265" s="76"/>
      <c r="AF265" s="76"/>
      <c r="AG265" s="76"/>
      <c r="AH265" s="76"/>
      <c r="AI265" s="76"/>
      <c r="AJ265" s="76"/>
    </row>
    <row r="266" spans="1:36" ht="19.5" customHeight="1" x14ac:dyDescent="0.3">
      <c r="A266" s="76"/>
      <c r="B266" s="170"/>
      <c r="C266" s="171"/>
      <c r="D266" s="162"/>
      <c r="E266" s="208"/>
      <c r="F266" s="116"/>
      <c r="G266" s="116"/>
      <c r="H266" s="163"/>
      <c r="I266" s="151"/>
      <c r="J266" s="127"/>
      <c r="K266" s="162"/>
      <c r="L266" s="162"/>
      <c r="M266" s="162"/>
      <c r="N266" s="164"/>
      <c r="O266" s="165"/>
      <c r="P266" s="165"/>
      <c r="Q266" s="165"/>
      <c r="R266" s="166"/>
      <c r="S266" s="83"/>
      <c r="T266" s="155"/>
      <c r="U266" s="76"/>
      <c r="V266" s="76"/>
      <c r="W266" s="76"/>
      <c r="X266" s="76"/>
      <c r="Y266" s="76"/>
      <c r="Z266" s="76"/>
      <c r="AA266" s="76"/>
      <c r="AB266" s="76"/>
      <c r="AC266" s="76"/>
      <c r="AD266" s="76"/>
      <c r="AE266" s="76"/>
      <c r="AF266" s="76"/>
      <c r="AG266" s="76"/>
      <c r="AH266" s="76"/>
      <c r="AI266" s="76"/>
      <c r="AJ266" s="76"/>
    </row>
    <row r="267" spans="1:36" ht="19.5" customHeight="1" x14ac:dyDescent="0.3">
      <c r="A267" s="76"/>
      <c r="B267" s="170"/>
      <c r="C267" s="171"/>
      <c r="D267" s="162"/>
      <c r="E267" s="208"/>
      <c r="F267" s="116"/>
      <c r="G267" s="116"/>
      <c r="H267" s="163"/>
      <c r="I267" s="151"/>
      <c r="J267" s="127"/>
      <c r="K267" s="162"/>
      <c r="L267" s="162"/>
      <c r="M267" s="162"/>
      <c r="N267" s="164"/>
      <c r="O267" s="165"/>
      <c r="P267" s="165"/>
      <c r="Q267" s="165"/>
      <c r="R267" s="166"/>
      <c r="S267" s="83"/>
      <c r="T267" s="155"/>
      <c r="U267" s="76"/>
      <c r="V267" s="76"/>
      <c r="W267" s="76"/>
      <c r="X267" s="76"/>
      <c r="Y267" s="76"/>
      <c r="Z267" s="76"/>
      <c r="AA267" s="76"/>
      <c r="AB267" s="76"/>
      <c r="AC267" s="76"/>
      <c r="AD267" s="76"/>
      <c r="AE267" s="76"/>
      <c r="AF267" s="76"/>
      <c r="AG267" s="76"/>
      <c r="AH267" s="76"/>
      <c r="AI267" s="76"/>
      <c r="AJ267" s="76"/>
    </row>
    <row r="268" spans="1:36" ht="19.5" customHeight="1" x14ac:dyDescent="0.3">
      <c r="A268" s="76"/>
      <c r="B268" s="170"/>
      <c r="C268" s="171"/>
      <c r="D268" s="162"/>
      <c r="E268" s="208"/>
      <c r="F268" s="170"/>
      <c r="G268" s="116"/>
      <c r="H268" s="163"/>
      <c r="I268" s="151"/>
      <c r="J268" s="127"/>
      <c r="K268" s="162"/>
      <c r="L268" s="162"/>
      <c r="M268" s="162"/>
      <c r="N268" s="164"/>
      <c r="O268" s="165"/>
      <c r="P268" s="165"/>
      <c r="Q268" s="165"/>
      <c r="R268" s="166"/>
      <c r="S268" s="83"/>
      <c r="T268" s="155"/>
      <c r="U268" s="76"/>
      <c r="V268" s="76"/>
      <c r="W268" s="76"/>
      <c r="X268" s="76"/>
      <c r="Y268" s="76"/>
      <c r="Z268" s="76"/>
      <c r="AA268" s="76"/>
      <c r="AB268" s="76"/>
      <c r="AC268" s="76"/>
      <c r="AD268" s="76"/>
      <c r="AE268" s="76"/>
      <c r="AF268" s="76"/>
      <c r="AG268" s="76"/>
      <c r="AH268" s="76"/>
      <c r="AI268" s="76"/>
      <c r="AJ268" s="76"/>
    </row>
    <row r="269" spans="1:36" s="148" customFormat="1" ht="19.5" customHeight="1" x14ac:dyDescent="0.3">
      <c r="A269" s="138"/>
      <c r="B269" s="139"/>
      <c r="C269" s="140"/>
      <c r="D269" s="140"/>
      <c r="E269" s="141"/>
      <c r="F269" s="141"/>
      <c r="G269" s="141"/>
      <c r="H269" s="141"/>
      <c r="I269" s="142"/>
      <c r="J269" s="143"/>
      <c r="K269" s="140"/>
      <c r="L269" s="140"/>
      <c r="M269" s="140"/>
      <c r="N269" s="144"/>
      <c r="O269" s="145"/>
      <c r="P269" s="145"/>
      <c r="Q269" s="145"/>
      <c r="R269" s="146"/>
      <c r="S269" s="147"/>
      <c r="T269" s="155"/>
      <c r="U269" s="138"/>
      <c r="V269" s="138"/>
      <c r="W269" s="138"/>
      <c r="X269" s="138"/>
      <c r="Y269" s="138"/>
      <c r="Z269" s="138"/>
      <c r="AA269" s="138"/>
      <c r="AB269" s="138"/>
      <c r="AC269" s="138"/>
      <c r="AD269" s="138"/>
      <c r="AE269" s="138"/>
      <c r="AF269" s="138"/>
      <c r="AG269" s="138"/>
      <c r="AH269" s="138"/>
      <c r="AI269" s="138"/>
      <c r="AJ269" s="138"/>
    </row>
    <row r="270" spans="1:36" ht="19.5" customHeight="1" x14ac:dyDescent="0.3">
      <c r="A270" s="76"/>
      <c r="B270" s="170"/>
      <c r="C270" s="171"/>
      <c r="D270" s="162"/>
      <c r="E270" s="171"/>
      <c r="F270" s="116"/>
      <c r="G270" s="116"/>
      <c r="H270" s="163"/>
      <c r="I270" s="151"/>
      <c r="J270" s="127"/>
      <c r="K270" s="162"/>
      <c r="L270" s="162"/>
      <c r="M270" s="162"/>
      <c r="N270" s="164"/>
      <c r="O270" s="165"/>
      <c r="P270" s="165"/>
      <c r="Q270" s="165"/>
      <c r="R270" s="166"/>
      <c r="S270" s="83"/>
      <c r="T270" s="155"/>
      <c r="U270" s="76"/>
      <c r="V270" s="76"/>
      <c r="W270" s="76"/>
      <c r="X270" s="76"/>
      <c r="Y270" s="76"/>
      <c r="Z270" s="76"/>
      <c r="AA270" s="76"/>
      <c r="AB270" s="76"/>
      <c r="AC270" s="76"/>
      <c r="AD270" s="76"/>
      <c r="AE270" s="76"/>
      <c r="AF270" s="76"/>
      <c r="AG270" s="76"/>
      <c r="AH270" s="76"/>
      <c r="AI270" s="76"/>
      <c r="AJ270" s="76"/>
    </row>
    <row r="271" spans="1:36" ht="19.5" customHeight="1" x14ac:dyDescent="0.3">
      <c r="A271" s="76"/>
      <c r="B271" s="170"/>
      <c r="C271" s="171"/>
      <c r="D271" s="162"/>
      <c r="E271" s="171"/>
      <c r="F271" s="116"/>
      <c r="G271" s="116"/>
      <c r="H271" s="163"/>
      <c r="I271" s="151"/>
      <c r="J271" s="127"/>
      <c r="K271" s="162"/>
      <c r="L271" s="162"/>
      <c r="M271" s="162"/>
      <c r="N271" s="164"/>
      <c r="O271" s="165"/>
      <c r="P271" s="165"/>
      <c r="Q271" s="165"/>
      <c r="R271" s="166"/>
      <c r="S271" s="83"/>
      <c r="T271" s="155"/>
      <c r="U271" s="76"/>
      <c r="V271" s="76"/>
      <c r="W271" s="76"/>
      <c r="X271" s="76"/>
      <c r="Y271" s="76"/>
      <c r="Z271" s="76"/>
      <c r="AA271" s="76"/>
      <c r="AB271" s="76"/>
      <c r="AC271" s="76"/>
      <c r="AD271" s="76"/>
      <c r="AE271" s="76"/>
      <c r="AF271" s="76"/>
      <c r="AG271" s="76"/>
      <c r="AH271" s="76"/>
      <c r="AI271" s="76"/>
      <c r="AJ271" s="76"/>
    </row>
    <row r="272" spans="1:36" ht="19.5" customHeight="1" x14ac:dyDescent="0.3">
      <c r="A272" s="76"/>
      <c r="B272" s="170"/>
      <c r="C272" s="171"/>
      <c r="D272" s="162"/>
      <c r="E272" s="171"/>
      <c r="F272" s="116"/>
      <c r="G272" s="116"/>
      <c r="H272" s="163"/>
      <c r="I272" s="151"/>
      <c r="J272" s="127"/>
      <c r="K272" s="162"/>
      <c r="L272" s="162"/>
      <c r="M272" s="162"/>
      <c r="N272" s="164"/>
      <c r="O272" s="165"/>
      <c r="P272" s="165"/>
      <c r="Q272" s="165"/>
      <c r="R272" s="166"/>
      <c r="S272" s="83"/>
      <c r="T272" s="155"/>
      <c r="U272" s="76"/>
      <c r="V272" s="76"/>
      <c r="W272" s="76"/>
      <c r="X272" s="76"/>
      <c r="Y272" s="76"/>
      <c r="Z272" s="76"/>
      <c r="AA272" s="76"/>
      <c r="AB272" s="76"/>
      <c r="AC272" s="76"/>
      <c r="AD272" s="76"/>
      <c r="AE272" s="76"/>
      <c r="AF272" s="76"/>
      <c r="AG272" s="76"/>
      <c r="AH272" s="76"/>
      <c r="AI272" s="76"/>
      <c r="AJ272" s="76"/>
    </row>
    <row r="273" spans="1:36" ht="19.5" customHeight="1" x14ac:dyDescent="0.3">
      <c r="A273" s="76"/>
      <c r="B273" s="170"/>
      <c r="C273" s="171"/>
      <c r="D273" s="162"/>
      <c r="E273" s="171"/>
      <c r="F273" s="116"/>
      <c r="G273" s="116"/>
      <c r="H273" s="163"/>
      <c r="I273" s="151"/>
      <c r="J273" s="127"/>
      <c r="K273" s="162"/>
      <c r="L273" s="162"/>
      <c r="M273" s="162"/>
      <c r="N273" s="164"/>
      <c r="O273" s="165"/>
      <c r="P273" s="165"/>
      <c r="Q273" s="165"/>
      <c r="R273" s="166"/>
      <c r="S273" s="83"/>
      <c r="T273" s="155"/>
      <c r="U273" s="76"/>
      <c r="V273" s="76"/>
      <c r="W273" s="76"/>
      <c r="X273" s="76"/>
      <c r="Y273" s="76"/>
      <c r="Z273" s="76"/>
      <c r="AA273" s="76"/>
      <c r="AB273" s="76"/>
      <c r="AC273" s="76"/>
      <c r="AD273" s="76"/>
      <c r="AE273" s="76"/>
      <c r="AF273" s="76"/>
      <c r="AG273" s="76"/>
      <c r="AH273" s="76"/>
      <c r="AI273" s="76"/>
      <c r="AJ273" s="76"/>
    </row>
    <row r="274" spans="1:36" ht="19.5" customHeight="1" x14ac:dyDescent="0.3">
      <c r="A274" s="76"/>
      <c r="B274" s="170"/>
      <c r="C274" s="171"/>
      <c r="D274" s="162"/>
      <c r="E274" s="171"/>
      <c r="F274" s="116"/>
      <c r="G274" s="116"/>
      <c r="H274" s="163"/>
      <c r="I274" s="151"/>
      <c r="J274" s="127"/>
      <c r="K274" s="162"/>
      <c r="L274" s="162"/>
      <c r="M274" s="162"/>
      <c r="N274" s="164"/>
      <c r="O274" s="165"/>
      <c r="P274" s="165"/>
      <c r="Q274" s="165"/>
      <c r="R274" s="166"/>
      <c r="S274" s="83"/>
      <c r="T274" s="155"/>
      <c r="U274" s="76"/>
      <c r="V274" s="76"/>
      <c r="W274" s="76"/>
      <c r="X274" s="76"/>
      <c r="Y274" s="76"/>
      <c r="Z274" s="76"/>
      <c r="AA274" s="76"/>
      <c r="AB274" s="76"/>
      <c r="AC274" s="76"/>
      <c r="AD274" s="76"/>
      <c r="AE274" s="76"/>
      <c r="AF274" s="76"/>
      <c r="AG274" s="76"/>
      <c r="AH274" s="76"/>
      <c r="AI274" s="76"/>
      <c r="AJ274" s="76"/>
    </row>
    <row r="275" spans="1:36" ht="19.5" customHeight="1" x14ac:dyDescent="0.3">
      <c r="A275" s="76"/>
      <c r="B275" s="162"/>
      <c r="C275" s="162"/>
      <c r="D275" s="162"/>
      <c r="E275" s="163"/>
      <c r="F275" s="116"/>
      <c r="G275" s="163"/>
      <c r="H275" s="163"/>
      <c r="I275" s="151"/>
      <c r="J275" s="127"/>
      <c r="K275" s="162"/>
      <c r="L275" s="162"/>
      <c r="M275" s="162"/>
      <c r="N275" s="164"/>
      <c r="O275" s="165"/>
      <c r="P275" s="165"/>
      <c r="Q275" s="165"/>
      <c r="R275" s="166"/>
      <c r="S275" s="83"/>
      <c r="T275" s="155"/>
      <c r="U275" s="76"/>
      <c r="V275" s="76"/>
      <c r="W275" s="76"/>
      <c r="X275" s="76"/>
      <c r="Y275" s="76"/>
      <c r="Z275" s="76"/>
      <c r="AA275" s="76"/>
      <c r="AB275" s="76"/>
      <c r="AC275" s="76"/>
      <c r="AD275" s="76"/>
      <c r="AE275" s="76"/>
      <c r="AF275" s="76"/>
      <c r="AG275" s="76"/>
      <c r="AH275" s="76"/>
      <c r="AI275" s="76"/>
      <c r="AJ275" s="76"/>
    </row>
    <row r="276" spans="1:36" s="148" customFormat="1" ht="19.5" customHeight="1" x14ac:dyDescent="0.3">
      <c r="A276" s="138"/>
      <c r="B276" s="139"/>
      <c r="C276" s="140"/>
      <c r="D276" s="140"/>
      <c r="E276" s="141"/>
      <c r="F276" s="141"/>
      <c r="G276" s="141"/>
      <c r="H276" s="141"/>
      <c r="I276" s="142"/>
      <c r="J276" s="143"/>
      <c r="K276" s="140"/>
      <c r="L276" s="140"/>
      <c r="M276" s="140"/>
      <c r="N276" s="144"/>
      <c r="O276" s="145"/>
      <c r="P276" s="145"/>
      <c r="Q276" s="145"/>
      <c r="R276" s="146"/>
      <c r="S276" s="147"/>
      <c r="T276" s="155"/>
      <c r="U276" s="138"/>
      <c r="V276" s="138"/>
      <c r="W276" s="138"/>
      <c r="X276" s="138"/>
      <c r="Y276" s="138"/>
      <c r="Z276" s="138"/>
      <c r="AA276" s="138"/>
      <c r="AB276" s="138"/>
      <c r="AC276" s="138"/>
      <c r="AD276" s="138"/>
      <c r="AE276" s="138"/>
      <c r="AF276" s="138"/>
      <c r="AG276" s="138"/>
      <c r="AH276" s="138"/>
      <c r="AI276" s="138"/>
      <c r="AJ276" s="138"/>
    </row>
    <row r="277" spans="1:36" ht="19.5" customHeight="1" x14ac:dyDescent="0.3">
      <c r="A277" s="76"/>
      <c r="B277" s="170"/>
      <c r="C277" s="171"/>
      <c r="D277" s="162"/>
      <c r="E277" s="171"/>
      <c r="F277" s="116"/>
      <c r="G277" s="116"/>
      <c r="H277" s="163"/>
      <c r="I277" s="151"/>
      <c r="J277" s="127"/>
      <c r="K277" s="162"/>
      <c r="L277" s="162"/>
      <c r="M277" s="162"/>
      <c r="N277" s="164"/>
      <c r="O277" s="165"/>
      <c r="P277" s="165"/>
      <c r="Q277" s="165"/>
      <c r="R277" s="166"/>
      <c r="S277" s="83"/>
      <c r="T277" s="155"/>
      <c r="U277" s="76"/>
      <c r="V277" s="76"/>
      <c r="W277" s="76"/>
      <c r="X277" s="76"/>
      <c r="Y277" s="76"/>
      <c r="Z277" s="76"/>
      <c r="AA277" s="76"/>
      <c r="AB277" s="76"/>
      <c r="AC277" s="76"/>
      <c r="AD277" s="76"/>
      <c r="AE277" s="76"/>
      <c r="AF277" s="76"/>
      <c r="AG277" s="76"/>
      <c r="AH277" s="76"/>
      <c r="AI277" s="76"/>
      <c r="AJ277" s="76"/>
    </row>
    <row r="278" spans="1:36" ht="19.5" customHeight="1" x14ac:dyDescent="0.3">
      <c r="A278" s="76"/>
      <c r="B278" s="170"/>
      <c r="C278" s="171"/>
      <c r="D278" s="162"/>
      <c r="E278" s="171"/>
      <c r="F278" s="116"/>
      <c r="G278" s="116"/>
      <c r="H278" s="163"/>
      <c r="I278" s="151"/>
      <c r="J278" s="127"/>
      <c r="K278" s="162"/>
      <c r="L278" s="162"/>
      <c r="M278" s="162"/>
      <c r="N278" s="164"/>
      <c r="O278" s="165"/>
      <c r="P278" s="165"/>
      <c r="Q278" s="165"/>
      <c r="R278" s="166"/>
      <c r="S278" s="83"/>
      <c r="T278" s="155"/>
      <c r="U278" s="76"/>
      <c r="V278" s="76"/>
      <c r="W278" s="76"/>
      <c r="X278" s="76"/>
      <c r="Y278" s="76"/>
      <c r="Z278" s="76"/>
      <c r="AA278" s="76"/>
      <c r="AB278" s="76"/>
      <c r="AC278" s="76"/>
      <c r="AD278" s="76"/>
      <c r="AE278" s="76"/>
      <c r="AF278" s="76"/>
      <c r="AG278" s="76"/>
      <c r="AH278" s="76"/>
      <c r="AI278" s="76"/>
      <c r="AJ278" s="76"/>
    </row>
    <row r="279" spans="1:36" ht="19.5" customHeight="1" x14ac:dyDescent="0.3">
      <c r="A279" s="76"/>
      <c r="B279" s="170"/>
      <c r="C279" s="171"/>
      <c r="D279" s="162"/>
      <c r="E279" s="171"/>
      <c r="F279" s="116"/>
      <c r="G279" s="116"/>
      <c r="H279" s="163"/>
      <c r="I279" s="151"/>
      <c r="J279" s="127"/>
      <c r="K279" s="162"/>
      <c r="L279" s="162"/>
      <c r="M279" s="162"/>
      <c r="N279" s="164"/>
      <c r="O279" s="165"/>
      <c r="P279" s="165"/>
      <c r="Q279" s="165"/>
      <c r="R279" s="166"/>
      <c r="S279" s="83"/>
      <c r="T279" s="155"/>
      <c r="U279" s="76"/>
      <c r="V279" s="76"/>
      <c r="W279" s="76"/>
      <c r="X279" s="76"/>
      <c r="Y279" s="76"/>
      <c r="Z279" s="76"/>
      <c r="AA279" s="76"/>
      <c r="AB279" s="76"/>
      <c r="AC279" s="76"/>
      <c r="AD279" s="76"/>
      <c r="AE279" s="76"/>
      <c r="AF279" s="76"/>
      <c r="AG279" s="76"/>
      <c r="AH279" s="76"/>
      <c r="AI279" s="76"/>
      <c r="AJ279" s="76"/>
    </row>
    <row r="280" spans="1:36" ht="19.5" customHeight="1" x14ac:dyDescent="0.3">
      <c r="A280" s="76"/>
      <c r="B280" s="170"/>
      <c r="C280" s="171"/>
      <c r="D280" s="162"/>
      <c r="E280" s="171"/>
      <c r="F280" s="116"/>
      <c r="G280" s="116"/>
      <c r="H280" s="163"/>
      <c r="I280" s="151"/>
      <c r="J280" s="127"/>
      <c r="K280" s="162"/>
      <c r="L280" s="162"/>
      <c r="M280" s="162"/>
      <c r="N280" s="164"/>
      <c r="O280" s="165"/>
      <c r="P280" s="165"/>
      <c r="Q280" s="165"/>
      <c r="R280" s="166"/>
      <c r="S280" s="83"/>
      <c r="T280" s="155"/>
      <c r="U280" s="76"/>
      <c r="V280" s="76"/>
      <c r="W280" s="76"/>
      <c r="X280" s="76"/>
      <c r="Y280" s="76"/>
      <c r="Z280" s="76"/>
      <c r="AA280" s="76"/>
      <c r="AB280" s="76"/>
      <c r="AC280" s="76"/>
      <c r="AD280" s="76"/>
      <c r="AE280" s="76"/>
      <c r="AF280" s="76"/>
      <c r="AG280" s="76"/>
      <c r="AH280" s="76"/>
      <c r="AI280" s="76"/>
      <c r="AJ280" s="76"/>
    </row>
    <row r="281" spans="1:36" ht="19.5" customHeight="1" x14ac:dyDescent="0.3">
      <c r="A281" s="76"/>
      <c r="B281" s="170"/>
      <c r="C281" s="171"/>
      <c r="D281" s="162"/>
      <c r="E281" s="171"/>
      <c r="F281" s="116"/>
      <c r="G281" s="116"/>
      <c r="H281" s="163"/>
      <c r="I281" s="151"/>
      <c r="J281" s="127"/>
      <c r="K281" s="162"/>
      <c r="L281" s="162"/>
      <c r="M281" s="162"/>
      <c r="N281" s="164"/>
      <c r="O281" s="165"/>
      <c r="P281" s="165"/>
      <c r="Q281" s="165"/>
      <c r="R281" s="166"/>
      <c r="S281" s="83"/>
      <c r="T281" s="155"/>
      <c r="U281" s="76"/>
      <c r="V281" s="76"/>
      <c r="W281" s="76"/>
      <c r="X281" s="76"/>
      <c r="Y281" s="76"/>
      <c r="Z281" s="76"/>
      <c r="AA281" s="76"/>
      <c r="AB281" s="76"/>
      <c r="AC281" s="76"/>
      <c r="AD281" s="76"/>
      <c r="AE281" s="76"/>
      <c r="AF281" s="76"/>
      <c r="AG281" s="76"/>
      <c r="AH281" s="76"/>
      <c r="AI281" s="76"/>
      <c r="AJ281" s="76"/>
    </row>
    <row r="282" spans="1:36" ht="19.5" customHeight="1" x14ac:dyDescent="0.3">
      <c r="A282" s="76"/>
      <c r="B282" s="170"/>
      <c r="C282" s="171"/>
      <c r="D282" s="162"/>
      <c r="E282" s="171"/>
      <c r="F282" s="116"/>
      <c r="G282" s="116"/>
      <c r="H282" s="163"/>
      <c r="I282" s="151"/>
      <c r="J282" s="127"/>
      <c r="K282" s="162"/>
      <c r="L282" s="162"/>
      <c r="M282" s="162"/>
      <c r="N282" s="164"/>
      <c r="O282" s="165"/>
      <c r="P282" s="165"/>
      <c r="Q282" s="165"/>
      <c r="R282" s="166"/>
      <c r="S282" s="83"/>
      <c r="T282" s="155"/>
      <c r="U282" s="76"/>
      <c r="V282" s="76"/>
      <c r="W282" s="76"/>
      <c r="X282" s="76"/>
      <c r="Y282" s="76"/>
      <c r="Z282" s="76"/>
      <c r="AA282" s="76"/>
      <c r="AB282" s="76"/>
      <c r="AC282" s="76"/>
      <c r="AD282" s="76"/>
      <c r="AE282" s="76"/>
      <c r="AF282" s="76"/>
      <c r="AG282" s="76"/>
      <c r="AH282" s="76"/>
      <c r="AI282" s="76"/>
      <c r="AJ282" s="76"/>
    </row>
    <row r="283" spans="1:36" ht="19.5" customHeight="1" x14ac:dyDescent="0.3">
      <c r="A283" s="76"/>
      <c r="B283" s="170"/>
      <c r="C283" s="171"/>
      <c r="D283" s="162"/>
      <c r="E283" s="171"/>
      <c r="F283" s="116"/>
      <c r="G283" s="116"/>
      <c r="H283" s="163"/>
      <c r="I283" s="151"/>
      <c r="J283" s="127"/>
      <c r="K283" s="162"/>
      <c r="L283" s="162"/>
      <c r="M283" s="162"/>
      <c r="N283" s="164"/>
      <c r="O283" s="165"/>
      <c r="P283" s="165"/>
      <c r="Q283" s="165"/>
      <c r="R283" s="166"/>
      <c r="S283" s="83"/>
      <c r="T283" s="155"/>
      <c r="U283" s="76"/>
      <c r="V283" s="76"/>
      <c r="W283" s="76"/>
      <c r="X283" s="76"/>
      <c r="Y283" s="76"/>
      <c r="Z283" s="76"/>
      <c r="AA283" s="76"/>
      <c r="AB283" s="76"/>
      <c r="AC283" s="76"/>
      <c r="AD283" s="76"/>
      <c r="AE283" s="76"/>
      <c r="AF283" s="76"/>
      <c r="AG283" s="76"/>
      <c r="AH283" s="76"/>
      <c r="AI283" s="76"/>
      <c r="AJ283" s="76"/>
    </row>
    <row r="284" spans="1:36" ht="19.5" customHeight="1" x14ac:dyDescent="0.3">
      <c r="A284" s="76"/>
      <c r="B284" s="170"/>
      <c r="C284" s="171"/>
      <c r="D284" s="162"/>
      <c r="E284" s="171"/>
      <c r="F284" s="116"/>
      <c r="G284" s="116"/>
      <c r="H284" s="163"/>
      <c r="I284" s="151"/>
      <c r="J284" s="127"/>
      <c r="K284" s="162"/>
      <c r="L284" s="162"/>
      <c r="M284" s="162"/>
      <c r="N284" s="164"/>
      <c r="O284" s="165"/>
      <c r="P284" s="165"/>
      <c r="Q284" s="165"/>
      <c r="R284" s="166"/>
      <c r="S284" s="83"/>
      <c r="T284" s="155"/>
      <c r="U284" s="76"/>
      <c r="V284" s="76"/>
      <c r="W284" s="76"/>
      <c r="X284" s="76"/>
      <c r="Y284" s="76"/>
      <c r="Z284" s="76"/>
      <c r="AA284" s="76"/>
      <c r="AB284" s="76"/>
      <c r="AC284" s="76"/>
      <c r="AD284" s="76"/>
      <c r="AE284" s="76"/>
      <c r="AF284" s="76"/>
      <c r="AG284" s="76"/>
      <c r="AH284" s="76"/>
      <c r="AI284" s="76"/>
      <c r="AJ284" s="76"/>
    </row>
    <row r="285" spans="1:36" ht="19.5" customHeight="1" x14ac:dyDescent="0.3">
      <c r="A285" s="76"/>
      <c r="B285" s="172"/>
      <c r="C285" s="209"/>
      <c r="D285" s="162"/>
      <c r="E285" s="209"/>
      <c r="F285" s="116"/>
      <c r="G285" s="116"/>
      <c r="H285" s="163"/>
      <c r="I285" s="151"/>
      <c r="J285" s="127"/>
      <c r="K285" s="162"/>
      <c r="L285" s="162"/>
      <c r="M285" s="162"/>
      <c r="N285" s="164"/>
      <c r="O285" s="165"/>
      <c r="P285" s="165"/>
      <c r="Q285" s="165"/>
      <c r="R285" s="166"/>
      <c r="S285" s="83"/>
      <c r="T285" s="155"/>
      <c r="U285" s="76"/>
      <c r="V285" s="76"/>
      <c r="W285" s="76"/>
      <c r="X285" s="76"/>
      <c r="Y285" s="76"/>
      <c r="Z285" s="76"/>
      <c r="AA285" s="76"/>
      <c r="AB285" s="76"/>
      <c r="AC285" s="76"/>
      <c r="AD285" s="76"/>
      <c r="AE285" s="76"/>
      <c r="AF285" s="76"/>
      <c r="AG285" s="76"/>
      <c r="AH285" s="76"/>
      <c r="AI285" s="76"/>
      <c r="AJ285" s="76"/>
    </row>
    <row r="286" spans="1:36" s="148" customFormat="1" ht="19.5" customHeight="1" x14ac:dyDescent="0.3">
      <c r="A286" s="138"/>
      <c r="B286" s="139"/>
      <c r="C286" s="139"/>
      <c r="D286" s="140"/>
      <c r="E286" s="141"/>
      <c r="F286" s="141"/>
      <c r="G286" s="141"/>
      <c r="H286" s="141"/>
      <c r="I286" s="142"/>
      <c r="J286" s="143"/>
      <c r="K286" s="140"/>
      <c r="L286" s="140"/>
      <c r="M286" s="140"/>
      <c r="N286" s="144"/>
      <c r="O286" s="145"/>
      <c r="P286" s="145"/>
      <c r="Q286" s="145"/>
      <c r="R286" s="146"/>
      <c r="S286" s="147"/>
      <c r="T286" s="155"/>
      <c r="U286" s="138"/>
      <c r="V286" s="138"/>
      <c r="W286" s="138"/>
      <c r="X286" s="138"/>
      <c r="Y286" s="138"/>
      <c r="Z286" s="138"/>
      <c r="AA286" s="138"/>
      <c r="AB286" s="138"/>
      <c r="AC286" s="138"/>
      <c r="AD286" s="138"/>
      <c r="AE286" s="138"/>
      <c r="AF286" s="138"/>
      <c r="AG286" s="138"/>
      <c r="AH286" s="138"/>
      <c r="AI286" s="138"/>
      <c r="AJ286" s="138"/>
    </row>
    <row r="287" spans="1:36" ht="19.5" customHeight="1" x14ac:dyDescent="0.3">
      <c r="A287" s="76"/>
      <c r="B287" s="184"/>
      <c r="C287" s="185"/>
      <c r="D287" s="162"/>
      <c r="E287" s="185"/>
      <c r="F287" s="116"/>
      <c r="G287" s="116"/>
      <c r="H287" s="163"/>
      <c r="I287" s="151"/>
      <c r="J287" s="127"/>
      <c r="K287" s="162"/>
      <c r="L287" s="162"/>
      <c r="M287" s="162"/>
      <c r="N287" s="164"/>
      <c r="O287" s="165"/>
      <c r="P287" s="165"/>
      <c r="Q287" s="165"/>
      <c r="R287" s="166"/>
      <c r="S287" s="83"/>
      <c r="T287" s="155"/>
      <c r="U287" s="76"/>
      <c r="V287" s="76"/>
      <c r="W287" s="76"/>
      <c r="X287" s="76"/>
      <c r="Y287" s="76"/>
      <c r="Z287" s="76"/>
      <c r="AA287" s="76"/>
      <c r="AB287" s="76"/>
      <c r="AC287" s="76"/>
      <c r="AD287" s="76"/>
      <c r="AE287" s="76"/>
      <c r="AF287" s="76"/>
      <c r="AG287" s="76"/>
      <c r="AH287" s="76"/>
      <c r="AI287" s="76"/>
      <c r="AJ287" s="76"/>
    </row>
    <row r="288" spans="1:36" ht="19.5" customHeight="1" x14ac:dyDescent="0.3">
      <c r="A288" s="76"/>
      <c r="B288" s="184"/>
      <c r="C288" s="185"/>
      <c r="D288" s="162"/>
      <c r="E288" s="185"/>
      <c r="F288" s="116"/>
      <c r="G288" s="116"/>
      <c r="H288" s="163"/>
      <c r="I288" s="151"/>
      <c r="J288" s="127"/>
      <c r="K288" s="162"/>
      <c r="L288" s="162"/>
      <c r="M288" s="162"/>
      <c r="N288" s="164"/>
      <c r="O288" s="165"/>
      <c r="P288" s="165"/>
      <c r="Q288" s="165"/>
      <c r="R288" s="166"/>
      <c r="S288" s="83"/>
      <c r="T288" s="155"/>
      <c r="U288" s="76"/>
      <c r="V288" s="76"/>
      <c r="W288" s="76"/>
      <c r="X288" s="76"/>
      <c r="Y288" s="76"/>
      <c r="Z288" s="76"/>
      <c r="AA288" s="76"/>
      <c r="AB288" s="76"/>
      <c r="AC288" s="76"/>
      <c r="AD288" s="76"/>
      <c r="AE288" s="76"/>
      <c r="AF288" s="76"/>
      <c r="AG288" s="76"/>
      <c r="AH288" s="76"/>
      <c r="AI288" s="76"/>
      <c r="AJ288" s="76"/>
    </row>
    <row r="289" spans="1:36" ht="19.5" customHeight="1" x14ac:dyDescent="0.3">
      <c r="A289" s="76"/>
      <c r="B289" s="184"/>
      <c r="C289" s="185"/>
      <c r="D289" s="162"/>
      <c r="E289" s="185"/>
      <c r="F289" s="116"/>
      <c r="G289" s="116"/>
      <c r="H289" s="163"/>
      <c r="I289" s="151"/>
      <c r="J289" s="127"/>
      <c r="K289" s="162"/>
      <c r="L289" s="162"/>
      <c r="M289" s="162"/>
      <c r="N289" s="164"/>
      <c r="O289" s="165"/>
      <c r="P289" s="165"/>
      <c r="Q289" s="165"/>
      <c r="R289" s="166"/>
      <c r="S289" s="83"/>
      <c r="T289" s="155"/>
      <c r="U289" s="76"/>
      <c r="V289" s="76"/>
      <c r="W289" s="76"/>
      <c r="X289" s="76"/>
      <c r="Y289" s="76"/>
      <c r="Z289" s="76"/>
      <c r="AA289" s="76"/>
      <c r="AB289" s="76"/>
      <c r="AC289" s="76"/>
      <c r="AD289" s="76"/>
      <c r="AE289" s="76"/>
      <c r="AF289" s="76"/>
      <c r="AG289" s="76"/>
      <c r="AH289" s="76"/>
      <c r="AI289" s="76"/>
      <c r="AJ289" s="76"/>
    </row>
    <row r="290" spans="1:36" ht="19.5" customHeight="1" x14ac:dyDescent="0.3">
      <c r="A290" s="76"/>
      <c r="B290" s="184"/>
      <c r="C290" s="185"/>
      <c r="D290" s="162"/>
      <c r="E290" s="185"/>
      <c r="F290" s="116"/>
      <c r="G290" s="116"/>
      <c r="H290" s="163"/>
      <c r="I290" s="151"/>
      <c r="J290" s="127"/>
      <c r="K290" s="162"/>
      <c r="L290" s="162"/>
      <c r="M290" s="162"/>
      <c r="N290" s="164"/>
      <c r="O290" s="165"/>
      <c r="P290" s="165"/>
      <c r="Q290" s="165"/>
      <c r="R290" s="166"/>
      <c r="S290" s="83"/>
      <c r="T290" s="155"/>
      <c r="U290" s="76"/>
      <c r="V290" s="76"/>
      <c r="W290" s="76"/>
      <c r="X290" s="76"/>
      <c r="Y290" s="76"/>
      <c r="Z290" s="76"/>
      <c r="AA290" s="76"/>
      <c r="AB290" s="76"/>
      <c r="AC290" s="76"/>
      <c r="AD290" s="76"/>
      <c r="AE290" s="76"/>
      <c r="AF290" s="76"/>
      <c r="AG290" s="76"/>
      <c r="AH290" s="76"/>
      <c r="AI290" s="76"/>
      <c r="AJ290" s="76"/>
    </row>
    <row r="291" spans="1:36" ht="19.5" customHeight="1" x14ac:dyDescent="0.3">
      <c r="A291" s="76"/>
      <c r="B291" s="184"/>
      <c r="C291" s="185"/>
      <c r="D291" s="162"/>
      <c r="E291" s="185"/>
      <c r="F291" s="116"/>
      <c r="G291" s="116"/>
      <c r="H291" s="163"/>
      <c r="I291" s="151"/>
      <c r="J291" s="127"/>
      <c r="K291" s="162"/>
      <c r="L291" s="162"/>
      <c r="M291" s="162"/>
      <c r="N291" s="164"/>
      <c r="O291" s="165"/>
      <c r="P291" s="165"/>
      <c r="Q291" s="165"/>
      <c r="R291" s="166"/>
      <c r="S291" s="83"/>
      <c r="T291" s="155"/>
      <c r="U291" s="76"/>
      <c r="V291" s="76"/>
      <c r="W291" s="76"/>
      <c r="X291" s="76"/>
      <c r="Y291" s="76"/>
      <c r="Z291" s="76"/>
      <c r="AA291" s="76"/>
      <c r="AB291" s="76"/>
      <c r="AC291" s="76"/>
      <c r="AD291" s="76"/>
      <c r="AE291" s="76"/>
      <c r="AF291" s="76"/>
      <c r="AG291" s="76"/>
      <c r="AH291" s="76"/>
      <c r="AI291" s="76"/>
      <c r="AJ291" s="76"/>
    </row>
    <row r="292" spans="1:36" ht="19.5" customHeight="1" x14ac:dyDescent="0.3">
      <c r="A292" s="76"/>
      <c r="B292" s="184"/>
      <c r="C292" s="185"/>
      <c r="D292" s="162"/>
      <c r="E292" s="185"/>
      <c r="F292" s="116"/>
      <c r="G292" s="116"/>
      <c r="H292" s="163"/>
      <c r="I292" s="151"/>
      <c r="J292" s="127"/>
      <c r="K292" s="162"/>
      <c r="L292" s="162"/>
      <c r="M292" s="162"/>
      <c r="N292" s="164"/>
      <c r="O292" s="165"/>
      <c r="P292" s="165"/>
      <c r="Q292" s="165"/>
      <c r="R292" s="166"/>
      <c r="S292" s="83"/>
      <c r="T292" s="155"/>
      <c r="U292" s="76"/>
      <c r="V292" s="76"/>
      <c r="W292" s="76"/>
      <c r="X292" s="76"/>
      <c r="Y292" s="76"/>
      <c r="Z292" s="76"/>
      <c r="AA292" s="76"/>
      <c r="AB292" s="76"/>
      <c r="AC292" s="76"/>
      <c r="AD292" s="76"/>
      <c r="AE292" s="76"/>
      <c r="AF292" s="76"/>
      <c r="AG292" s="76"/>
      <c r="AH292" s="76"/>
      <c r="AI292" s="76"/>
      <c r="AJ292" s="76"/>
    </row>
    <row r="293" spans="1:36" ht="19.5" customHeight="1" x14ac:dyDescent="0.3">
      <c r="A293" s="76"/>
      <c r="B293" s="184"/>
      <c r="C293" s="185"/>
      <c r="D293" s="162"/>
      <c r="E293" s="185"/>
      <c r="F293" s="116"/>
      <c r="G293" s="116"/>
      <c r="H293" s="163"/>
      <c r="I293" s="151"/>
      <c r="J293" s="127"/>
      <c r="K293" s="162"/>
      <c r="L293" s="162"/>
      <c r="M293" s="162"/>
      <c r="N293" s="164"/>
      <c r="O293" s="165"/>
      <c r="P293" s="165"/>
      <c r="Q293" s="165"/>
      <c r="R293" s="166"/>
      <c r="S293" s="83"/>
      <c r="T293" s="155"/>
      <c r="U293" s="76"/>
      <c r="V293" s="76"/>
      <c r="W293" s="76"/>
      <c r="X293" s="76"/>
      <c r="Y293" s="76"/>
      <c r="Z293" s="76"/>
      <c r="AA293" s="76"/>
      <c r="AB293" s="76"/>
      <c r="AC293" s="76"/>
      <c r="AD293" s="76"/>
      <c r="AE293" s="76"/>
      <c r="AF293" s="76"/>
      <c r="AG293" s="76"/>
      <c r="AH293" s="76"/>
      <c r="AI293" s="76"/>
      <c r="AJ293" s="76"/>
    </row>
    <row r="294" spans="1:36" ht="19.5" customHeight="1" x14ac:dyDescent="0.3">
      <c r="A294" s="76"/>
      <c r="B294" s="184"/>
      <c r="C294" s="185"/>
      <c r="D294" s="162"/>
      <c r="E294" s="185"/>
      <c r="F294" s="116"/>
      <c r="G294" s="116"/>
      <c r="H294" s="163"/>
      <c r="I294" s="151"/>
      <c r="J294" s="127"/>
      <c r="K294" s="162"/>
      <c r="L294" s="162"/>
      <c r="M294" s="162"/>
      <c r="N294" s="164"/>
      <c r="O294" s="165"/>
      <c r="P294" s="165"/>
      <c r="Q294" s="165"/>
      <c r="R294" s="166"/>
      <c r="S294" s="83"/>
      <c r="T294" s="155"/>
      <c r="U294" s="76"/>
      <c r="V294" s="76"/>
      <c r="W294" s="76"/>
      <c r="X294" s="76"/>
      <c r="Y294" s="76"/>
      <c r="Z294" s="76"/>
      <c r="AA294" s="76"/>
      <c r="AB294" s="76"/>
      <c r="AC294" s="76"/>
      <c r="AD294" s="76"/>
      <c r="AE294" s="76"/>
      <c r="AF294" s="76"/>
      <c r="AG294" s="76"/>
      <c r="AH294" s="76"/>
      <c r="AI294" s="76"/>
      <c r="AJ294" s="76"/>
    </row>
    <row r="295" spans="1:36" ht="19.5" customHeight="1" x14ac:dyDescent="0.3">
      <c r="A295" s="76"/>
      <c r="B295" s="184"/>
      <c r="C295" s="185"/>
      <c r="D295" s="162"/>
      <c r="E295" s="185"/>
      <c r="F295" s="116"/>
      <c r="G295" s="116"/>
      <c r="H295" s="163"/>
      <c r="I295" s="151"/>
      <c r="J295" s="127"/>
      <c r="K295" s="162"/>
      <c r="L295" s="162"/>
      <c r="M295" s="162"/>
      <c r="N295" s="164"/>
      <c r="O295" s="165"/>
      <c r="P295" s="165"/>
      <c r="Q295" s="165"/>
      <c r="R295" s="166"/>
      <c r="S295" s="83"/>
      <c r="T295" s="155"/>
      <c r="U295" s="76"/>
      <c r="V295" s="76"/>
      <c r="W295" s="76"/>
      <c r="X295" s="76"/>
      <c r="Y295" s="76"/>
      <c r="Z295" s="76"/>
      <c r="AA295" s="76"/>
      <c r="AB295" s="76"/>
      <c r="AC295" s="76"/>
      <c r="AD295" s="76"/>
      <c r="AE295" s="76"/>
      <c r="AF295" s="76"/>
      <c r="AG295" s="76"/>
      <c r="AH295" s="76"/>
      <c r="AI295" s="76"/>
      <c r="AJ295" s="76"/>
    </row>
    <row r="296" spans="1:36" ht="19.5" customHeight="1" x14ac:dyDescent="0.3">
      <c r="A296" s="76"/>
      <c r="B296" s="184"/>
      <c r="C296" s="185"/>
      <c r="D296" s="162"/>
      <c r="E296" s="185"/>
      <c r="F296" s="116"/>
      <c r="G296" s="116"/>
      <c r="H296" s="163"/>
      <c r="I296" s="151"/>
      <c r="J296" s="127"/>
      <c r="K296" s="162"/>
      <c r="L296" s="162"/>
      <c r="M296" s="162"/>
      <c r="N296" s="164"/>
      <c r="O296" s="165"/>
      <c r="P296" s="165"/>
      <c r="Q296" s="165"/>
      <c r="R296" s="166"/>
      <c r="S296" s="83"/>
      <c r="T296" s="155"/>
      <c r="U296" s="76"/>
      <c r="V296" s="76"/>
      <c r="W296" s="76"/>
      <c r="X296" s="76"/>
      <c r="Y296" s="76"/>
      <c r="Z296" s="76"/>
      <c r="AA296" s="76"/>
      <c r="AB296" s="76"/>
      <c r="AC296" s="76"/>
      <c r="AD296" s="76"/>
      <c r="AE296" s="76"/>
      <c r="AF296" s="76"/>
      <c r="AG296" s="76"/>
      <c r="AH296" s="76"/>
      <c r="AI296" s="76"/>
      <c r="AJ296" s="76"/>
    </row>
    <row r="297" spans="1:36" ht="19.5" customHeight="1" x14ac:dyDescent="0.3">
      <c r="A297" s="76"/>
      <c r="B297" s="184"/>
      <c r="C297" s="185"/>
      <c r="D297" s="162"/>
      <c r="E297" s="185"/>
      <c r="F297" s="116"/>
      <c r="G297" s="116"/>
      <c r="H297" s="163"/>
      <c r="I297" s="151"/>
      <c r="J297" s="127"/>
      <c r="K297" s="162"/>
      <c r="L297" s="162"/>
      <c r="M297" s="162"/>
      <c r="N297" s="164"/>
      <c r="O297" s="165"/>
      <c r="P297" s="165"/>
      <c r="Q297" s="165"/>
      <c r="R297" s="166"/>
      <c r="S297" s="83"/>
      <c r="T297" s="155"/>
      <c r="U297" s="76"/>
      <c r="V297" s="76"/>
      <c r="W297" s="76"/>
      <c r="X297" s="76"/>
      <c r="Y297" s="76"/>
      <c r="Z297" s="76"/>
      <c r="AA297" s="76"/>
      <c r="AB297" s="76"/>
      <c r="AC297" s="76"/>
      <c r="AD297" s="76"/>
      <c r="AE297" s="76"/>
      <c r="AF297" s="76"/>
      <c r="AG297" s="76"/>
      <c r="AH297" s="76"/>
      <c r="AI297" s="76"/>
      <c r="AJ297" s="76"/>
    </row>
    <row r="298" spans="1:36" ht="19.5" customHeight="1" x14ac:dyDescent="0.3">
      <c r="A298" s="76"/>
      <c r="B298" s="184"/>
      <c r="C298" s="185"/>
      <c r="D298" s="162"/>
      <c r="E298" s="185"/>
      <c r="F298" s="116"/>
      <c r="G298" s="116"/>
      <c r="H298" s="163"/>
      <c r="I298" s="151"/>
      <c r="J298" s="127"/>
      <c r="K298" s="162"/>
      <c r="L298" s="162"/>
      <c r="M298" s="162"/>
      <c r="N298" s="164"/>
      <c r="O298" s="165"/>
      <c r="P298" s="165"/>
      <c r="Q298" s="165"/>
      <c r="R298" s="166"/>
      <c r="S298" s="83"/>
      <c r="T298" s="155"/>
      <c r="U298" s="76"/>
      <c r="V298" s="76"/>
      <c r="W298" s="76"/>
      <c r="X298" s="76"/>
      <c r="Y298" s="76"/>
      <c r="Z298" s="76"/>
      <c r="AA298" s="76"/>
      <c r="AB298" s="76"/>
      <c r="AC298" s="76"/>
      <c r="AD298" s="76"/>
      <c r="AE298" s="76"/>
      <c r="AF298" s="76"/>
      <c r="AG298" s="76"/>
      <c r="AH298" s="76"/>
      <c r="AI298" s="76"/>
      <c r="AJ298" s="76"/>
    </row>
    <row r="299" spans="1:36" s="148" customFormat="1" ht="19.5" customHeight="1" x14ac:dyDescent="0.3">
      <c r="A299" s="138"/>
      <c r="B299" s="139"/>
      <c r="C299" s="139"/>
      <c r="D299" s="210"/>
      <c r="E299" s="211"/>
      <c r="F299" s="211"/>
      <c r="G299" s="211"/>
      <c r="H299" s="211"/>
      <c r="I299" s="142"/>
      <c r="J299" s="143"/>
      <c r="K299" s="140"/>
      <c r="L299" s="140"/>
      <c r="M299" s="140"/>
      <c r="N299" s="144"/>
      <c r="O299" s="145"/>
      <c r="P299" s="145"/>
      <c r="Q299" s="145"/>
      <c r="R299" s="146"/>
      <c r="S299" s="147"/>
      <c r="T299" s="155"/>
      <c r="U299" s="138"/>
      <c r="V299" s="138"/>
      <c r="W299" s="138"/>
      <c r="X299" s="138"/>
      <c r="Y299" s="138"/>
      <c r="Z299" s="138"/>
      <c r="AA299" s="138"/>
      <c r="AB299" s="138"/>
      <c r="AC299" s="138"/>
      <c r="AD299" s="138"/>
      <c r="AE299" s="138"/>
      <c r="AF299" s="138"/>
      <c r="AG299" s="138"/>
      <c r="AH299" s="138"/>
      <c r="AI299" s="138"/>
      <c r="AJ299" s="138"/>
    </row>
    <row r="300" spans="1:36" ht="19.5" customHeight="1" x14ac:dyDescent="0.3">
      <c r="A300" s="76"/>
      <c r="B300" s="184"/>
      <c r="C300" s="185"/>
      <c r="D300" s="162"/>
      <c r="E300" s="185"/>
      <c r="F300" s="116"/>
      <c r="G300" s="116"/>
      <c r="H300" s="163"/>
      <c r="I300" s="151"/>
      <c r="J300" s="127"/>
      <c r="K300" s="162"/>
      <c r="L300" s="162"/>
      <c r="M300" s="162"/>
      <c r="N300" s="164"/>
      <c r="O300" s="165"/>
      <c r="P300" s="165"/>
      <c r="Q300" s="165"/>
      <c r="R300" s="166"/>
      <c r="S300" s="83"/>
      <c r="T300" s="155"/>
      <c r="U300" s="76"/>
      <c r="V300" s="76"/>
      <c r="W300" s="76"/>
      <c r="X300" s="76"/>
      <c r="Y300" s="76"/>
      <c r="Z300" s="76"/>
      <c r="AA300" s="76"/>
      <c r="AB300" s="76"/>
      <c r="AC300" s="76"/>
      <c r="AD300" s="76"/>
      <c r="AE300" s="76"/>
      <c r="AF300" s="76"/>
      <c r="AG300" s="76"/>
      <c r="AH300" s="76"/>
      <c r="AI300" s="76"/>
      <c r="AJ300" s="76"/>
    </row>
    <row r="301" spans="1:36" ht="19.5" customHeight="1" x14ac:dyDescent="0.3">
      <c r="A301" s="76"/>
      <c r="B301" s="184"/>
      <c r="C301" s="185"/>
      <c r="D301" s="162"/>
      <c r="E301" s="185"/>
      <c r="F301" s="116"/>
      <c r="G301" s="116"/>
      <c r="H301" s="163"/>
      <c r="I301" s="151"/>
      <c r="J301" s="127"/>
      <c r="K301" s="162"/>
      <c r="L301" s="162"/>
      <c r="M301" s="162"/>
      <c r="N301" s="164"/>
      <c r="O301" s="165"/>
      <c r="P301" s="165"/>
      <c r="Q301" s="165"/>
      <c r="R301" s="166"/>
      <c r="S301" s="83"/>
      <c r="T301" s="155"/>
      <c r="U301" s="76"/>
      <c r="V301" s="76"/>
      <c r="W301" s="76"/>
      <c r="X301" s="76"/>
      <c r="Y301" s="76"/>
      <c r="Z301" s="76"/>
      <c r="AA301" s="76"/>
      <c r="AB301" s="76"/>
      <c r="AC301" s="76"/>
      <c r="AD301" s="76"/>
      <c r="AE301" s="76"/>
      <c r="AF301" s="76"/>
      <c r="AG301" s="76"/>
      <c r="AH301" s="76"/>
      <c r="AI301" s="76"/>
      <c r="AJ301" s="76"/>
    </row>
    <row r="302" spans="1:36" ht="19.5" customHeight="1" x14ac:dyDescent="0.3">
      <c r="A302" s="76"/>
      <c r="B302" s="184"/>
      <c r="C302" s="185"/>
      <c r="D302" s="162"/>
      <c r="E302" s="185"/>
      <c r="F302" s="116"/>
      <c r="G302" s="116"/>
      <c r="H302" s="163"/>
      <c r="I302" s="151"/>
      <c r="J302" s="127"/>
      <c r="K302" s="162"/>
      <c r="L302" s="162"/>
      <c r="M302" s="162"/>
      <c r="N302" s="164"/>
      <c r="O302" s="165"/>
      <c r="P302" s="165"/>
      <c r="Q302" s="165"/>
      <c r="R302" s="166"/>
      <c r="S302" s="83"/>
      <c r="T302" s="155"/>
      <c r="U302" s="76"/>
      <c r="V302" s="76"/>
      <c r="W302" s="76"/>
      <c r="X302" s="76"/>
      <c r="Y302" s="76"/>
      <c r="Z302" s="76"/>
      <c r="AA302" s="76"/>
      <c r="AB302" s="76"/>
      <c r="AC302" s="76"/>
      <c r="AD302" s="76"/>
      <c r="AE302" s="76"/>
      <c r="AF302" s="76"/>
      <c r="AG302" s="76"/>
      <c r="AH302" s="76"/>
      <c r="AI302" s="76"/>
      <c r="AJ302" s="76"/>
    </row>
    <row r="303" spans="1:36" ht="12.75" customHeight="1" x14ac:dyDescent="0.3">
      <c r="A303" s="76"/>
      <c r="B303" s="184"/>
      <c r="C303" s="185"/>
      <c r="D303" s="162"/>
      <c r="E303" s="185"/>
      <c r="F303" s="116"/>
      <c r="G303" s="116"/>
      <c r="H303" s="163"/>
      <c r="I303" s="151"/>
      <c r="J303" s="127"/>
      <c r="K303" s="162"/>
      <c r="L303" s="162"/>
      <c r="M303" s="162"/>
      <c r="N303" s="164"/>
      <c r="O303" s="165"/>
      <c r="P303" s="165"/>
      <c r="Q303" s="165"/>
      <c r="R303" s="166"/>
      <c r="S303" s="83"/>
      <c r="T303" s="155"/>
      <c r="U303" s="76"/>
      <c r="V303" s="76"/>
      <c r="W303" s="76"/>
      <c r="X303" s="76"/>
      <c r="Y303" s="76"/>
      <c r="Z303" s="76"/>
      <c r="AA303" s="76"/>
      <c r="AB303" s="76"/>
      <c r="AC303" s="76"/>
      <c r="AD303" s="76"/>
      <c r="AE303" s="76"/>
      <c r="AF303" s="76"/>
      <c r="AG303" s="76"/>
      <c r="AH303" s="76"/>
      <c r="AI303" s="76"/>
      <c r="AJ303" s="76"/>
    </row>
    <row r="304" spans="1:36" ht="12.75" customHeight="1" x14ac:dyDescent="0.3">
      <c r="A304" s="76"/>
      <c r="B304" s="184"/>
      <c r="C304" s="185"/>
      <c r="D304" s="162"/>
      <c r="E304" s="185"/>
      <c r="F304" s="116"/>
      <c r="G304" s="116"/>
      <c r="H304" s="163"/>
      <c r="I304" s="151"/>
      <c r="J304" s="127"/>
      <c r="K304" s="162"/>
      <c r="L304" s="162"/>
      <c r="M304" s="162"/>
      <c r="N304" s="164"/>
      <c r="O304" s="165"/>
      <c r="P304" s="165"/>
      <c r="Q304" s="165"/>
      <c r="R304" s="166"/>
      <c r="S304" s="83"/>
      <c r="T304" s="155"/>
      <c r="U304" s="76"/>
      <c r="V304" s="76"/>
      <c r="W304" s="76"/>
      <c r="X304" s="76"/>
      <c r="Y304" s="76"/>
      <c r="Z304" s="76"/>
      <c r="AA304" s="76"/>
      <c r="AB304" s="76"/>
      <c r="AC304" s="76"/>
      <c r="AD304" s="76"/>
      <c r="AE304" s="76"/>
      <c r="AF304" s="76"/>
      <c r="AG304" s="76"/>
      <c r="AH304" s="76"/>
      <c r="AI304" s="76"/>
      <c r="AJ304" s="76"/>
    </row>
    <row r="305" spans="2:20" ht="15" customHeight="1" x14ac:dyDescent="0.3">
      <c r="B305" s="184"/>
      <c r="C305" s="185"/>
      <c r="D305" s="212"/>
      <c r="E305" s="185"/>
      <c r="F305" s="116"/>
      <c r="G305" s="116"/>
      <c r="H305" s="163"/>
      <c r="I305" s="151"/>
      <c r="J305" s="183"/>
      <c r="K305" s="162"/>
      <c r="L305" s="162"/>
      <c r="M305" s="162"/>
      <c r="N305" s="164"/>
      <c r="O305" s="165"/>
      <c r="P305" s="165"/>
      <c r="Q305" s="165"/>
      <c r="R305" s="166"/>
      <c r="T305" s="155"/>
    </row>
  </sheetData>
  <mergeCells count="18">
    <mergeCell ref="R7:R8"/>
    <mergeCell ref="B7:B8"/>
    <mergeCell ref="C7:C8"/>
    <mergeCell ref="D7:D8"/>
    <mergeCell ref="E7:E8"/>
    <mergeCell ref="K7:K8"/>
    <mergeCell ref="L7:L8"/>
    <mergeCell ref="M7:M8"/>
    <mergeCell ref="N7:N8"/>
    <mergeCell ref="O7:O8"/>
    <mergeCell ref="P7:P8"/>
    <mergeCell ref="Q7:Q8"/>
    <mergeCell ref="C4:D4"/>
    <mergeCell ref="L4:M4"/>
    <mergeCell ref="N4:O4"/>
    <mergeCell ref="C5:D5"/>
    <mergeCell ref="L5:M5"/>
    <mergeCell ref="N5:O5"/>
  </mergeCells>
  <conditionalFormatting sqref="J2:J3 J6:J304">
    <cfRule type="cellIs" dxfId="176" priority="1" operator="equal">
      <formula>"Disc"</formula>
    </cfRule>
  </conditionalFormatting>
  <conditionalFormatting sqref="T15:T17 T20:T28 T103:T132">
    <cfRule type="expression" dxfId="175" priority="15">
      <formula>T15:T246&gt;30%</formula>
    </cfRule>
  </conditionalFormatting>
  <conditionalFormatting sqref="T18:T19 T94:T100">
    <cfRule type="expression" dxfId="174" priority="13">
      <formula>T18:T250&gt;30%</formula>
    </cfRule>
  </conditionalFormatting>
  <conditionalFormatting sqref="T29:T35 T66:T81">
    <cfRule type="expression" dxfId="173" priority="2">
      <formula>T29:T268&gt;30%</formula>
    </cfRule>
  </conditionalFormatting>
  <conditionalFormatting sqref="T36:T42">
    <cfRule type="expression" dxfId="172" priority="17">
      <formula>T36:T274&gt;30%</formula>
    </cfRule>
  </conditionalFormatting>
  <conditionalFormatting sqref="T43:T49 T60:T63">
    <cfRule type="expression" dxfId="171" priority="18">
      <formula>T43:T285&gt;30%</formula>
    </cfRule>
  </conditionalFormatting>
  <conditionalFormatting sqref="T50:T54">
    <cfRule type="expression" dxfId="170" priority="3">
      <formula>T50:T286&gt;30%</formula>
    </cfRule>
  </conditionalFormatting>
  <conditionalFormatting sqref="T55:T58">
    <cfRule type="expression" dxfId="169" priority="14">
      <formula>T55:T299&gt;30%</formula>
    </cfRule>
  </conditionalFormatting>
  <conditionalFormatting sqref="T59">
    <cfRule type="expression" dxfId="168" priority="6">
      <formula>T59:T302&gt;30%</formula>
    </cfRule>
  </conditionalFormatting>
  <conditionalFormatting sqref="T64:T65">
    <cfRule type="expression" dxfId="167" priority="11">
      <formula>T64:T305&gt;30%</formula>
    </cfRule>
  </conditionalFormatting>
  <conditionalFormatting sqref="T82:T93 T101:T102">
    <cfRule type="expression" dxfId="166" priority="12">
      <formula>T82:T315&gt;30%</formula>
    </cfRule>
  </conditionalFormatting>
  <conditionalFormatting sqref="T133:T134 T143:T168">
    <cfRule type="expression" dxfId="165" priority="21">
      <formula>T133:T363&gt;30%</formula>
    </cfRule>
  </conditionalFormatting>
  <conditionalFormatting sqref="T135">
    <cfRule type="expression" dxfId="164" priority="5">
      <formula>T135:T369&gt;30%</formula>
    </cfRule>
  </conditionalFormatting>
  <conditionalFormatting sqref="T136:T142">
    <cfRule type="expression" dxfId="163" priority="7">
      <formula>T136:T371&gt;30%</formula>
    </cfRule>
  </conditionalFormatting>
  <conditionalFormatting sqref="T169:T189">
    <cfRule type="expression" dxfId="162" priority="22">
      <formula>T169:T398&gt;30%</formula>
    </cfRule>
  </conditionalFormatting>
  <conditionalFormatting sqref="T190">
    <cfRule type="expression" dxfId="161" priority="4">
      <formula>T190:T412&gt;30%</formula>
    </cfRule>
  </conditionalFormatting>
  <conditionalFormatting sqref="T191:T239">
    <cfRule type="expression" dxfId="160" priority="23">
      <formula>T191:T405&gt;30%</formula>
    </cfRule>
  </conditionalFormatting>
  <conditionalFormatting sqref="T240">
    <cfRule type="expression" dxfId="159" priority="9">
      <formula>T240:T455&gt;30%</formula>
    </cfRule>
  </conditionalFormatting>
  <conditionalFormatting sqref="T241:T267">
    <cfRule type="expression" dxfId="158" priority="19">
      <formula>T241:T438&gt;30%</formula>
    </cfRule>
  </conditionalFormatting>
  <conditionalFormatting sqref="T268">
    <cfRule type="expression" dxfId="157" priority="16">
      <formula>T268:T463&gt;30%</formula>
    </cfRule>
  </conditionalFormatting>
  <conditionalFormatting sqref="T269:T285">
    <cfRule type="expression" dxfId="156" priority="20">
      <formula>T269:T458&gt;30%</formula>
    </cfRule>
  </conditionalFormatting>
  <conditionalFormatting sqref="T286:T298">
    <cfRule type="expression" dxfId="155" priority="10">
      <formula>T286:T477&gt;30%</formula>
    </cfRule>
  </conditionalFormatting>
  <conditionalFormatting sqref="T299:T305">
    <cfRule type="expression" dxfId="154" priority="8">
      <formula>T299:T482&gt;30%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I229"/>
  <sheetViews>
    <sheetView zoomScale="74" zoomScaleNormal="74" workbookViewId="0">
      <pane xSplit="3" ySplit="11" topLeftCell="D12" activePane="bottomRight" state="frozen"/>
      <selection pane="topRight" activeCell="D1" sqref="D1"/>
      <selection pane="bottomLeft" activeCell="A11" sqref="A11"/>
      <selection pane="bottomRight" activeCell="D44" sqref="D44"/>
    </sheetView>
  </sheetViews>
  <sheetFormatPr defaultColWidth="8.7265625" defaultRowHeight="12.5" outlineLevelCol="1" x14ac:dyDescent="0.35"/>
  <cols>
    <col min="1" max="1" width="1.7265625" style="1" customWidth="1"/>
    <col min="2" max="2" width="12.7265625" style="1" customWidth="1"/>
    <col min="3" max="3" width="35.7265625" style="1" customWidth="1"/>
    <col min="4" max="5" width="20.7265625" style="1" customWidth="1"/>
    <col min="6" max="6" width="9" style="2" customWidth="1"/>
    <col min="7" max="7" width="19.1796875" style="3" customWidth="1" outlineLevel="1"/>
    <col min="8" max="8" width="1.54296875" style="4" customWidth="1"/>
    <col min="9" max="11" width="15.7265625" style="20" customWidth="1"/>
    <col min="12" max="12" width="1.7265625" style="1" customWidth="1"/>
    <col min="13" max="16384" width="8.7265625" style="1"/>
  </cols>
  <sheetData>
    <row r="1" spans="1:165" ht="5.15" customHeight="1" x14ac:dyDescent="0.35"/>
    <row r="2" spans="1:165" s="5" customFormat="1" ht="25.15" customHeight="1" x14ac:dyDescent="0.35">
      <c r="B2" s="6" t="s">
        <v>372</v>
      </c>
      <c r="C2" s="7"/>
      <c r="F2" s="8"/>
      <c r="G2" s="9"/>
      <c r="H2" s="10"/>
      <c r="I2" s="73"/>
      <c r="J2" s="73"/>
      <c r="K2" s="73"/>
    </row>
    <row r="3" spans="1:165" s="11" customFormat="1" ht="35.15" customHeight="1" x14ac:dyDescent="0.35">
      <c r="B3" s="12" t="s">
        <v>0</v>
      </c>
      <c r="C3" s="13"/>
      <c r="F3" s="14"/>
      <c r="G3" s="9"/>
      <c r="H3" s="15"/>
      <c r="I3" s="74"/>
      <c r="J3" s="74"/>
      <c r="K3" s="74"/>
    </row>
    <row r="4" spans="1:165" s="11" customFormat="1" ht="10.15" customHeight="1" x14ac:dyDescent="0.35">
      <c r="B4" s="12"/>
      <c r="C4" s="13"/>
      <c r="F4" s="14"/>
      <c r="G4" s="9"/>
      <c r="H4" s="15"/>
      <c r="I4" s="74"/>
      <c r="J4" s="74"/>
      <c r="K4" s="74"/>
    </row>
    <row r="5" spans="1:165" ht="30" customHeight="1" x14ac:dyDescent="0.35">
      <c r="B5" s="64" t="s">
        <v>366</v>
      </c>
      <c r="C5" s="66">
        <v>45073</v>
      </c>
      <c r="D5" s="17"/>
      <c r="E5" s="17"/>
      <c r="F5" s="65" t="s">
        <v>367</v>
      </c>
      <c r="G5" s="68" t="s">
        <v>374</v>
      </c>
      <c r="I5" s="16"/>
    </row>
    <row r="6" spans="1:165" ht="30" customHeight="1" x14ac:dyDescent="0.35">
      <c r="B6" s="64" t="s">
        <v>19</v>
      </c>
      <c r="C6" s="67">
        <v>150000000</v>
      </c>
      <c r="D6" s="17"/>
      <c r="E6" s="17"/>
      <c r="F6" s="65" t="s">
        <v>18</v>
      </c>
      <c r="G6" s="68">
        <f>C6/310000</f>
        <v>483.87096774193549</v>
      </c>
      <c r="I6" s="717" t="s">
        <v>373</v>
      </c>
      <c r="J6" s="718"/>
      <c r="K6" s="69">
        <v>1.2</v>
      </c>
    </row>
    <row r="7" spans="1:165" ht="5.15" customHeight="1" x14ac:dyDescent="0.35"/>
    <row r="8" spans="1:165" s="19" customFormat="1" ht="20.149999999999999" customHeight="1" x14ac:dyDescent="0.35">
      <c r="B8" s="722" t="s">
        <v>3</v>
      </c>
      <c r="C8" s="724" t="s">
        <v>4</v>
      </c>
      <c r="D8" s="719" t="s">
        <v>375</v>
      </c>
      <c r="E8" s="719" t="s">
        <v>368</v>
      </c>
      <c r="F8" s="719" t="s">
        <v>5</v>
      </c>
      <c r="G8" s="721" t="s">
        <v>11</v>
      </c>
      <c r="H8" s="21"/>
      <c r="I8" s="63"/>
      <c r="J8" s="63"/>
      <c r="K8" s="63"/>
    </row>
    <row r="9" spans="1:165" s="25" customFormat="1" ht="30" customHeight="1" x14ac:dyDescent="0.35">
      <c r="A9" s="22"/>
      <c r="B9" s="723"/>
      <c r="C9" s="725"/>
      <c r="D9" s="720"/>
      <c r="E9" s="720"/>
      <c r="F9" s="720"/>
      <c r="G9" s="721"/>
      <c r="H9" s="24"/>
      <c r="I9" s="23" t="s">
        <v>369</v>
      </c>
      <c r="J9" s="23" t="s">
        <v>370</v>
      </c>
      <c r="K9" s="23" t="s">
        <v>371</v>
      </c>
    </row>
    <row r="10" spans="1:165" s="19" customFormat="1" ht="5.15" customHeight="1" x14ac:dyDescent="0.35">
      <c r="B10" s="26"/>
      <c r="C10" s="27"/>
      <c r="D10" s="26"/>
      <c r="E10" s="26"/>
      <c r="F10" s="26"/>
      <c r="G10" s="28"/>
      <c r="H10" s="29"/>
      <c r="I10" s="63"/>
      <c r="J10" s="63"/>
      <c r="K10" s="63"/>
    </row>
    <row r="11" spans="1:165" s="30" customFormat="1" ht="20.149999999999999" customHeight="1" x14ac:dyDescent="0.35">
      <c r="B11" s="45" t="s">
        <v>16</v>
      </c>
      <c r="C11" s="46"/>
      <c r="D11" s="45"/>
      <c r="E11" s="45"/>
      <c r="F11" s="47"/>
      <c r="G11" s="48" t="e">
        <f>G13+G172+G225</f>
        <v>#REF!</v>
      </c>
      <c r="H11" s="31"/>
      <c r="I11" s="72">
        <v>0.37</v>
      </c>
      <c r="J11" s="72"/>
      <c r="K11" s="72">
        <v>0.63</v>
      </c>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row>
    <row r="12" spans="1:165" s="30" customFormat="1" ht="5.15" customHeight="1" x14ac:dyDescent="0.35">
      <c r="B12" s="49"/>
      <c r="C12" s="34"/>
      <c r="D12" s="49"/>
      <c r="E12" s="49"/>
      <c r="F12" s="50"/>
      <c r="G12" s="51"/>
      <c r="H12" s="31"/>
      <c r="I12" s="32"/>
      <c r="J12" s="32"/>
      <c r="K12" s="32"/>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row>
    <row r="13" spans="1:165" s="18" customFormat="1" ht="20.149999999999999" customHeight="1" x14ac:dyDescent="0.35">
      <c r="B13" s="52" t="s">
        <v>28</v>
      </c>
      <c r="C13" s="53"/>
      <c r="D13" s="53"/>
      <c r="E13" s="53"/>
      <c r="F13" s="54"/>
      <c r="G13" s="55" t="e">
        <f>#REF!</f>
        <v>#REF!</v>
      </c>
      <c r="H13" s="33"/>
      <c r="I13" s="20"/>
      <c r="J13" s="20"/>
      <c r="K13" s="20"/>
    </row>
    <row r="14" spans="1:165" s="30" customFormat="1" ht="5.15" customHeight="1" x14ac:dyDescent="0.35">
      <c r="B14" s="49"/>
      <c r="C14" s="34"/>
      <c r="D14" s="49"/>
      <c r="E14" s="49"/>
      <c r="F14" s="50"/>
      <c r="G14" s="51"/>
      <c r="H14" s="31"/>
      <c r="I14" s="32"/>
      <c r="J14" s="32"/>
      <c r="K14" s="32"/>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row>
    <row r="15" spans="1:165" s="18" customFormat="1" ht="20.149999999999999" customHeight="1" x14ac:dyDescent="0.35">
      <c r="B15" s="38" t="s">
        <v>160</v>
      </c>
      <c r="C15" s="56"/>
      <c r="D15" s="56"/>
      <c r="E15" s="56"/>
      <c r="F15" s="57"/>
      <c r="G15" s="58" t="e">
        <f>#REF!</f>
        <v>#REF!</v>
      </c>
      <c r="H15" s="33"/>
      <c r="I15" s="70"/>
      <c r="J15" s="70"/>
      <c r="K15" s="70"/>
    </row>
    <row r="16" spans="1:165" ht="20.149999999999999" customHeight="1" x14ac:dyDescent="0.35">
      <c r="A16" s="1">
        <v>1</v>
      </c>
      <c r="B16" s="34" t="s">
        <v>36</v>
      </c>
      <c r="C16" s="34" t="s">
        <v>37</v>
      </c>
      <c r="D16" s="34"/>
      <c r="E16" s="34"/>
      <c r="F16" s="59" t="s">
        <v>38</v>
      </c>
      <c r="G16" s="35" t="e">
        <f>#REF!</f>
        <v>#REF!</v>
      </c>
      <c r="I16" s="71" t="e">
        <f t="shared" ref="I16:K22" si="0">ROUNDUP($G16*100/$G$6*I$11*$K$6,0)</f>
        <v>#REF!</v>
      </c>
      <c r="J16" s="71" t="e">
        <f t="shared" si="0"/>
        <v>#REF!</v>
      </c>
      <c r="K16" s="71" t="e">
        <f t="shared" si="0"/>
        <v>#REF!</v>
      </c>
    </row>
    <row r="17" spans="1:11" ht="20.149999999999999" customHeight="1" x14ac:dyDescent="0.35">
      <c r="A17" s="1">
        <f>A16+1</f>
        <v>2</v>
      </c>
      <c r="B17" s="34" t="s">
        <v>39</v>
      </c>
      <c r="C17" s="34" t="s">
        <v>40</v>
      </c>
      <c r="D17" s="60"/>
      <c r="E17" s="60"/>
      <c r="F17" s="59" t="s">
        <v>38</v>
      </c>
      <c r="G17" s="35" t="e">
        <f>#REF!</f>
        <v>#REF!</v>
      </c>
      <c r="I17" s="71" t="e">
        <f t="shared" si="0"/>
        <v>#REF!</v>
      </c>
      <c r="J17" s="71" t="e">
        <f t="shared" si="0"/>
        <v>#REF!</v>
      </c>
      <c r="K17" s="71" t="e">
        <f t="shared" si="0"/>
        <v>#REF!</v>
      </c>
    </row>
    <row r="18" spans="1:11" ht="20.149999999999999" customHeight="1" x14ac:dyDescent="0.35">
      <c r="A18" s="1">
        <f t="shared" ref="A18:A27" si="1">A17+1</f>
        <v>3</v>
      </c>
      <c r="B18" s="34" t="s">
        <v>41</v>
      </c>
      <c r="C18" s="34" t="s">
        <v>42</v>
      </c>
      <c r="D18" s="60"/>
      <c r="E18" s="60"/>
      <c r="F18" s="59" t="s">
        <v>38</v>
      </c>
      <c r="G18" s="35" t="e">
        <f>#REF!</f>
        <v>#REF!</v>
      </c>
      <c r="I18" s="71" t="e">
        <f t="shared" si="0"/>
        <v>#REF!</v>
      </c>
      <c r="J18" s="71" t="e">
        <f t="shared" si="0"/>
        <v>#REF!</v>
      </c>
      <c r="K18" s="71" t="e">
        <f t="shared" si="0"/>
        <v>#REF!</v>
      </c>
    </row>
    <row r="19" spans="1:11" ht="20.149999999999999" customHeight="1" x14ac:dyDescent="0.35">
      <c r="A19" s="1">
        <f t="shared" si="1"/>
        <v>4</v>
      </c>
      <c r="B19" s="34" t="s">
        <v>43</v>
      </c>
      <c r="C19" s="34" t="s">
        <v>44</v>
      </c>
      <c r="D19" s="34"/>
      <c r="E19" s="34"/>
      <c r="F19" s="61" t="s">
        <v>45</v>
      </c>
      <c r="G19" s="35" t="e">
        <f>#REF!</f>
        <v>#REF!</v>
      </c>
      <c r="I19" s="71" t="e">
        <f t="shared" si="0"/>
        <v>#REF!</v>
      </c>
      <c r="J19" s="71" t="e">
        <f t="shared" si="0"/>
        <v>#REF!</v>
      </c>
      <c r="K19" s="71" t="e">
        <f t="shared" si="0"/>
        <v>#REF!</v>
      </c>
    </row>
    <row r="20" spans="1:11" ht="20.149999999999999" customHeight="1" x14ac:dyDescent="0.35">
      <c r="A20" s="1">
        <f>A13+1</f>
        <v>1</v>
      </c>
      <c r="B20" s="34"/>
      <c r="C20" s="34"/>
      <c r="D20" s="34"/>
      <c r="E20" s="34"/>
      <c r="F20" s="61"/>
      <c r="G20" s="35" t="e">
        <f>#REF!</f>
        <v>#REF!</v>
      </c>
      <c r="I20" s="71" t="e">
        <f t="shared" si="0"/>
        <v>#REF!</v>
      </c>
      <c r="J20" s="71" t="e">
        <f t="shared" si="0"/>
        <v>#REF!</v>
      </c>
      <c r="K20" s="71" t="e">
        <f t="shared" si="0"/>
        <v>#REF!</v>
      </c>
    </row>
    <row r="21" spans="1:11" ht="20.149999999999999" customHeight="1" x14ac:dyDescent="0.35">
      <c r="A21" s="1">
        <f>A19+1</f>
        <v>5</v>
      </c>
      <c r="B21" s="34"/>
      <c r="C21" s="34"/>
      <c r="D21" s="34"/>
      <c r="E21" s="34"/>
      <c r="F21" s="61"/>
      <c r="G21" s="35" t="e">
        <f>#REF!</f>
        <v>#REF!</v>
      </c>
      <c r="I21" s="71" t="e">
        <f t="shared" si="0"/>
        <v>#REF!</v>
      </c>
      <c r="J21" s="71" t="e">
        <f t="shared" si="0"/>
        <v>#REF!</v>
      </c>
      <c r="K21" s="71" t="e">
        <f t="shared" si="0"/>
        <v>#REF!</v>
      </c>
    </row>
    <row r="22" spans="1:11" ht="20.149999999999999" customHeight="1" x14ac:dyDescent="0.35">
      <c r="A22" s="1">
        <f t="shared" si="1"/>
        <v>6</v>
      </c>
      <c r="B22" s="34"/>
      <c r="C22" s="34"/>
      <c r="D22" s="34"/>
      <c r="E22" s="34"/>
      <c r="F22" s="61"/>
      <c r="G22" s="35" t="e">
        <f>#REF!</f>
        <v>#REF!</v>
      </c>
      <c r="I22" s="71" t="e">
        <f t="shared" si="0"/>
        <v>#REF!</v>
      </c>
      <c r="J22" s="71" t="e">
        <f t="shared" si="0"/>
        <v>#REF!</v>
      </c>
      <c r="K22" s="71" t="e">
        <f t="shared" si="0"/>
        <v>#REF!</v>
      </c>
    </row>
    <row r="23" spans="1:11" s="18" customFormat="1" ht="20.149999999999999" customHeight="1" x14ac:dyDescent="0.35">
      <c r="B23" s="38" t="s">
        <v>46</v>
      </c>
      <c r="C23" s="56"/>
      <c r="D23" s="56"/>
      <c r="E23" s="56"/>
      <c r="F23" s="57"/>
      <c r="G23" s="58" t="e">
        <f>#REF!</f>
        <v>#REF!</v>
      </c>
      <c r="H23" s="33"/>
      <c r="I23" s="71"/>
      <c r="J23" s="71"/>
      <c r="K23" s="71"/>
    </row>
    <row r="24" spans="1:11" ht="20.149999999999999" customHeight="1" x14ac:dyDescent="0.35">
      <c r="A24" s="1" t="e">
        <f>#REF!+1</f>
        <v>#REF!</v>
      </c>
      <c r="B24" s="34" t="s">
        <v>47</v>
      </c>
      <c r="C24" s="34" t="s">
        <v>48</v>
      </c>
      <c r="D24" s="34"/>
      <c r="E24" s="34"/>
      <c r="F24" s="61" t="s">
        <v>49</v>
      </c>
      <c r="G24" s="35" t="e">
        <f>#REF!</f>
        <v>#REF!</v>
      </c>
      <c r="I24" s="71" t="e">
        <f t="shared" ref="I24:K31" si="2">ROUNDUP($G24*100/$G$6*I$11*$K$6,0)</f>
        <v>#REF!</v>
      </c>
      <c r="J24" s="71" t="e">
        <f t="shared" si="2"/>
        <v>#REF!</v>
      </c>
      <c r="K24" s="71" t="e">
        <f t="shared" si="2"/>
        <v>#REF!</v>
      </c>
    </row>
    <row r="25" spans="1:11" ht="20.149999999999999" customHeight="1" x14ac:dyDescent="0.35">
      <c r="A25" s="1" t="e">
        <f t="shared" si="1"/>
        <v>#REF!</v>
      </c>
      <c r="B25" s="34" t="s">
        <v>50</v>
      </c>
      <c r="C25" s="34" t="s">
        <v>51</v>
      </c>
      <c r="D25" s="34"/>
      <c r="E25" s="34"/>
      <c r="F25" s="61" t="s">
        <v>49</v>
      </c>
      <c r="G25" s="35" t="e">
        <f>#REF!</f>
        <v>#REF!</v>
      </c>
      <c r="I25" s="71" t="e">
        <f t="shared" si="2"/>
        <v>#REF!</v>
      </c>
      <c r="J25" s="71" t="e">
        <f t="shared" si="2"/>
        <v>#REF!</v>
      </c>
      <c r="K25" s="71" t="e">
        <f t="shared" si="2"/>
        <v>#REF!</v>
      </c>
    </row>
    <row r="26" spans="1:11" ht="20.149999999999999" customHeight="1" x14ac:dyDescent="0.35">
      <c r="A26" s="1" t="e">
        <f t="shared" si="1"/>
        <v>#REF!</v>
      </c>
      <c r="B26" s="34" t="s">
        <v>52</v>
      </c>
      <c r="C26" s="34" t="s">
        <v>53</v>
      </c>
      <c r="D26" s="34"/>
      <c r="E26" s="34"/>
      <c r="F26" s="61" t="s">
        <v>54</v>
      </c>
      <c r="G26" s="35" t="e">
        <f>#REF!</f>
        <v>#REF!</v>
      </c>
      <c r="I26" s="71" t="e">
        <f t="shared" si="2"/>
        <v>#REF!</v>
      </c>
      <c r="J26" s="71" t="e">
        <f t="shared" si="2"/>
        <v>#REF!</v>
      </c>
      <c r="K26" s="71" t="e">
        <f t="shared" si="2"/>
        <v>#REF!</v>
      </c>
    </row>
    <row r="27" spans="1:11" ht="20.149999999999999" customHeight="1" x14ac:dyDescent="0.35">
      <c r="A27" s="1" t="e">
        <f t="shared" si="1"/>
        <v>#REF!</v>
      </c>
      <c r="B27" s="34" t="s">
        <v>55</v>
      </c>
      <c r="C27" s="34" t="s">
        <v>56</v>
      </c>
      <c r="D27" s="34"/>
      <c r="E27" s="34"/>
      <c r="F27" s="61" t="s">
        <v>49</v>
      </c>
      <c r="G27" s="35" t="e">
        <f>#REF!</f>
        <v>#REF!</v>
      </c>
      <c r="I27" s="71" t="e">
        <f t="shared" si="2"/>
        <v>#REF!</v>
      </c>
      <c r="J27" s="71" t="e">
        <f t="shared" si="2"/>
        <v>#REF!</v>
      </c>
      <c r="K27" s="71" t="e">
        <f t="shared" si="2"/>
        <v>#REF!</v>
      </c>
    </row>
    <row r="28" spans="1:11" ht="20.149999999999999" customHeight="1" x14ac:dyDescent="0.35">
      <c r="B28" s="34" t="s">
        <v>57</v>
      </c>
      <c r="C28" s="34" t="s">
        <v>58</v>
      </c>
      <c r="D28" s="34"/>
      <c r="E28" s="34"/>
      <c r="F28" s="61" t="s">
        <v>59</v>
      </c>
      <c r="G28" s="35" t="e">
        <f>#REF!</f>
        <v>#REF!</v>
      </c>
      <c r="I28" s="71" t="e">
        <f t="shared" si="2"/>
        <v>#REF!</v>
      </c>
      <c r="J28" s="71" t="e">
        <f t="shared" si="2"/>
        <v>#REF!</v>
      </c>
      <c r="K28" s="71" t="e">
        <f t="shared" si="2"/>
        <v>#REF!</v>
      </c>
    </row>
    <row r="29" spans="1:11" ht="20.149999999999999" customHeight="1" x14ac:dyDescent="0.35">
      <c r="B29" s="34" t="s">
        <v>60</v>
      </c>
      <c r="C29" s="34" t="s">
        <v>61</v>
      </c>
      <c r="D29" s="34"/>
      <c r="E29" s="34"/>
      <c r="F29" s="61" t="s">
        <v>62</v>
      </c>
      <c r="G29" s="35" t="e">
        <f>#REF!</f>
        <v>#REF!</v>
      </c>
      <c r="I29" s="71" t="e">
        <f t="shared" si="2"/>
        <v>#REF!</v>
      </c>
      <c r="J29" s="71" t="e">
        <f t="shared" si="2"/>
        <v>#REF!</v>
      </c>
      <c r="K29" s="71" t="e">
        <f t="shared" si="2"/>
        <v>#REF!</v>
      </c>
    </row>
    <row r="30" spans="1:11" ht="20.149999999999999" customHeight="1" x14ac:dyDescent="0.35">
      <c r="B30" s="34"/>
      <c r="C30" s="34"/>
      <c r="D30" s="34"/>
      <c r="E30" s="34"/>
      <c r="F30" s="61"/>
      <c r="G30" s="35" t="e">
        <f>#REF!</f>
        <v>#REF!</v>
      </c>
      <c r="I30" s="71" t="e">
        <f t="shared" si="2"/>
        <v>#REF!</v>
      </c>
      <c r="J30" s="71" t="e">
        <f t="shared" si="2"/>
        <v>#REF!</v>
      </c>
      <c r="K30" s="71" t="e">
        <f t="shared" si="2"/>
        <v>#REF!</v>
      </c>
    </row>
    <row r="31" spans="1:11" ht="20.149999999999999" customHeight="1" x14ac:dyDescent="0.35">
      <c r="B31" s="34"/>
      <c r="C31" s="34"/>
      <c r="D31" s="34"/>
      <c r="E31" s="34"/>
      <c r="F31" s="61"/>
      <c r="G31" s="35" t="e">
        <f>#REF!</f>
        <v>#REF!</v>
      </c>
      <c r="I31" s="71" t="e">
        <f t="shared" si="2"/>
        <v>#REF!</v>
      </c>
      <c r="J31" s="71" t="e">
        <f t="shared" si="2"/>
        <v>#REF!</v>
      </c>
      <c r="K31" s="71" t="e">
        <f t="shared" si="2"/>
        <v>#REF!</v>
      </c>
    </row>
    <row r="32" spans="1:11" s="18" customFormat="1" ht="20.149999999999999" customHeight="1" x14ac:dyDescent="0.35">
      <c r="B32" s="38" t="s">
        <v>63</v>
      </c>
      <c r="C32" s="56"/>
      <c r="D32" s="56"/>
      <c r="E32" s="56"/>
      <c r="F32" s="57"/>
      <c r="G32" s="58" t="e">
        <f>#REF!</f>
        <v>#REF!</v>
      </c>
      <c r="H32" s="33"/>
      <c r="I32" s="71"/>
      <c r="J32" s="71"/>
      <c r="K32" s="71"/>
    </row>
    <row r="33" spans="1:11" ht="20.149999999999999" customHeight="1" x14ac:dyDescent="0.35">
      <c r="A33" s="1">
        <v>1</v>
      </c>
      <c r="B33" s="34" t="s">
        <v>64</v>
      </c>
      <c r="C33" s="34" t="s">
        <v>65</v>
      </c>
      <c r="D33" s="34"/>
      <c r="E33" s="34"/>
      <c r="F33" s="61" t="s">
        <v>38</v>
      </c>
      <c r="G33" s="35" t="e">
        <f>#REF!</f>
        <v>#REF!</v>
      </c>
      <c r="I33" s="71" t="e">
        <f t="shared" ref="I33:K40" si="3">ROUNDUP($G33*100/$G$6*I$11*$K$6,0)</f>
        <v>#REF!</v>
      </c>
      <c r="J33" s="71" t="e">
        <f t="shared" si="3"/>
        <v>#REF!</v>
      </c>
      <c r="K33" s="71" t="e">
        <f t="shared" si="3"/>
        <v>#REF!</v>
      </c>
    </row>
    <row r="34" spans="1:11" ht="20.149999999999999" customHeight="1" x14ac:dyDescent="0.35">
      <c r="A34" s="1">
        <f t="shared" ref="A34:A39" si="4">A33+1</f>
        <v>2</v>
      </c>
      <c r="B34" s="34" t="s">
        <v>66</v>
      </c>
      <c r="C34" s="34" t="s">
        <v>67</v>
      </c>
      <c r="D34" s="34"/>
      <c r="E34" s="34"/>
      <c r="F34" s="61" t="s">
        <v>62</v>
      </c>
      <c r="G34" s="35" t="e">
        <f>#REF!</f>
        <v>#REF!</v>
      </c>
      <c r="I34" s="71" t="e">
        <f t="shared" si="3"/>
        <v>#REF!</v>
      </c>
      <c r="J34" s="71" t="e">
        <f t="shared" si="3"/>
        <v>#REF!</v>
      </c>
      <c r="K34" s="71" t="e">
        <f t="shared" si="3"/>
        <v>#REF!</v>
      </c>
    </row>
    <row r="35" spans="1:11" ht="20.149999999999999" customHeight="1" x14ac:dyDescent="0.35">
      <c r="A35" s="1">
        <f t="shared" si="4"/>
        <v>3</v>
      </c>
      <c r="B35" s="34" t="s">
        <v>68</v>
      </c>
      <c r="C35" s="34" t="s">
        <v>69</v>
      </c>
      <c r="D35" s="34"/>
      <c r="E35" s="34"/>
      <c r="F35" s="61" t="s">
        <v>38</v>
      </c>
      <c r="G35" s="35" t="e">
        <f>#REF!</f>
        <v>#REF!</v>
      </c>
      <c r="I35" s="71" t="e">
        <f t="shared" si="3"/>
        <v>#REF!</v>
      </c>
      <c r="J35" s="71" t="e">
        <f t="shared" si="3"/>
        <v>#REF!</v>
      </c>
      <c r="K35" s="71" t="e">
        <f t="shared" si="3"/>
        <v>#REF!</v>
      </c>
    </row>
    <row r="36" spans="1:11" ht="20.149999999999999" customHeight="1" x14ac:dyDescent="0.35">
      <c r="A36" s="1">
        <f t="shared" si="4"/>
        <v>4</v>
      </c>
      <c r="B36" s="34" t="s">
        <v>70</v>
      </c>
      <c r="C36" s="34" t="s">
        <v>71</v>
      </c>
      <c r="D36" s="34"/>
      <c r="E36" s="34"/>
      <c r="F36" s="61" t="s">
        <v>38</v>
      </c>
      <c r="G36" s="35" t="e">
        <f>#REF!</f>
        <v>#REF!</v>
      </c>
      <c r="I36" s="71" t="e">
        <f t="shared" si="3"/>
        <v>#REF!</v>
      </c>
      <c r="J36" s="71" t="e">
        <f t="shared" si="3"/>
        <v>#REF!</v>
      </c>
      <c r="K36" s="71" t="e">
        <f t="shared" si="3"/>
        <v>#REF!</v>
      </c>
    </row>
    <row r="37" spans="1:11" ht="20.149999999999999" customHeight="1" x14ac:dyDescent="0.35">
      <c r="A37" s="1">
        <f t="shared" si="4"/>
        <v>5</v>
      </c>
      <c r="B37" s="34" t="s">
        <v>72</v>
      </c>
      <c r="C37" s="34" t="s">
        <v>73</v>
      </c>
      <c r="D37" s="34"/>
      <c r="E37" s="34"/>
      <c r="F37" s="61" t="s">
        <v>38</v>
      </c>
      <c r="G37" s="35" t="e">
        <f>#REF!</f>
        <v>#REF!</v>
      </c>
      <c r="I37" s="71" t="e">
        <f t="shared" si="3"/>
        <v>#REF!</v>
      </c>
      <c r="J37" s="71" t="e">
        <f t="shared" si="3"/>
        <v>#REF!</v>
      </c>
      <c r="K37" s="71" t="e">
        <f t="shared" si="3"/>
        <v>#REF!</v>
      </c>
    </row>
    <row r="38" spans="1:11" ht="20.149999999999999" customHeight="1" x14ac:dyDescent="0.35">
      <c r="A38" s="1">
        <f t="shared" si="4"/>
        <v>6</v>
      </c>
      <c r="B38" s="34" t="s">
        <v>74</v>
      </c>
      <c r="C38" s="34" t="s">
        <v>75</v>
      </c>
      <c r="D38" s="34"/>
      <c r="E38" s="34"/>
      <c r="F38" s="61" t="s">
        <v>38</v>
      </c>
      <c r="G38" s="35" t="e">
        <f>#REF!</f>
        <v>#REF!</v>
      </c>
      <c r="I38" s="71" t="e">
        <f t="shared" si="3"/>
        <v>#REF!</v>
      </c>
      <c r="J38" s="71" t="e">
        <f t="shared" si="3"/>
        <v>#REF!</v>
      </c>
      <c r="K38" s="71" t="e">
        <f t="shared" si="3"/>
        <v>#REF!</v>
      </c>
    </row>
    <row r="39" spans="1:11" ht="20.149999999999999" customHeight="1" x14ac:dyDescent="0.35">
      <c r="A39" s="1">
        <f t="shared" si="4"/>
        <v>7</v>
      </c>
      <c r="B39" s="34"/>
      <c r="C39" s="34"/>
      <c r="D39" s="34"/>
      <c r="E39" s="34"/>
      <c r="F39" s="61"/>
      <c r="G39" s="35" t="e">
        <f>#REF!</f>
        <v>#REF!</v>
      </c>
      <c r="I39" s="71" t="e">
        <f t="shared" si="3"/>
        <v>#REF!</v>
      </c>
      <c r="J39" s="71" t="e">
        <f t="shared" si="3"/>
        <v>#REF!</v>
      </c>
      <c r="K39" s="71" t="e">
        <f t="shared" si="3"/>
        <v>#REF!</v>
      </c>
    </row>
    <row r="40" spans="1:11" ht="20.149999999999999" customHeight="1" x14ac:dyDescent="0.35">
      <c r="B40" s="34"/>
      <c r="C40" s="34"/>
      <c r="D40" s="34"/>
      <c r="E40" s="34"/>
      <c r="F40" s="61"/>
      <c r="G40" s="35" t="e">
        <f>#REF!</f>
        <v>#REF!</v>
      </c>
      <c r="I40" s="71" t="e">
        <f t="shared" si="3"/>
        <v>#REF!</v>
      </c>
      <c r="J40" s="71" t="e">
        <f t="shared" si="3"/>
        <v>#REF!</v>
      </c>
      <c r="K40" s="71" t="e">
        <f t="shared" si="3"/>
        <v>#REF!</v>
      </c>
    </row>
    <row r="41" spans="1:11" s="18" customFormat="1" ht="20.149999999999999" customHeight="1" x14ac:dyDescent="0.35">
      <c r="B41" s="38" t="s">
        <v>76</v>
      </c>
      <c r="C41" s="56"/>
      <c r="D41" s="56"/>
      <c r="E41" s="56"/>
      <c r="F41" s="57"/>
      <c r="G41" s="58" t="e">
        <f>#REF!</f>
        <v>#REF!</v>
      </c>
      <c r="H41" s="33"/>
      <c r="I41" s="71"/>
      <c r="J41" s="71"/>
      <c r="K41" s="71"/>
    </row>
    <row r="42" spans="1:11" ht="20.149999999999999" customHeight="1" x14ac:dyDescent="0.35">
      <c r="A42" s="1">
        <v>1</v>
      </c>
      <c r="B42" s="34" t="s">
        <v>77</v>
      </c>
      <c r="C42" s="34" t="s">
        <v>78</v>
      </c>
      <c r="D42" s="60"/>
      <c r="E42" s="60"/>
      <c r="F42" s="61" t="s">
        <v>54</v>
      </c>
      <c r="G42" s="35" t="e">
        <f>#REF!</f>
        <v>#REF!</v>
      </c>
      <c r="I42" s="71" t="e">
        <f t="shared" ref="I42:K77" si="5">ROUNDUP($G42*100/$G$6*I$11*$K$6,0)</f>
        <v>#REF!</v>
      </c>
      <c r="J42" s="71" t="e">
        <f t="shared" si="5"/>
        <v>#REF!</v>
      </c>
      <c r="K42" s="71" t="e">
        <f t="shared" si="5"/>
        <v>#REF!</v>
      </c>
    </row>
    <row r="43" spans="1:11" ht="20.149999999999999" customHeight="1" x14ac:dyDescent="0.35">
      <c r="A43" s="1" t="e">
        <f>#REF!+1</f>
        <v>#REF!</v>
      </c>
      <c r="B43" s="34" t="s">
        <v>79</v>
      </c>
      <c r="C43" s="34" t="s">
        <v>80</v>
      </c>
      <c r="D43" s="34"/>
      <c r="E43" s="34"/>
      <c r="F43" s="61" t="s">
        <v>54</v>
      </c>
      <c r="G43" s="35" t="e">
        <f>#REF!</f>
        <v>#REF!</v>
      </c>
      <c r="I43" s="71" t="e">
        <f t="shared" si="5"/>
        <v>#REF!</v>
      </c>
      <c r="J43" s="71" t="e">
        <f t="shared" si="5"/>
        <v>#REF!</v>
      </c>
      <c r="K43" s="71" t="e">
        <f t="shared" si="5"/>
        <v>#REF!</v>
      </c>
    </row>
    <row r="44" spans="1:11" ht="20.149999999999999" customHeight="1" x14ac:dyDescent="0.35">
      <c r="A44" s="1" t="e">
        <f t="shared" ref="A44:A46" si="6">A43+1</f>
        <v>#REF!</v>
      </c>
      <c r="B44" s="34" t="s">
        <v>81</v>
      </c>
      <c r="C44" s="34" t="s">
        <v>82</v>
      </c>
      <c r="D44" s="34"/>
      <c r="E44" s="34"/>
      <c r="F44" s="61" t="s">
        <v>54</v>
      </c>
      <c r="G44" s="35" t="e">
        <f>#REF!</f>
        <v>#REF!</v>
      </c>
      <c r="I44" s="71" t="e">
        <f t="shared" si="5"/>
        <v>#REF!</v>
      </c>
      <c r="J44" s="71" t="e">
        <f t="shared" si="5"/>
        <v>#REF!</v>
      </c>
      <c r="K44" s="71" t="e">
        <f t="shared" si="5"/>
        <v>#REF!</v>
      </c>
    </row>
    <row r="45" spans="1:11" ht="20.149999999999999" customHeight="1" x14ac:dyDescent="0.35">
      <c r="A45" s="1" t="e">
        <f t="shared" si="6"/>
        <v>#REF!</v>
      </c>
      <c r="B45" s="34" t="s">
        <v>83</v>
      </c>
      <c r="C45" s="34" t="s">
        <v>84</v>
      </c>
      <c r="D45" s="34"/>
      <c r="E45" s="34"/>
      <c r="F45" s="61" t="s">
        <v>54</v>
      </c>
      <c r="G45" s="35" t="e">
        <f>#REF!</f>
        <v>#REF!</v>
      </c>
      <c r="I45" s="71" t="e">
        <f t="shared" si="5"/>
        <v>#REF!</v>
      </c>
      <c r="J45" s="71" t="e">
        <f t="shared" si="5"/>
        <v>#REF!</v>
      </c>
      <c r="K45" s="71" t="e">
        <f t="shared" si="5"/>
        <v>#REF!</v>
      </c>
    </row>
    <row r="46" spans="1:11" ht="20.149999999999999" customHeight="1" x14ac:dyDescent="0.35">
      <c r="A46" s="1" t="e">
        <f t="shared" si="6"/>
        <v>#REF!</v>
      </c>
      <c r="B46" s="34" t="s">
        <v>85</v>
      </c>
      <c r="C46" s="34" t="s">
        <v>86</v>
      </c>
      <c r="D46" s="34"/>
      <c r="E46" s="34"/>
      <c r="F46" s="61" t="s">
        <v>54</v>
      </c>
      <c r="G46" s="35" t="e">
        <f>#REF!</f>
        <v>#REF!</v>
      </c>
      <c r="I46" s="71" t="e">
        <f t="shared" si="5"/>
        <v>#REF!</v>
      </c>
      <c r="J46" s="71" t="e">
        <f t="shared" si="5"/>
        <v>#REF!</v>
      </c>
      <c r="K46" s="71" t="e">
        <f t="shared" si="5"/>
        <v>#REF!</v>
      </c>
    </row>
    <row r="47" spans="1:11" ht="20.149999999999999" customHeight="1" x14ac:dyDescent="0.35">
      <c r="A47" s="1">
        <f>A2+1</f>
        <v>1</v>
      </c>
      <c r="B47" s="34" t="s">
        <v>87</v>
      </c>
      <c r="C47" s="34" t="s">
        <v>88</v>
      </c>
      <c r="D47" s="34"/>
      <c r="E47" s="34"/>
      <c r="F47" s="61" t="s">
        <v>54</v>
      </c>
      <c r="G47" s="35" t="e">
        <f>#REF!</f>
        <v>#REF!</v>
      </c>
      <c r="I47" s="71" t="e">
        <f t="shared" si="5"/>
        <v>#REF!</v>
      </c>
      <c r="J47" s="71" t="e">
        <f t="shared" si="5"/>
        <v>#REF!</v>
      </c>
      <c r="K47" s="71" t="e">
        <f t="shared" si="5"/>
        <v>#REF!</v>
      </c>
    </row>
    <row r="48" spans="1:11" ht="20.149999999999999" customHeight="1" x14ac:dyDescent="0.35">
      <c r="A48" s="1">
        <f t="shared" ref="A48:A50" si="7">A47+1</f>
        <v>2</v>
      </c>
      <c r="B48" s="34"/>
      <c r="C48" s="34"/>
      <c r="D48" s="34"/>
      <c r="E48" s="34"/>
      <c r="F48" s="61"/>
      <c r="G48" s="35" t="e">
        <f>#REF!</f>
        <v>#REF!</v>
      </c>
      <c r="I48" s="71" t="e">
        <f t="shared" si="5"/>
        <v>#REF!</v>
      </c>
      <c r="J48" s="71" t="e">
        <f t="shared" si="5"/>
        <v>#REF!</v>
      </c>
      <c r="K48" s="71" t="e">
        <f t="shared" si="5"/>
        <v>#REF!</v>
      </c>
    </row>
    <row r="49" spans="1:11" ht="20.149999999999999" customHeight="1" x14ac:dyDescent="0.35">
      <c r="A49" s="1">
        <f t="shared" si="7"/>
        <v>3</v>
      </c>
      <c r="B49" s="34"/>
      <c r="C49" s="34"/>
      <c r="D49" s="34"/>
      <c r="E49" s="34"/>
      <c r="F49" s="61"/>
      <c r="G49" s="35" t="e">
        <f>#REF!</f>
        <v>#REF!</v>
      </c>
      <c r="I49" s="71" t="e">
        <f t="shared" si="5"/>
        <v>#REF!</v>
      </c>
      <c r="J49" s="71" t="e">
        <f t="shared" si="5"/>
        <v>#REF!</v>
      </c>
      <c r="K49" s="71" t="e">
        <f t="shared" si="5"/>
        <v>#REF!</v>
      </c>
    </row>
    <row r="50" spans="1:11" ht="20.149999999999999" customHeight="1" x14ac:dyDescent="0.35">
      <c r="A50" s="1">
        <f t="shared" si="7"/>
        <v>4</v>
      </c>
      <c r="B50" s="34" t="s">
        <v>89</v>
      </c>
      <c r="C50" s="34" t="s">
        <v>90</v>
      </c>
      <c r="D50" s="34"/>
      <c r="E50" s="34"/>
      <c r="F50" s="61" t="s">
        <v>38</v>
      </c>
      <c r="G50" s="35" t="e">
        <f>#REF!</f>
        <v>#REF!</v>
      </c>
      <c r="I50" s="71" t="e">
        <f t="shared" si="5"/>
        <v>#REF!</v>
      </c>
      <c r="J50" s="71" t="e">
        <f t="shared" si="5"/>
        <v>#REF!</v>
      </c>
      <c r="K50" s="71" t="e">
        <f t="shared" si="5"/>
        <v>#REF!</v>
      </c>
    </row>
    <row r="51" spans="1:11" ht="20.149999999999999" customHeight="1" x14ac:dyDescent="0.35">
      <c r="A51" s="1" t="e">
        <f>#REF!+1</f>
        <v>#REF!</v>
      </c>
      <c r="B51" s="34" t="s">
        <v>91</v>
      </c>
      <c r="C51" s="34" t="s">
        <v>92</v>
      </c>
      <c r="D51" s="34"/>
      <c r="E51" s="34"/>
      <c r="F51" s="61" t="s">
        <v>38</v>
      </c>
      <c r="G51" s="35" t="e">
        <f>#REF!</f>
        <v>#REF!</v>
      </c>
      <c r="I51" s="71" t="e">
        <f t="shared" si="5"/>
        <v>#REF!</v>
      </c>
      <c r="J51" s="71" t="e">
        <f t="shared" si="5"/>
        <v>#REF!</v>
      </c>
      <c r="K51" s="71" t="e">
        <f t="shared" si="5"/>
        <v>#REF!</v>
      </c>
    </row>
    <row r="52" spans="1:11" ht="20.149999999999999" customHeight="1" x14ac:dyDescent="0.35">
      <c r="A52" s="1" t="e">
        <f t="shared" ref="A52:A54" si="8">A51+1</f>
        <v>#REF!</v>
      </c>
      <c r="B52" s="34" t="s">
        <v>93</v>
      </c>
      <c r="C52" s="34" t="s">
        <v>94</v>
      </c>
      <c r="D52" s="34"/>
      <c r="E52" s="34"/>
      <c r="F52" s="61" t="s">
        <v>38</v>
      </c>
      <c r="G52" s="35" t="e">
        <f>#REF!</f>
        <v>#REF!</v>
      </c>
      <c r="I52" s="71" t="e">
        <f t="shared" si="5"/>
        <v>#REF!</v>
      </c>
      <c r="J52" s="71" t="e">
        <f t="shared" si="5"/>
        <v>#REF!</v>
      </c>
      <c r="K52" s="71" t="e">
        <f t="shared" si="5"/>
        <v>#REF!</v>
      </c>
    </row>
    <row r="53" spans="1:11" ht="20.149999999999999" customHeight="1" x14ac:dyDescent="0.35">
      <c r="A53" s="1" t="e">
        <f t="shared" si="8"/>
        <v>#REF!</v>
      </c>
      <c r="B53" s="34" t="s">
        <v>95</v>
      </c>
      <c r="C53" s="34" t="s">
        <v>96</v>
      </c>
      <c r="D53" s="34"/>
      <c r="E53" s="34"/>
      <c r="F53" s="61" t="s">
        <v>45</v>
      </c>
      <c r="G53" s="35" t="e">
        <f>#REF!</f>
        <v>#REF!</v>
      </c>
      <c r="I53" s="71" t="e">
        <f t="shared" si="5"/>
        <v>#REF!</v>
      </c>
      <c r="J53" s="71" t="e">
        <f t="shared" si="5"/>
        <v>#REF!</v>
      </c>
      <c r="K53" s="71" t="e">
        <f t="shared" si="5"/>
        <v>#REF!</v>
      </c>
    </row>
    <row r="54" spans="1:11" ht="20.149999999999999" customHeight="1" x14ac:dyDescent="0.35">
      <c r="A54" s="1" t="e">
        <f t="shared" si="8"/>
        <v>#REF!</v>
      </c>
      <c r="B54" s="34" t="s">
        <v>97</v>
      </c>
      <c r="C54" s="34" t="s">
        <v>98</v>
      </c>
      <c r="D54" s="34"/>
      <c r="E54" s="34"/>
      <c r="F54" s="61" t="s">
        <v>38</v>
      </c>
      <c r="G54" s="35" t="e">
        <f>#REF!</f>
        <v>#REF!</v>
      </c>
      <c r="I54" s="71" t="e">
        <f t="shared" si="5"/>
        <v>#REF!</v>
      </c>
      <c r="J54" s="71" t="e">
        <f t="shared" si="5"/>
        <v>#REF!</v>
      </c>
      <c r="K54" s="71" t="e">
        <f t="shared" si="5"/>
        <v>#REF!</v>
      </c>
    </row>
    <row r="55" spans="1:11" ht="20.149999999999999" customHeight="1" x14ac:dyDescent="0.35">
      <c r="A55" s="1">
        <f>A11+1</f>
        <v>1</v>
      </c>
      <c r="B55" s="34" t="s">
        <v>99</v>
      </c>
      <c r="C55" s="34" t="s">
        <v>100</v>
      </c>
      <c r="D55" s="34"/>
      <c r="E55" s="34"/>
      <c r="F55" s="61" t="s">
        <v>38</v>
      </c>
      <c r="G55" s="35" t="e">
        <f>#REF!</f>
        <v>#REF!</v>
      </c>
      <c r="I55" s="71" t="e">
        <f t="shared" si="5"/>
        <v>#REF!</v>
      </c>
      <c r="J55" s="71" t="e">
        <f t="shared" si="5"/>
        <v>#REF!</v>
      </c>
      <c r="K55" s="71" t="e">
        <f t="shared" si="5"/>
        <v>#REF!</v>
      </c>
    </row>
    <row r="56" spans="1:11" ht="20.149999999999999" customHeight="1" x14ac:dyDescent="0.35">
      <c r="A56" s="1">
        <f t="shared" ref="A56" si="9">A55+1</f>
        <v>2</v>
      </c>
      <c r="B56" s="34" t="s">
        <v>101</v>
      </c>
      <c r="C56" s="34" t="s">
        <v>102</v>
      </c>
      <c r="D56" s="34"/>
      <c r="E56" s="34"/>
      <c r="F56" s="61" t="s">
        <v>38</v>
      </c>
      <c r="G56" s="35" t="e">
        <f>#REF!</f>
        <v>#REF!</v>
      </c>
      <c r="I56" s="71" t="e">
        <f t="shared" si="5"/>
        <v>#REF!</v>
      </c>
      <c r="J56" s="71" t="e">
        <f t="shared" si="5"/>
        <v>#REF!</v>
      </c>
      <c r="K56" s="71" t="e">
        <f t="shared" si="5"/>
        <v>#REF!</v>
      </c>
    </row>
    <row r="57" spans="1:11" ht="20.149999999999999" customHeight="1" x14ac:dyDescent="0.35">
      <c r="A57" s="1" t="e">
        <f>#REF!+1</f>
        <v>#REF!</v>
      </c>
      <c r="B57" s="34" t="s">
        <v>103</v>
      </c>
      <c r="C57" s="34" t="s">
        <v>104</v>
      </c>
      <c r="D57" s="34"/>
      <c r="E57" s="34"/>
      <c r="F57" s="61" t="s">
        <v>38</v>
      </c>
      <c r="G57" s="35" t="e">
        <f>#REF!</f>
        <v>#REF!</v>
      </c>
      <c r="I57" s="71" t="e">
        <f t="shared" si="5"/>
        <v>#REF!</v>
      </c>
      <c r="J57" s="71" t="e">
        <f t="shared" si="5"/>
        <v>#REF!</v>
      </c>
      <c r="K57" s="71" t="e">
        <f t="shared" si="5"/>
        <v>#REF!</v>
      </c>
    </row>
    <row r="58" spans="1:11" ht="20.149999999999999" customHeight="1" x14ac:dyDescent="0.35">
      <c r="A58" s="1" t="e">
        <f t="shared" ref="A58:A60" si="10">A57+1</f>
        <v>#REF!</v>
      </c>
      <c r="B58" s="34" t="s">
        <v>105</v>
      </c>
      <c r="C58" s="34" t="s">
        <v>106</v>
      </c>
      <c r="D58" s="34"/>
      <c r="E58" s="34"/>
      <c r="F58" s="61" t="s">
        <v>59</v>
      </c>
      <c r="G58" s="35" t="e">
        <f>#REF!</f>
        <v>#REF!</v>
      </c>
      <c r="I58" s="71" t="e">
        <f t="shared" si="5"/>
        <v>#REF!</v>
      </c>
      <c r="J58" s="71" t="e">
        <f t="shared" si="5"/>
        <v>#REF!</v>
      </c>
      <c r="K58" s="71" t="e">
        <f t="shared" si="5"/>
        <v>#REF!</v>
      </c>
    </row>
    <row r="59" spans="1:11" ht="20.149999999999999" customHeight="1" x14ac:dyDescent="0.35">
      <c r="A59" s="1" t="e">
        <f t="shared" si="10"/>
        <v>#REF!</v>
      </c>
      <c r="B59" s="34" t="s">
        <v>107</v>
      </c>
      <c r="C59" s="34" t="s">
        <v>108</v>
      </c>
      <c r="D59" s="34"/>
      <c r="E59" s="34"/>
      <c r="F59" s="61" t="s">
        <v>38</v>
      </c>
      <c r="G59" s="35" t="e">
        <f>#REF!</f>
        <v>#REF!</v>
      </c>
      <c r="I59" s="71" t="e">
        <f t="shared" si="5"/>
        <v>#REF!</v>
      </c>
      <c r="J59" s="71" t="e">
        <f t="shared" si="5"/>
        <v>#REF!</v>
      </c>
      <c r="K59" s="71" t="e">
        <f t="shared" si="5"/>
        <v>#REF!</v>
      </c>
    </row>
    <row r="60" spans="1:11" ht="20.149999999999999" customHeight="1" x14ac:dyDescent="0.35">
      <c r="A60" s="1" t="e">
        <f t="shared" si="10"/>
        <v>#REF!</v>
      </c>
      <c r="B60" s="34" t="s">
        <v>109</v>
      </c>
      <c r="C60" s="34" t="s">
        <v>110</v>
      </c>
      <c r="D60" s="34"/>
      <c r="E60" s="34"/>
      <c r="F60" s="61" t="s">
        <v>38</v>
      </c>
      <c r="G60" s="35" t="e">
        <f>#REF!</f>
        <v>#REF!</v>
      </c>
      <c r="I60" s="71" t="e">
        <f t="shared" si="5"/>
        <v>#REF!</v>
      </c>
      <c r="J60" s="71" t="e">
        <f t="shared" si="5"/>
        <v>#REF!</v>
      </c>
      <c r="K60" s="71" t="e">
        <f t="shared" si="5"/>
        <v>#REF!</v>
      </c>
    </row>
    <row r="61" spans="1:11" ht="20.149999999999999" customHeight="1" x14ac:dyDescent="0.35">
      <c r="A61" s="1">
        <f>A17+1</f>
        <v>3</v>
      </c>
      <c r="B61" s="34" t="s">
        <v>111</v>
      </c>
      <c r="C61" s="34" t="s">
        <v>112</v>
      </c>
      <c r="D61" s="34"/>
      <c r="E61" s="34"/>
      <c r="F61" s="61" t="s">
        <v>38</v>
      </c>
      <c r="G61" s="35" t="e">
        <f>#REF!</f>
        <v>#REF!</v>
      </c>
      <c r="I61" s="71" t="e">
        <f t="shared" si="5"/>
        <v>#REF!</v>
      </c>
      <c r="J61" s="71" t="e">
        <f t="shared" si="5"/>
        <v>#REF!</v>
      </c>
      <c r="K61" s="71" t="e">
        <f t="shared" si="5"/>
        <v>#REF!</v>
      </c>
    </row>
    <row r="62" spans="1:11" ht="20.149999999999999" customHeight="1" x14ac:dyDescent="0.35">
      <c r="A62" s="1">
        <f t="shared" ref="A62:A64" si="11">A61+1</f>
        <v>4</v>
      </c>
      <c r="B62" s="34" t="s">
        <v>113</v>
      </c>
      <c r="C62" s="34" t="s">
        <v>114</v>
      </c>
      <c r="D62" s="34"/>
      <c r="E62" s="34"/>
      <c r="F62" s="61" t="s">
        <v>38</v>
      </c>
      <c r="G62" s="35" t="e">
        <f>#REF!</f>
        <v>#REF!</v>
      </c>
      <c r="I62" s="71" t="e">
        <f t="shared" si="5"/>
        <v>#REF!</v>
      </c>
      <c r="J62" s="71" t="e">
        <f t="shared" si="5"/>
        <v>#REF!</v>
      </c>
      <c r="K62" s="71" t="e">
        <f t="shared" si="5"/>
        <v>#REF!</v>
      </c>
    </row>
    <row r="63" spans="1:11" ht="20.149999999999999" customHeight="1" x14ac:dyDescent="0.35">
      <c r="A63" s="1">
        <f t="shared" si="11"/>
        <v>5</v>
      </c>
      <c r="B63" s="34" t="s">
        <v>115</v>
      </c>
      <c r="C63" s="34" t="s">
        <v>116</v>
      </c>
      <c r="D63" s="34"/>
      <c r="E63" s="34"/>
      <c r="F63" s="61" t="s">
        <v>38</v>
      </c>
      <c r="G63" s="35" t="e">
        <f>#REF!</f>
        <v>#REF!</v>
      </c>
      <c r="I63" s="71" t="e">
        <f t="shared" si="5"/>
        <v>#REF!</v>
      </c>
      <c r="J63" s="71" t="e">
        <f t="shared" si="5"/>
        <v>#REF!</v>
      </c>
      <c r="K63" s="71" t="e">
        <f t="shared" si="5"/>
        <v>#REF!</v>
      </c>
    </row>
    <row r="64" spans="1:11" ht="20.149999999999999" customHeight="1" x14ac:dyDescent="0.35">
      <c r="A64" s="1">
        <f t="shared" si="11"/>
        <v>6</v>
      </c>
      <c r="B64" s="34" t="s">
        <v>117</v>
      </c>
      <c r="C64" s="34" t="s">
        <v>118</v>
      </c>
      <c r="D64" s="34"/>
      <c r="E64" s="34"/>
      <c r="F64" s="61" t="s">
        <v>38</v>
      </c>
      <c r="G64" s="35" t="e">
        <f>#REF!</f>
        <v>#REF!</v>
      </c>
      <c r="I64" s="71" t="e">
        <f t="shared" si="5"/>
        <v>#REF!</v>
      </c>
      <c r="J64" s="71" t="e">
        <f t="shared" si="5"/>
        <v>#REF!</v>
      </c>
      <c r="K64" s="71" t="e">
        <f t="shared" si="5"/>
        <v>#REF!</v>
      </c>
    </row>
    <row r="65" spans="1:11" ht="20.149999999999999" customHeight="1" x14ac:dyDescent="0.35">
      <c r="A65" s="1" t="e">
        <f>#REF!+1</f>
        <v>#REF!</v>
      </c>
      <c r="B65" s="34" t="s">
        <v>119</v>
      </c>
      <c r="C65" s="34" t="s">
        <v>120</v>
      </c>
      <c r="D65" s="34"/>
      <c r="E65" s="34"/>
      <c r="F65" s="61" t="s">
        <v>38</v>
      </c>
      <c r="G65" s="35" t="e">
        <f>#REF!</f>
        <v>#REF!</v>
      </c>
      <c r="I65" s="71" t="e">
        <f t="shared" si="5"/>
        <v>#REF!</v>
      </c>
      <c r="J65" s="71" t="e">
        <f t="shared" si="5"/>
        <v>#REF!</v>
      </c>
      <c r="K65" s="71" t="e">
        <f t="shared" si="5"/>
        <v>#REF!</v>
      </c>
    </row>
    <row r="66" spans="1:11" ht="20.149999999999999" customHeight="1" x14ac:dyDescent="0.35">
      <c r="A66" s="1" t="e">
        <f t="shared" ref="A66:A68" si="12">A65+1</f>
        <v>#REF!</v>
      </c>
      <c r="B66" s="34" t="s">
        <v>121</v>
      </c>
      <c r="C66" s="34" t="s">
        <v>122</v>
      </c>
      <c r="D66" s="34"/>
      <c r="E66" s="34"/>
      <c r="F66" s="61" t="s">
        <v>38</v>
      </c>
      <c r="G66" s="35" t="e">
        <f>#REF!</f>
        <v>#REF!</v>
      </c>
      <c r="I66" s="71" t="e">
        <f t="shared" si="5"/>
        <v>#REF!</v>
      </c>
      <c r="J66" s="71" t="e">
        <f t="shared" si="5"/>
        <v>#REF!</v>
      </c>
      <c r="K66" s="71" t="e">
        <f t="shared" si="5"/>
        <v>#REF!</v>
      </c>
    </row>
    <row r="67" spans="1:11" ht="20.149999999999999" customHeight="1" x14ac:dyDescent="0.35">
      <c r="A67" s="1" t="e">
        <f t="shared" si="12"/>
        <v>#REF!</v>
      </c>
      <c r="B67" s="34" t="s">
        <v>123</v>
      </c>
      <c r="C67" s="34" t="s">
        <v>124</v>
      </c>
      <c r="D67" s="34"/>
      <c r="E67" s="34"/>
      <c r="F67" s="61" t="s">
        <v>38</v>
      </c>
      <c r="G67" s="35" t="e">
        <f>#REF!</f>
        <v>#REF!</v>
      </c>
      <c r="I67" s="71" t="e">
        <f t="shared" si="5"/>
        <v>#REF!</v>
      </c>
      <c r="J67" s="71" t="e">
        <f t="shared" si="5"/>
        <v>#REF!</v>
      </c>
      <c r="K67" s="71" t="e">
        <f t="shared" si="5"/>
        <v>#REF!</v>
      </c>
    </row>
    <row r="68" spans="1:11" ht="20.149999999999999" customHeight="1" x14ac:dyDescent="0.35">
      <c r="A68" s="1" t="e">
        <f t="shared" si="12"/>
        <v>#REF!</v>
      </c>
      <c r="B68" s="34" t="s">
        <v>125</v>
      </c>
      <c r="C68" s="34" t="s">
        <v>126</v>
      </c>
      <c r="D68" s="34"/>
      <c r="E68" s="34"/>
      <c r="F68" s="61" t="s">
        <v>38</v>
      </c>
      <c r="G68" s="35" t="e">
        <f>#REF!</f>
        <v>#REF!</v>
      </c>
      <c r="I68" s="71" t="e">
        <f t="shared" si="5"/>
        <v>#REF!</v>
      </c>
      <c r="J68" s="71" t="e">
        <f t="shared" si="5"/>
        <v>#REF!</v>
      </c>
      <c r="K68" s="71" t="e">
        <f t="shared" si="5"/>
        <v>#REF!</v>
      </c>
    </row>
    <row r="69" spans="1:11" ht="20.149999999999999" customHeight="1" x14ac:dyDescent="0.35">
      <c r="A69" s="1" t="e">
        <f>A26+1</f>
        <v>#REF!</v>
      </c>
      <c r="B69" s="34" t="s">
        <v>127</v>
      </c>
      <c r="C69" s="34" t="s">
        <v>128</v>
      </c>
      <c r="D69" s="34"/>
      <c r="E69" s="34"/>
      <c r="F69" s="61" t="s">
        <v>38</v>
      </c>
      <c r="G69" s="35" t="e">
        <f>#REF!</f>
        <v>#REF!</v>
      </c>
      <c r="I69" s="71" t="e">
        <f t="shared" si="5"/>
        <v>#REF!</v>
      </c>
      <c r="J69" s="71" t="e">
        <f t="shared" si="5"/>
        <v>#REF!</v>
      </c>
      <c r="K69" s="71" t="e">
        <f t="shared" si="5"/>
        <v>#REF!</v>
      </c>
    </row>
    <row r="70" spans="1:11" ht="20.149999999999999" customHeight="1" x14ac:dyDescent="0.35">
      <c r="A70" s="1" t="e">
        <f t="shared" ref="A70:A72" si="13">A69+1</f>
        <v>#REF!</v>
      </c>
      <c r="B70" s="34" t="s">
        <v>129</v>
      </c>
      <c r="C70" s="34" t="s">
        <v>130</v>
      </c>
      <c r="D70" s="34"/>
      <c r="E70" s="34"/>
      <c r="F70" s="61" t="s">
        <v>38</v>
      </c>
      <c r="G70" s="35" t="e">
        <f>#REF!</f>
        <v>#REF!</v>
      </c>
      <c r="I70" s="71" t="e">
        <f t="shared" si="5"/>
        <v>#REF!</v>
      </c>
      <c r="J70" s="71" t="e">
        <f t="shared" si="5"/>
        <v>#REF!</v>
      </c>
      <c r="K70" s="71" t="e">
        <f t="shared" si="5"/>
        <v>#REF!</v>
      </c>
    </row>
    <row r="71" spans="1:11" ht="20.149999999999999" customHeight="1" x14ac:dyDescent="0.35">
      <c r="A71" s="1" t="e">
        <f t="shared" si="13"/>
        <v>#REF!</v>
      </c>
      <c r="B71" s="34" t="s">
        <v>131</v>
      </c>
      <c r="C71" s="34" t="s">
        <v>132</v>
      </c>
      <c r="D71" s="34"/>
      <c r="E71" s="34"/>
      <c r="F71" s="61" t="s">
        <v>38</v>
      </c>
      <c r="G71" s="35" t="e">
        <f>#REF!</f>
        <v>#REF!</v>
      </c>
      <c r="I71" s="71" t="e">
        <f t="shared" si="5"/>
        <v>#REF!</v>
      </c>
      <c r="J71" s="71" t="e">
        <f t="shared" si="5"/>
        <v>#REF!</v>
      </c>
      <c r="K71" s="71" t="e">
        <f t="shared" si="5"/>
        <v>#REF!</v>
      </c>
    </row>
    <row r="72" spans="1:11" ht="20.149999999999999" customHeight="1" x14ac:dyDescent="0.35">
      <c r="A72" s="1" t="e">
        <f t="shared" si="13"/>
        <v>#REF!</v>
      </c>
      <c r="B72" s="34" t="s">
        <v>133</v>
      </c>
      <c r="C72" s="34" t="s">
        <v>134</v>
      </c>
      <c r="D72" s="34"/>
      <c r="E72" s="34"/>
      <c r="F72" s="61" t="s">
        <v>38</v>
      </c>
      <c r="G72" s="35" t="e">
        <f>#REF!</f>
        <v>#REF!</v>
      </c>
      <c r="I72" s="71" t="e">
        <f t="shared" si="5"/>
        <v>#REF!</v>
      </c>
      <c r="J72" s="71" t="e">
        <f t="shared" si="5"/>
        <v>#REF!</v>
      </c>
      <c r="K72" s="71" t="e">
        <f t="shared" si="5"/>
        <v>#REF!</v>
      </c>
    </row>
    <row r="73" spans="1:11" ht="20.149999999999999" customHeight="1" x14ac:dyDescent="0.35">
      <c r="A73" s="1" t="e">
        <f>#REF!+1</f>
        <v>#REF!</v>
      </c>
      <c r="B73" s="34" t="s">
        <v>135</v>
      </c>
      <c r="C73" s="34" t="s">
        <v>136</v>
      </c>
      <c r="D73" s="34"/>
      <c r="E73" s="34"/>
      <c r="F73" s="61" t="s">
        <v>38</v>
      </c>
      <c r="G73" s="35" t="e">
        <f>#REF!</f>
        <v>#REF!</v>
      </c>
      <c r="I73" s="71" t="e">
        <f t="shared" si="5"/>
        <v>#REF!</v>
      </c>
      <c r="J73" s="71" t="e">
        <f t="shared" si="5"/>
        <v>#REF!</v>
      </c>
      <c r="K73" s="71" t="e">
        <f t="shared" si="5"/>
        <v>#REF!</v>
      </c>
    </row>
    <row r="74" spans="1:11" ht="20.149999999999999" customHeight="1" x14ac:dyDescent="0.35">
      <c r="A74" s="1" t="e">
        <f t="shared" ref="A74:A76" si="14">A73+1</f>
        <v>#REF!</v>
      </c>
      <c r="B74" s="34" t="s">
        <v>137</v>
      </c>
      <c r="C74" s="34" t="s">
        <v>138</v>
      </c>
      <c r="D74" s="34"/>
      <c r="E74" s="34"/>
      <c r="F74" s="61" t="s">
        <v>38</v>
      </c>
      <c r="G74" s="35" t="e">
        <f>#REF!</f>
        <v>#REF!</v>
      </c>
      <c r="I74" s="71" t="e">
        <f t="shared" si="5"/>
        <v>#REF!</v>
      </c>
      <c r="J74" s="71" t="e">
        <f t="shared" si="5"/>
        <v>#REF!</v>
      </c>
      <c r="K74" s="71" t="e">
        <f t="shared" si="5"/>
        <v>#REF!</v>
      </c>
    </row>
    <row r="75" spans="1:11" ht="20.149999999999999" customHeight="1" x14ac:dyDescent="0.35">
      <c r="A75" s="1" t="e">
        <f t="shared" si="14"/>
        <v>#REF!</v>
      </c>
      <c r="B75" s="34" t="s">
        <v>139</v>
      </c>
      <c r="C75" s="34" t="s">
        <v>140</v>
      </c>
      <c r="D75" s="34"/>
      <c r="E75" s="34"/>
      <c r="F75" s="61" t="s">
        <v>38</v>
      </c>
      <c r="G75" s="35" t="e">
        <f>#REF!</f>
        <v>#REF!</v>
      </c>
      <c r="I75" s="71" t="e">
        <f t="shared" si="5"/>
        <v>#REF!</v>
      </c>
      <c r="J75" s="71" t="e">
        <f t="shared" si="5"/>
        <v>#REF!</v>
      </c>
      <c r="K75" s="71" t="e">
        <f t="shared" si="5"/>
        <v>#REF!</v>
      </c>
    </row>
    <row r="76" spans="1:11" ht="20.149999999999999" customHeight="1" x14ac:dyDescent="0.35">
      <c r="A76" s="1" t="e">
        <f t="shared" si="14"/>
        <v>#REF!</v>
      </c>
      <c r="B76" s="34"/>
      <c r="C76" s="34"/>
      <c r="D76" s="34"/>
      <c r="E76" s="34"/>
      <c r="F76" s="61"/>
      <c r="G76" s="35" t="e">
        <f>#REF!</f>
        <v>#REF!</v>
      </c>
      <c r="I76" s="71" t="e">
        <f t="shared" si="5"/>
        <v>#REF!</v>
      </c>
      <c r="J76" s="71" t="e">
        <f t="shared" si="5"/>
        <v>#REF!</v>
      </c>
      <c r="K76" s="71" t="e">
        <f t="shared" si="5"/>
        <v>#REF!</v>
      </c>
    </row>
    <row r="77" spans="1:11" ht="20.149999999999999" customHeight="1" x14ac:dyDescent="0.35">
      <c r="A77" s="1">
        <f>A34+1</f>
        <v>3</v>
      </c>
      <c r="B77" s="34"/>
      <c r="C77" s="34"/>
      <c r="D77" s="34"/>
      <c r="E77" s="34"/>
      <c r="F77" s="61"/>
      <c r="G77" s="35" t="e">
        <f>#REF!</f>
        <v>#REF!</v>
      </c>
      <c r="I77" s="71" t="e">
        <f t="shared" si="5"/>
        <v>#REF!</v>
      </c>
      <c r="J77" s="71" t="e">
        <f t="shared" si="5"/>
        <v>#REF!</v>
      </c>
      <c r="K77" s="71" t="e">
        <f t="shared" si="5"/>
        <v>#REF!</v>
      </c>
    </row>
    <row r="78" spans="1:11" s="18" customFormat="1" ht="20.149999999999999" customHeight="1" x14ac:dyDescent="0.35">
      <c r="B78" s="38" t="s">
        <v>141</v>
      </c>
      <c r="C78" s="56"/>
      <c r="D78" s="56"/>
      <c r="E78" s="56"/>
      <c r="F78" s="57"/>
      <c r="G78" s="58" t="e">
        <f>#REF!</f>
        <v>#REF!</v>
      </c>
      <c r="H78" s="33"/>
      <c r="I78" s="71"/>
      <c r="J78" s="71"/>
      <c r="K78" s="71"/>
    </row>
    <row r="79" spans="1:11" ht="20.149999999999999" customHeight="1" x14ac:dyDescent="0.35">
      <c r="A79" s="1">
        <v>1</v>
      </c>
      <c r="B79" s="34" t="s">
        <v>142</v>
      </c>
      <c r="C79" s="34" t="s">
        <v>143</v>
      </c>
      <c r="D79" s="34"/>
      <c r="E79" s="34"/>
      <c r="F79" s="61" t="s">
        <v>59</v>
      </c>
      <c r="G79" s="35" t="e">
        <f>#REF!</f>
        <v>#REF!</v>
      </c>
      <c r="I79" s="71" t="e">
        <f t="shared" ref="I79:K89" si="15">ROUNDUP($G79*100/$G$6*I$11*$K$6,0)</f>
        <v>#REF!</v>
      </c>
      <c r="J79" s="71" t="e">
        <f t="shared" si="15"/>
        <v>#REF!</v>
      </c>
      <c r="K79" s="71" t="e">
        <f t="shared" si="15"/>
        <v>#REF!</v>
      </c>
    </row>
    <row r="80" spans="1:11" ht="20.149999999999999" customHeight="1" x14ac:dyDescent="0.35">
      <c r="A80" s="1" t="e">
        <f>#REF!+1</f>
        <v>#REF!</v>
      </c>
      <c r="B80" s="34" t="s">
        <v>144</v>
      </c>
      <c r="C80" s="34" t="s">
        <v>145</v>
      </c>
      <c r="D80" s="34"/>
      <c r="E80" s="34"/>
      <c r="F80" s="61" t="s">
        <v>59</v>
      </c>
      <c r="G80" s="35" t="e">
        <f>#REF!</f>
        <v>#REF!</v>
      </c>
      <c r="I80" s="71" t="e">
        <f t="shared" si="15"/>
        <v>#REF!</v>
      </c>
      <c r="J80" s="71" t="e">
        <f t="shared" si="15"/>
        <v>#REF!</v>
      </c>
      <c r="K80" s="71" t="e">
        <f t="shared" si="15"/>
        <v>#REF!</v>
      </c>
    </row>
    <row r="81" spans="1:11" ht="20.149999999999999" customHeight="1" x14ac:dyDescent="0.35">
      <c r="A81" s="1" t="e">
        <f t="shared" ref="A81:A83" si="16">A80+1</f>
        <v>#REF!</v>
      </c>
      <c r="B81" s="34" t="s">
        <v>146</v>
      </c>
      <c r="C81" s="34" t="s">
        <v>147</v>
      </c>
      <c r="D81" s="34"/>
      <c r="E81" s="34"/>
      <c r="F81" s="61" t="s">
        <v>59</v>
      </c>
      <c r="G81" s="35" t="e">
        <f>#REF!</f>
        <v>#REF!</v>
      </c>
      <c r="I81" s="71" t="e">
        <f t="shared" si="15"/>
        <v>#REF!</v>
      </c>
      <c r="J81" s="71" t="e">
        <f t="shared" si="15"/>
        <v>#REF!</v>
      </c>
      <c r="K81" s="71" t="e">
        <f t="shared" si="15"/>
        <v>#REF!</v>
      </c>
    </row>
    <row r="82" spans="1:11" ht="20.149999999999999" customHeight="1" x14ac:dyDescent="0.35">
      <c r="A82" s="1" t="e">
        <f t="shared" si="16"/>
        <v>#REF!</v>
      </c>
      <c r="B82" s="34" t="s">
        <v>148</v>
      </c>
      <c r="C82" s="34" t="s">
        <v>149</v>
      </c>
      <c r="D82" s="34"/>
      <c r="E82" s="34"/>
      <c r="F82" s="61" t="s">
        <v>38</v>
      </c>
      <c r="G82" s="35" t="e">
        <f>#REF!</f>
        <v>#REF!</v>
      </c>
      <c r="I82" s="71" t="e">
        <f t="shared" si="15"/>
        <v>#REF!</v>
      </c>
      <c r="J82" s="71" t="e">
        <f t="shared" si="15"/>
        <v>#REF!</v>
      </c>
      <c r="K82" s="71" t="e">
        <f t="shared" si="15"/>
        <v>#REF!</v>
      </c>
    </row>
    <row r="83" spans="1:11" ht="20.149999999999999" customHeight="1" x14ac:dyDescent="0.35">
      <c r="A83" s="1" t="e">
        <f t="shared" si="16"/>
        <v>#REF!</v>
      </c>
      <c r="B83" s="34" t="s">
        <v>150</v>
      </c>
      <c r="C83" s="34" t="s">
        <v>151</v>
      </c>
      <c r="D83" s="60"/>
      <c r="E83" s="60"/>
      <c r="F83" s="61" t="s">
        <v>38</v>
      </c>
      <c r="G83" s="35" t="e">
        <f>#REF!</f>
        <v>#REF!</v>
      </c>
      <c r="I83" s="71" t="e">
        <f t="shared" si="15"/>
        <v>#REF!</v>
      </c>
      <c r="J83" s="71" t="e">
        <f t="shared" si="15"/>
        <v>#REF!</v>
      </c>
      <c r="K83" s="71" t="e">
        <f t="shared" si="15"/>
        <v>#REF!</v>
      </c>
    </row>
    <row r="84" spans="1:11" ht="20.149999999999999" customHeight="1" x14ac:dyDescent="0.35">
      <c r="A84" s="1">
        <f>A79+1</f>
        <v>2</v>
      </c>
      <c r="B84" s="34" t="s">
        <v>152</v>
      </c>
      <c r="C84" s="34" t="s">
        <v>153</v>
      </c>
      <c r="D84" s="34"/>
      <c r="E84" s="34"/>
      <c r="F84" s="61" t="s">
        <v>38</v>
      </c>
      <c r="G84" s="35" t="e">
        <f>#REF!</f>
        <v>#REF!</v>
      </c>
      <c r="I84" s="71" t="e">
        <f t="shared" si="15"/>
        <v>#REF!</v>
      </c>
      <c r="J84" s="71" t="e">
        <f t="shared" si="15"/>
        <v>#REF!</v>
      </c>
      <c r="K84" s="71" t="e">
        <f t="shared" si="15"/>
        <v>#REF!</v>
      </c>
    </row>
    <row r="85" spans="1:11" ht="20.149999999999999" customHeight="1" x14ac:dyDescent="0.35">
      <c r="A85" s="1">
        <f t="shared" ref="A85:A94" si="17">A84+1</f>
        <v>3</v>
      </c>
      <c r="B85" s="34" t="s">
        <v>154</v>
      </c>
      <c r="C85" s="34" t="s">
        <v>155</v>
      </c>
      <c r="D85" s="34"/>
      <c r="E85" s="34"/>
      <c r="F85" s="61" t="s">
        <v>49</v>
      </c>
      <c r="G85" s="35" t="e">
        <f>#REF!</f>
        <v>#REF!</v>
      </c>
      <c r="I85" s="71" t="e">
        <f t="shared" si="15"/>
        <v>#REF!</v>
      </c>
      <c r="J85" s="71" t="e">
        <f t="shared" si="15"/>
        <v>#REF!</v>
      </c>
      <c r="K85" s="71" t="e">
        <f t="shared" si="15"/>
        <v>#REF!</v>
      </c>
    </row>
    <row r="86" spans="1:11" ht="20.149999999999999" customHeight="1" x14ac:dyDescent="0.35">
      <c r="A86" s="1">
        <f t="shared" si="17"/>
        <v>4</v>
      </c>
      <c r="B86" s="34" t="s">
        <v>156</v>
      </c>
      <c r="C86" s="34" t="s">
        <v>157</v>
      </c>
      <c r="D86" s="34"/>
      <c r="E86" s="34"/>
      <c r="F86" s="61" t="s">
        <v>38</v>
      </c>
      <c r="G86" s="35" t="e">
        <f>#REF!</f>
        <v>#REF!</v>
      </c>
      <c r="I86" s="71" t="e">
        <f t="shared" si="15"/>
        <v>#REF!</v>
      </c>
      <c r="J86" s="71" t="e">
        <f t="shared" si="15"/>
        <v>#REF!</v>
      </c>
      <c r="K86" s="71" t="e">
        <f t="shared" si="15"/>
        <v>#REF!</v>
      </c>
    </row>
    <row r="87" spans="1:11" ht="20.149999999999999" customHeight="1" x14ac:dyDescent="0.35">
      <c r="A87" s="1">
        <f t="shared" si="17"/>
        <v>5</v>
      </c>
      <c r="B87" s="34" t="s">
        <v>158</v>
      </c>
      <c r="C87" s="34" t="s">
        <v>159</v>
      </c>
      <c r="D87" s="60"/>
      <c r="E87" s="60"/>
      <c r="F87" s="61" t="s">
        <v>38</v>
      </c>
      <c r="G87" s="35" t="e">
        <f>#REF!</f>
        <v>#REF!</v>
      </c>
      <c r="I87" s="71" t="e">
        <f t="shared" si="15"/>
        <v>#REF!</v>
      </c>
      <c r="J87" s="71" t="e">
        <f t="shared" si="15"/>
        <v>#REF!</v>
      </c>
      <c r="K87" s="71" t="e">
        <f t="shared" si="15"/>
        <v>#REF!</v>
      </c>
    </row>
    <row r="88" spans="1:11" ht="20.149999999999999" customHeight="1" x14ac:dyDescent="0.35">
      <c r="A88" s="1">
        <f>A86+1</f>
        <v>5</v>
      </c>
      <c r="B88" s="34"/>
      <c r="C88" s="34"/>
      <c r="D88" s="34"/>
      <c r="E88" s="34"/>
      <c r="F88" s="61"/>
      <c r="G88" s="35" t="e">
        <f>#REF!</f>
        <v>#REF!</v>
      </c>
      <c r="I88" s="71" t="e">
        <f t="shared" si="15"/>
        <v>#REF!</v>
      </c>
      <c r="J88" s="71" t="e">
        <f t="shared" si="15"/>
        <v>#REF!</v>
      </c>
      <c r="K88" s="71" t="e">
        <f t="shared" si="15"/>
        <v>#REF!</v>
      </c>
    </row>
    <row r="89" spans="1:11" ht="20.149999999999999" customHeight="1" x14ac:dyDescent="0.35">
      <c r="A89" s="1">
        <f>A87+1</f>
        <v>6</v>
      </c>
      <c r="B89" s="34"/>
      <c r="C89" s="34"/>
      <c r="D89" s="34"/>
      <c r="E89" s="34"/>
      <c r="F89" s="61"/>
      <c r="G89" s="35" t="e">
        <f>#REF!</f>
        <v>#REF!</v>
      </c>
      <c r="I89" s="71" t="e">
        <f t="shared" si="15"/>
        <v>#REF!</v>
      </c>
      <c r="J89" s="71" t="e">
        <f t="shared" si="15"/>
        <v>#REF!</v>
      </c>
      <c r="K89" s="71" t="e">
        <f t="shared" si="15"/>
        <v>#REF!</v>
      </c>
    </row>
    <row r="90" spans="1:11" ht="20.149999999999999" customHeight="1" x14ac:dyDescent="0.35">
      <c r="B90" s="38" t="s">
        <v>169</v>
      </c>
      <c r="C90" s="56"/>
      <c r="D90" s="56"/>
      <c r="E90" s="56"/>
      <c r="F90" s="57"/>
      <c r="G90" s="58" t="e">
        <f>#REF!</f>
        <v>#REF!</v>
      </c>
      <c r="I90" s="71"/>
      <c r="J90" s="71"/>
      <c r="K90" s="71"/>
    </row>
    <row r="91" spans="1:11" ht="20.149999999999999" customHeight="1" x14ac:dyDescent="0.35">
      <c r="A91" s="1">
        <f>A89+1</f>
        <v>7</v>
      </c>
      <c r="B91" s="34" t="s">
        <v>161</v>
      </c>
      <c r="C91" s="34" t="s">
        <v>162</v>
      </c>
      <c r="D91" s="60"/>
      <c r="E91" s="60"/>
      <c r="F91" s="61" t="s">
        <v>49</v>
      </c>
      <c r="G91" s="35" t="e">
        <f>#REF!</f>
        <v>#REF!</v>
      </c>
      <c r="I91" s="71" t="e">
        <f t="shared" ref="I91:K96" si="18">ROUNDUP($G91*100/$G$6*I$11*$K$6,0)</f>
        <v>#REF!</v>
      </c>
      <c r="J91" s="71" t="e">
        <f t="shared" si="18"/>
        <v>#REF!</v>
      </c>
      <c r="K91" s="71" t="e">
        <f t="shared" si="18"/>
        <v>#REF!</v>
      </c>
    </row>
    <row r="92" spans="1:11" ht="20.149999999999999" customHeight="1" x14ac:dyDescent="0.35">
      <c r="A92" s="1">
        <f t="shared" si="17"/>
        <v>8</v>
      </c>
      <c r="B92" s="34" t="s">
        <v>163</v>
      </c>
      <c r="C92" s="34" t="s">
        <v>164</v>
      </c>
      <c r="D92" s="34"/>
      <c r="E92" s="34"/>
      <c r="F92" s="61" t="s">
        <v>49</v>
      </c>
      <c r="G92" s="35" t="e">
        <f>#REF!</f>
        <v>#REF!</v>
      </c>
      <c r="I92" s="71" t="e">
        <f t="shared" si="18"/>
        <v>#REF!</v>
      </c>
      <c r="J92" s="71" t="e">
        <f t="shared" si="18"/>
        <v>#REF!</v>
      </c>
      <c r="K92" s="71" t="e">
        <f t="shared" si="18"/>
        <v>#REF!</v>
      </c>
    </row>
    <row r="93" spans="1:11" ht="20.149999999999999" customHeight="1" x14ac:dyDescent="0.35">
      <c r="A93" s="1">
        <f t="shared" si="17"/>
        <v>9</v>
      </c>
      <c r="B93" s="34" t="s">
        <v>165</v>
      </c>
      <c r="C93" s="34" t="s">
        <v>166</v>
      </c>
      <c r="D93" s="34"/>
      <c r="E93" s="34"/>
      <c r="F93" s="61" t="s">
        <v>38</v>
      </c>
      <c r="G93" s="35" t="e">
        <f>#REF!</f>
        <v>#REF!</v>
      </c>
      <c r="I93" s="71" t="e">
        <f t="shared" si="18"/>
        <v>#REF!</v>
      </c>
      <c r="J93" s="71" t="e">
        <f t="shared" si="18"/>
        <v>#REF!</v>
      </c>
      <c r="K93" s="71" t="e">
        <f t="shared" si="18"/>
        <v>#REF!</v>
      </c>
    </row>
    <row r="94" spans="1:11" ht="20.149999999999999" customHeight="1" x14ac:dyDescent="0.35">
      <c r="A94" s="1">
        <f t="shared" si="17"/>
        <v>10</v>
      </c>
      <c r="B94" s="34" t="s">
        <v>167</v>
      </c>
      <c r="C94" s="34" t="s">
        <v>168</v>
      </c>
      <c r="D94" s="34"/>
      <c r="E94" s="34"/>
      <c r="F94" s="61" t="s">
        <v>54</v>
      </c>
      <c r="G94" s="35" t="e">
        <f>#REF!</f>
        <v>#REF!</v>
      </c>
      <c r="I94" s="71" t="e">
        <f t="shared" si="18"/>
        <v>#REF!</v>
      </c>
      <c r="J94" s="71" t="e">
        <f t="shared" si="18"/>
        <v>#REF!</v>
      </c>
      <c r="K94" s="71" t="e">
        <f t="shared" si="18"/>
        <v>#REF!</v>
      </c>
    </row>
    <row r="95" spans="1:11" ht="20.149999999999999" customHeight="1" x14ac:dyDescent="0.35">
      <c r="B95" s="34"/>
      <c r="C95" s="34"/>
      <c r="D95" s="34"/>
      <c r="E95" s="34"/>
      <c r="F95" s="61"/>
      <c r="G95" s="35" t="e">
        <f>#REF!</f>
        <v>#REF!</v>
      </c>
      <c r="I95" s="71" t="e">
        <f t="shared" si="18"/>
        <v>#REF!</v>
      </c>
      <c r="J95" s="71" t="e">
        <f t="shared" si="18"/>
        <v>#REF!</v>
      </c>
      <c r="K95" s="71" t="e">
        <f t="shared" si="18"/>
        <v>#REF!</v>
      </c>
    </row>
    <row r="96" spans="1:11" ht="20.149999999999999" customHeight="1" x14ac:dyDescent="0.35">
      <c r="B96" s="34"/>
      <c r="C96" s="34"/>
      <c r="D96" s="34"/>
      <c r="E96" s="34"/>
      <c r="F96" s="61"/>
      <c r="G96" s="35" t="e">
        <f>#REF!</f>
        <v>#REF!</v>
      </c>
      <c r="I96" s="71" t="e">
        <f t="shared" si="18"/>
        <v>#REF!</v>
      </c>
      <c r="J96" s="71" t="e">
        <f t="shared" si="18"/>
        <v>#REF!</v>
      </c>
      <c r="K96" s="71" t="e">
        <f t="shared" si="18"/>
        <v>#REF!</v>
      </c>
    </row>
    <row r="97" spans="1:11" s="18" customFormat="1" ht="20.149999999999999" customHeight="1" x14ac:dyDescent="0.35">
      <c r="B97" s="38" t="s">
        <v>170</v>
      </c>
      <c r="C97" s="56"/>
      <c r="D97" s="56"/>
      <c r="E97" s="56"/>
      <c r="F97" s="57"/>
      <c r="G97" s="58" t="e">
        <f>#REF!</f>
        <v>#REF!</v>
      </c>
      <c r="H97" s="33"/>
      <c r="I97" s="71"/>
      <c r="J97" s="71"/>
      <c r="K97" s="71"/>
    </row>
    <row r="98" spans="1:11" ht="20.149999999999999" customHeight="1" x14ac:dyDescent="0.35">
      <c r="A98" s="1">
        <v>1</v>
      </c>
      <c r="B98" s="34" t="s">
        <v>171</v>
      </c>
      <c r="C98" s="34" t="s">
        <v>172</v>
      </c>
      <c r="D98" s="34"/>
      <c r="E98" s="34"/>
      <c r="F98" s="61" t="s">
        <v>49</v>
      </c>
      <c r="G98" s="35" t="e">
        <f>#REF!</f>
        <v>#REF!</v>
      </c>
      <c r="I98" s="71" t="e">
        <f t="shared" ref="I98:K104" si="19">ROUNDUP($G98*100/$G$6*I$11*$K$6,0)</f>
        <v>#REF!</v>
      </c>
      <c r="J98" s="71" t="e">
        <f t="shared" si="19"/>
        <v>#REF!</v>
      </c>
      <c r="K98" s="71" t="e">
        <f t="shared" si="19"/>
        <v>#REF!</v>
      </c>
    </row>
    <row r="99" spans="1:11" ht="20.149999999999999" customHeight="1" x14ac:dyDescent="0.35">
      <c r="A99" s="1">
        <f>A98+1</f>
        <v>2</v>
      </c>
      <c r="B99" s="34" t="s">
        <v>173</v>
      </c>
      <c r="C99" s="34" t="s">
        <v>174</v>
      </c>
      <c r="D99" s="34"/>
      <c r="E99" s="34"/>
      <c r="F99" s="61" t="s">
        <v>175</v>
      </c>
      <c r="G99" s="35" t="e">
        <f>#REF!</f>
        <v>#REF!</v>
      </c>
      <c r="I99" s="71" t="e">
        <f t="shared" si="19"/>
        <v>#REF!</v>
      </c>
      <c r="J99" s="71" t="e">
        <f t="shared" si="19"/>
        <v>#REF!</v>
      </c>
      <c r="K99" s="71" t="e">
        <f t="shared" si="19"/>
        <v>#REF!</v>
      </c>
    </row>
    <row r="100" spans="1:11" ht="20.149999999999999" customHeight="1" x14ac:dyDescent="0.35">
      <c r="A100" s="1">
        <f t="shared" ref="A100:A102" si="20">A99+1</f>
        <v>3</v>
      </c>
      <c r="B100" s="34" t="s">
        <v>176</v>
      </c>
      <c r="C100" s="34" t="s">
        <v>177</v>
      </c>
      <c r="D100" s="34"/>
      <c r="E100" s="34"/>
      <c r="F100" s="61" t="s">
        <v>175</v>
      </c>
      <c r="G100" s="35" t="e">
        <f>#REF!</f>
        <v>#REF!</v>
      </c>
      <c r="I100" s="71" t="e">
        <f t="shared" si="19"/>
        <v>#REF!</v>
      </c>
      <c r="J100" s="71" t="e">
        <f t="shared" si="19"/>
        <v>#REF!</v>
      </c>
      <c r="K100" s="71" t="e">
        <f t="shared" si="19"/>
        <v>#REF!</v>
      </c>
    </row>
    <row r="101" spans="1:11" ht="20.149999999999999" customHeight="1" x14ac:dyDescent="0.35">
      <c r="A101" s="1">
        <f t="shared" si="20"/>
        <v>4</v>
      </c>
      <c r="B101" s="34" t="s">
        <v>178</v>
      </c>
      <c r="C101" s="34" t="s">
        <v>179</v>
      </c>
      <c r="D101" s="34"/>
      <c r="E101" s="34"/>
      <c r="F101" s="61" t="s">
        <v>38</v>
      </c>
      <c r="G101" s="35" t="e">
        <f>#REF!</f>
        <v>#REF!</v>
      </c>
      <c r="I101" s="71" t="e">
        <f t="shared" si="19"/>
        <v>#REF!</v>
      </c>
      <c r="J101" s="71" t="e">
        <f t="shared" si="19"/>
        <v>#REF!</v>
      </c>
      <c r="K101" s="71" t="e">
        <f t="shared" si="19"/>
        <v>#REF!</v>
      </c>
    </row>
    <row r="102" spans="1:11" ht="20.149999999999999" customHeight="1" x14ac:dyDescent="0.35">
      <c r="A102" s="1">
        <f t="shared" si="20"/>
        <v>5</v>
      </c>
      <c r="B102" s="34" t="s">
        <v>180</v>
      </c>
      <c r="C102" s="34" t="s">
        <v>181</v>
      </c>
      <c r="D102" s="34"/>
      <c r="E102" s="34"/>
      <c r="F102" s="61" t="s">
        <v>38</v>
      </c>
      <c r="G102" s="35" t="e">
        <f>#REF!</f>
        <v>#REF!</v>
      </c>
      <c r="I102" s="71" t="e">
        <f t="shared" si="19"/>
        <v>#REF!</v>
      </c>
      <c r="J102" s="71" t="e">
        <f t="shared" si="19"/>
        <v>#REF!</v>
      </c>
      <c r="K102" s="71" t="e">
        <f t="shared" si="19"/>
        <v>#REF!</v>
      </c>
    </row>
    <row r="103" spans="1:11" ht="20.149999999999999" customHeight="1" x14ac:dyDescent="0.35">
      <c r="B103" s="34"/>
      <c r="C103" s="34"/>
      <c r="D103" s="34"/>
      <c r="E103" s="34"/>
      <c r="F103" s="61"/>
      <c r="G103" s="35" t="e">
        <f>#REF!</f>
        <v>#REF!</v>
      </c>
      <c r="I103" s="71" t="e">
        <f t="shared" si="19"/>
        <v>#REF!</v>
      </c>
      <c r="J103" s="71" t="e">
        <f t="shared" si="19"/>
        <v>#REF!</v>
      </c>
      <c r="K103" s="71" t="e">
        <f t="shared" si="19"/>
        <v>#REF!</v>
      </c>
    </row>
    <row r="104" spans="1:11" ht="20.149999999999999" customHeight="1" x14ac:dyDescent="0.35">
      <c r="B104" s="34"/>
      <c r="C104" s="34"/>
      <c r="D104" s="34"/>
      <c r="E104" s="34"/>
      <c r="F104" s="61"/>
      <c r="G104" s="35" t="e">
        <f>#REF!</f>
        <v>#REF!</v>
      </c>
      <c r="I104" s="71" t="e">
        <f t="shared" si="19"/>
        <v>#REF!</v>
      </c>
      <c r="J104" s="71" t="e">
        <f t="shared" si="19"/>
        <v>#REF!</v>
      </c>
      <c r="K104" s="71" t="e">
        <f t="shared" si="19"/>
        <v>#REF!</v>
      </c>
    </row>
    <row r="105" spans="1:11" s="18" customFormat="1" ht="20.149999999999999" customHeight="1" x14ac:dyDescent="0.35">
      <c r="B105" s="38" t="s">
        <v>182</v>
      </c>
      <c r="C105" s="56"/>
      <c r="D105" s="56"/>
      <c r="E105" s="56"/>
      <c r="F105" s="57"/>
      <c r="G105" s="58" t="e">
        <f>#REF!</f>
        <v>#REF!</v>
      </c>
      <c r="H105" s="33"/>
      <c r="I105" s="71"/>
      <c r="J105" s="71"/>
      <c r="K105" s="71"/>
    </row>
    <row r="106" spans="1:11" ht="20.149999999999999" customHeight="1" x14ac:dyDescent="0.35">
      <c r="A106" s="1">
        <v>1</v>
      </c>
      <c r="B106" s="34" t="s">
        <v>183</v>
      </c>
      <c r="C106" s="34" t="s">
        <v>184</v>
      </c>
      <c r="D106" s="34"/>
      <c r="E106" s="34"/>
      <c r="F106" s="61" t="s">
        <v>49</v>
      </c>
      <c r="G106" s="35" t="e">
        <f>#REF!</f>
        <v>#REF!</v>
      </c>
      <c r="I106" s="71" t="e">
        <f t="shared" ref="I106:K137" si="21">ROUNDUP($G106*100/$G$6*I$11*$K$6,0)</f>
        <v>#REF!</v>
      </c>
      <c r="J106" s="71" t="e">
        <f t="shared" si="21"/>
        <v>#REF!</v>
      </c>
      <c r="K106" s="71" t="e">
        <f t="shared" si="21"/>
        <v>#REF!</v>
      </c>
    </row>
    <row r="107" spans="1:11" ht="20.149999999999999" customHeight="1" x14ac:dyDescent="0.35">
      <c r="A107" s="1">
        <f>A61+1</f>
        <v>4</v>
      </c>
      <c r="B107" s="34" t="s">
        <v>185</v>
      </c>
      <c r="C107" s="34" t="s">
        <v>186</v>
      </c>
      <c r="D107" s="34"/>
      <c r="E107" s="34"/>
      <c r="F107" s="61" t="s">
        <v>38</v>
      </c>
      <c r="G107" s="35" t="e">
        <f>#REF!</f>
        <v>#REF!</v>
      </c>
      <c r="I107" s="71" t="e">
        <f t="shared" si="21"/>
        <v>#REF!</v>
      </c>
      <c r="J107" s="71" t="e">
        <f t="shared" si="21"/>
        <v>#REF!</v>
      </c>
      <c r="K107" s="71" t="e">
        <f t="shared" si="21"/>
        <v>#REF!</v>
      </c>
    </row>
    <row r="108" spans="1:11" ht="20.149999999999999" customHeight="1" x14ac:dyDescent="0.35">
      <c r="A108" s="1">
        <f t="shared" ref="A108:A114" si="22">A107+1</f>
        <v>5</v>
      </c>
      <c r="B108" s="34" t="s">
        <v>187</v>
      </c>
      <c r="C108" s="34" t="s">
        <v>188</v>
      </c>
      <c r="D108" s="34"/>
      <c r="E108" s="34"/>
      <c r="F108" s="61" t="s">
        <v>38</v>
      </c>
      <c r="G108" s="35" t="e">
        <f>#REF!</f>
        <v>#REF!</v>
      </c>
      <c r="I108" s="71" t="e">
        <f t="shared" si="21"/>
        <v>#REF!</v>
      </c>
      <c r="J108" s="71" t="e">
        <f t="shared" si="21"/>
        <v>#REF!</v>
      </c>
      <c r="K108" s="71" t="e">
        <f t="shared" si="21"/>
        <v>#REF!</v>
      </c>
    </row>
    <row r="109" spans="1:11" ht="20.149999999999999" customHeight="1" x14ac:dyDescent="0.35">
      <c r="A109" s="1">
        <f t="shared" si="22"/>
        <v>6</v>
      </c>
      <c r="B109" s="34" t="s">
        <v>189</v>
      </c>
      <c r="C109" s="34" t="s">
        <v>190</v>
      </c>
      <c r="D109" s="34"/>
      <c r="E109" s="34"/>
      <c r="F109" s="61" t="s">
        <v>38</v>
      </c>
      <c r="G109" s="35" t="e">
        <f>#REF!</f>
        <v>#REF!</v>
      </c>
      <c r="I109" s="71" t="e">
        <f t="shared" si="21"/>
        <v>#REF!</v>
      </c>
      <c r="J109" s="71" t="e">
        <f t="shared" si="21"/>
        <v>#REF!</v>
      </c>
      <c r="K109" s="71" t="e">
        <f t="shared" si="21"/>
        <v>#REF!</v>
      </c>
    </row>
    <row r="110" spans="1:11" ht="20.149999999999999" customHeight="1" x14ac:dyDescent="0.35">
      <c r="A110" s="1">
        <f t="shared" si="22"/>
        <v>7</v>
      </c>
      <c r="B110" s="34" t="s">
        <v>191</v>
      </c>
      <c r="C110" s="34" t="s">
        <v>192</v>
      </c>
      <c r="D110" s="34"/>
      <c r="E110" s="34"/>
      <c r="F110" s="61" t="s">
        <v>38</v>
      </c>
      <c r="G110" s="35" t="e">
        <f>#REF!</f>
        <v>#REF!</v>
      </c>
      <c r="I110" s="71" t="e">
        <f t="shared" si="21"/>
        <v>#REF!</v>
      </c>
      <c r="J110" s="71" t="e">
        <f t="shared" si="21"/>
        <v>#REF!</v>
      </c>
      <c r="K110" s="71" t="e">
        <f t="shared" si="21"/>
        <v>#REF!</v>
      </c>
    </row>
    <row r="111" spans="1:11" ht="20.149999999999999" customHeight="1" x14ac:dyDescent="0.35">
      <c r="A111" s="1">
        <f t="shared" si="22"/>
        <v>8</v>
      </c>
      <c r="B111" s="34" t="s">
        <v>193</v>
      </c>
      <c r="C111" s="34" t="s">
        <v>194</v>
      </c>
      <c r="D111" s="34"/>
      <c r="E111" s="34"/>
      <c r="F111" s="61" t="s">
        <v>38</v>
      </c>
      <c r="G111" s="35" t="e">
        <f>#REF!</f>
        <v>#REF!</v>
      </c>
      <c r="I111" s="71" t="e">
        <f t="shared" si="21"/>
        <v>#REF!</v>
      </c>
      <c r="J111" s="71" t="e">
        <f t="shared" si="21"/>
        <v>#REF!</v>
      </c>
      <c r="K111" s="71" t="e">
        <f t="shared" si="21"/>
        <v>#REF!</v>
      </c>
    </row>
    <row r="112" spans="1:11" ht="20.149999999999999" customHeight="1" x14ac:dyDescent="0.35">
      <c r="A112" s="1">
        <f t="shared" si="22"/>
        <v>9</v>
      </c>
      <c r="B112" s="34" t="s">
        <v>195</v>
      </c>
      <c r="C112" s="34" t="s">
        <v>196</v>
      </c>
      <c r="D112" s="34"/>
      <c r="E112" s="34"/>
      <c r="F112" s="61" t="s">
        <v>49</v>
      </c>
      <c r="G112" s="35" t="e">
        <f>#REF!</f>
        <v>#REF!</v>
      </c>
      <c r="I112" s="71" t="e">
        <f t="shared" si="21"/>
        <v>#REF!</v>
      </c>
      <c r="J112" s="71" t="e">
        <f t="shared" si="21"/>
        <v>#REF!</v>
      </c>
      <c r="K112" s="71" t="e">
        <f t="shared" si="21"/>
        <v>#REF!</v>
      </c>
    </row>
    <row r="113" spans="1:11" ht="20.149999999999999" customHeight="1" x14ac:dyDescent="0.35">
      <c r="A113" s="1">
        <f t="shared" si="22"/>
        <v>10</v>
      </c>
      <c r="B113" s="34" t="s">
        <v>197</v>
      </c>
      <c r="C113" s="34" t="s">
        <v>198</v>
      </c>
      <c r="D113" s="34"/>
      <c r="E113" s="34"/>
      <c r="F113" s="61" t="s">
        <v>49</v>
      </c>
      <c r="G113" s="35" t="e">
        <f>#REF!</f>
        <v>#REF!</v>
      </c>
      <c r="I113" s="71" t="e">
        <f t="shared" si="21"/>
        <v>#REF!</v>
      </c>
      <c r="J113" s="71" t="e">
        <f t="shared" si="21"/>
        <v>#REF!</v>
      </c>
      <c r="K113" s="71" t="e">
        <f t="shared" si="21"/>
        <v>#REF!</v>
      </c>
    </row>
    <row r="114" spans="1:11" ht="20.149999999999999" customHeight="1" x14ac:dyDescent="0.35">
      <c r="A114" s="1">
        <f t="shared" si="22"/>
        <v>11</v>
      </c>
      <c r="B114" s="34" t="s">
        <v>199</v>
      </c>
      <c r="C114" s="34" t="s">
        <v>200</v>
      </c>
      <c r="D114" s="34"/>
      <c r="E114" s="34"/>
      <c r="F114" s="61" t="s">
        <v>38</v>
      </c>
      <c r="G114" s="35" t="e">
        <f>#REF!</f>
        <v>#REF!</v>
      </c>
      <c r="I114" s="71" t="e">
        <f t="shared" si="21"/>
        <v>#REF!</v>
      </c>
      <c r="J114" s="71" t="e">
        <f t="shared" si="21"/>
        <v>#REF!</v>
      </c>
      <c r="K114" s="71" t="e">
        <f t="shared" si="21"/>
        <v>#REF!</v>
      </c>
    </row>
    <row r="115" spans="1:11" ht="20.149999999999999" customHeight="1" x14ac:dyDescent="0.35">
      <c r="B115" s="34" t="s">
        <v>201</v>
      </c>
      <c r="C115" s="34" t="s">
        <v>202</v>
      </c>
      <c r="D115" s="34"/>
      <c r="E115" s="34"/>
      <c r="F115" s="61" t="s">
        <v>38</v>
      </c>
      <c r="G115" s="35" t="e">
        <f>#REF!</f>
        <v>#REF!</v>
      </c>
      <c r="I115" s="71" t="e">
        <f t="shared" si="21"/>
        <v>#REF!</v>
      </c>
      <c r="J115" s="71" t="e">
        <f t="shared" si="21"/>
        <v>#REF!</v>
      </c>
      <c r="K115" s="71" t="e">
        <f t="shared" si="21"/>
        <v>#REF!</v>
      </c>
    </row>
    <row r="116" spans="1:11" ht="20.149999999999999" customHeight="1" x14ac:dyDescent="0.35">
      <c r="B116" s="34" t="s">
        <v>203</v>
      </c>
      <c r="C116" s="34" t="s">
        <v>204</v>
      </c>
      <c r="D116" s="34"/>
      <c r="E116" s="34"/>
      <c r="F116" s="61" t="s">
        <v>62</v>
      </c>
      <c r="G116" s="35" t="e">
        <f>#REF!</f>
        <v>#REF!</v>
      </c>
      <c r="I116" s="71" t="e">
        <f t="shared" si="21"/>
        <v>#REF!</v>
      </c>
      <c r="J116" s="71" t="e">
        <f t="shared" si="21"/>
        <v>#REF!</v>
      </c>
      <c r="K116" s="71" t="e">
        <f t="shared" si="21"/>
        <v>#REF!</v>
      </c>
    </row>
    <row r="117" spans="1:11" ht="20.149999999999999" customHeight="1" x14ac:dyDescent="0.35">
      <c r="B117" s="34" t="s">
        <v>205</v>
      </c>
      <c r="C117" s="34" t="s">
        <v>206</v>
      </c>
      <c r="D117" s="34"/>
      <c r="E117" s="34"/>
      <c r="F117" s="61" t="s">
        <v>38</v>
      </c>
      <c r="G117" s="35" t="e">
        <f>#REF!</f>
        <v>#REF!</v>
      </c>
      <c r="I117" s="71" t="e">
        <f t="shared" si="21"/>
        <v>#REF!</v>
      </c>
      <c r="J117" s="71" t="e">
        <f t="shared" si="21"/>
        <v>#REF!</v>
      </c>
      <c r="K117" s="71" t="e">
        <f t="shared" si="21"/>
        <v>#REF!</v>
      </c>
    </row>
    <row r="118" spans="1:11" ht="20.149999999999999" customHeight="1" x14ac:dyDescent="0.35">
      <c r="B118" s="34" t="s">
        <v>207</v>
      </c>
      <c r="C118" s="34" t="s">
        <v>208</v>
      </c>
      <c r="D118" s="34"/>
      <c r="E118" s="34"/>
      <c r="F118" s="61" t="s">
        <v>38</v>
      </c>
      <c r="G118" s="35" t="e">
        <f>#REF!</f>
        <v>#REF!</v>
      </c>
      <c r="I118" s="71" t="e">
        <f t="shared" si="21"/>
        <v>#REF!</v>
      </c>
      <c r="J118" s="71" t="e">
        <f t="shared" si="21"/>
        <v>#REF!</v>
      </c>
      <c r="K118" s="71" t="e">
        <f t="shared" si="21"/>
        <v>#REF!</v>
      </c>
    </row>
    <row r="119" spans="1:11" ht="20.149999999999999" customHeight="1" x14ac:dyDescent="0.35">
      <c r="B119" s="34" t="s">
        <v>209</v>
      </c>
      <c r="C119" s="34" t="s">
        <v>210</v>
      </c>
      <c r="D119" s="34"/>
      <c r="E119" s="34"/>
      <c r="F119" s="61" t="s">
        <v>38</v>
      </c>
      <c r="G119" s="35" t="e">
        <f>#REF!</f>
        <v>#REF!</v>
      </c>
      <c r="I119" s="71" t="e">
        <f t="shared" si="21"/>
        <v>#REF!</v>
      </c>
      <c r="J119" s="71" t="e">
        <f t="shared" si="21"/>
        <v>#REF!</v>
      </c>
      <c r="K119" s="71" t="e">
        <f t="shared" si="21"/>
        <v>#REF!</v>
      </c>
    </row>
    <row r="120" spans="1:11" ht="20.149999999999999" customHeight="1" x14ac:dyDescent="0.35">
      <c r="B120" s="34" t="s">
        <v>211</v>
      </c>
      <c r="C120" s="34" t="s">
        <v>212</v>
      </c>
      <c r="D120" s="34"/>
      <c r="E120" s="34"/>
      <c r="F120" s="61" t="s">
        <v>49</v>
      </c>
      <c r="G120" s="35" t="e">
        <f>#REF!</f>
        <v>#REF!</v>
      </c>
      <c r="I120" s="71" t="e">
        <f t="shared" si="21"/>
        <v>#REF!</v>
      </c>
      <c r="J120" s="71" t="e">
        <f t="shared" si="21"/>
        <v>#REF!</v>
      </c>
      <c r="K120" s="71" t="e">
        <f t="shared" si="21"/>
        <v>#REF!</v>
      </c>
    </row>
    <row r="121" spans="1:11" ht="20.149999999999999" customHeight="1" x14ac:dyDescent="0.35">
      <c r="B121" s="34" t="s">
        <v>213</v>
      </c>
      <c r="C121" s="34" t="s">
        <v>214</v>
      </c>
      <c r="D121" s="34"/>
      <c r="E121" s="34"/>
      <c r="F121" s="61" t="s">
        <v>49</v>
      </c>
      <c r="G121" s="35" t="e">
        <f>#REF!</f>
        <v>#REF!</v>
      </c>
      <c r="I121" s="71" t="e">
        <f t="shared" si="21"/>
        <v>#REF!</v>
      </c>
      <c r="J121" s="71" t="e">
        <f t="shared" si="21"/>
        <v>#REF!</v>
      </c>
      <c r="K121" s="71" t="e">
        <f t="shared" si="21"/>
        <v>#REF!</v>
      </c>
    </row>
    <row r="122" spans="1:11" ht="20.149999999999999" customHeight="1" x14ac:dyDescent="0.35">
      <c r="A122" s="1" t="e">
        <f>A76+1</f>
        <v>#REF!</v>
      </c>
      <c r="B122" s="34" t="s">
        <v>215</v>
      </c>
      <c r="C122" s="34" t="s">
        <v>216</v>
      </c>
      <c r="D122" s="34"/>
      <c r="E122" s="34"/>
      <c r="F122" s="61" t="s">
        <v>49</v>
      </c>
      <c r="G122" s="35" t="e">
        <f>#REF!</f>
        <v>#REF!</v>
      </c>
      <c r="I122" s="71" t="e">
        <f t="shared" si="21"/>
        <v>#REF!</v>
      </c>
      <c r="J122" s="71" t="e">
        <f t="shared" si="21"/>
        <v>#REF!</v>
      </c>
      <c r="K122" s="71" t="e">
        <f t="shared" si="21"/>
        <v>#REF!</v>
      </c>
    </row>
    <row r="123" spans="1:11" ht="20.149999999999999" customHeight="1" x14ac:dyDescent="0.35">
      <c r="A123" s="1" t="e">
        <f t="shared" ref="A123:A129" si="23">A122+1</f>
        <v>#REF!</v>
      </c>
      <c r="B123" s="34" t="s">
        <v>217</v>
      </c>
      <c r="C123" s="34" t="s">
        <v>218</v>
      </c>
      <c r="D123" s="34"/>
      <c r="E123" s="34"/>
      <c r="F123" s="61" t="s">
        <v>49</v>
      </c>
      <c r="G123" s="35" t="e">
        <f>#REF!</f>
        <v>#REF!</v>
      </c>
      <c r="I123" s="71" t="e">
        <f t="shared" si="21"/>
        <v>#REF!</v>
      </c>
      <c r="J123" s="71" t="e">
        <f t="shared" si="21"/>
        <v>#REF!</v>
      </c>
      <c r="K123" s="71" t="e">
        <f t="shared" si="21"/>
        <v>#REF!</v>
      </c>
    </row>
    <row r="124" spans="1:11" ht="20.149999999999999" customHeight="1" x14ac:dyDescent="0.35">
      <c r="A124" s="1" t="e">
        <f t="shared" si="23"/>
        <v>#REF!</v>
      </c>
      <c r="B124" s="34" t="s">
        <v>219</v>
      </c>
      <c r="C124" s="34" t="s">
        <v>220</v>
      </c>
      <c r="D124" s="34"/>
      <c r="E124" s="34"/>
      <c r="F124" s="61" t="s">
        <v>49</v>
      </c>
      <c r="G124" s="35" t="e">
        <f>#REF!</f>
        <v>#REF!</v>
      </c>
      <c r="I124" s="71" t="e">
        <f t="shared" si="21"/>
        <v>#REF!</v>
      </c>
      <c r="J124" s="71" t="e">
        <f t="shared" si="21"/>
        <v>#REF!</v>
      </c>
      <c r="K124" s="71" t="e">
        <f t="shared" si="21"/>
        <v>#REF!</v>
      </c>
    </row>
    <row r="125" spans="1:11" ht="20.149999999999999" customHeight="1" x14ac:dyDescent="0.35">
      <c r="A125" s="1" t="e">
        <f t="shared" si="23"/>
        <v>#REF!</v>
      </c>
      <c r="B125" s="34" t="s">
        <v>221</v>
      </c>
      <c r="C125" s="34" t="s">
        <v>222</v>
      </c>
      <c r="D125" s="34"/>
      <c r="E125" s="34"/>
      <c r="F125" s="61" t="s">
        <v>49</v>
      </c>
      <c r="G125" s="35" t="e">
        <f>#REF!</f>
        <v>#REF!</v>
      </c>
      <c r="I125" s="71" t="e">
        <f t="shared" si="21"/>
        <v>#REF!</v>
      </c>
      <c r="J125" s="71" t="e">
        <f t="shared" si="21"/>
        <v>#REF!</v>
      </c>
      <c r="K125" s="71" t="e">
        <f t="shared" si="21"/>
        <v>#REF!</v>
      </c>
    </row>
    <row r="126" spans="1:11" ht="20.149999999999999" customHeight="1" x14ac:dyDescent="0.35">
      <c r="A126" s="1" t="e">
        <f t="shared" si="23"/>
        <v>#REF!</v>
      </c>
      <c r="B126" s="34" t="s">
        <v>223</v>
      </c>
      <c r="C126" s="34" t="s">
        <v>224</v>
      </c>
      <c r="D126" s="34"/>
      <c r="E126" s="34"/>
      <c r="F126" s="61" t="s">
        <v>49</v>
      </c>
      <c r="G126" s="35" t="e">
        <f>#REF!</f>
        <v>#REF!</v>
      </c>
      <c r="I126" s="71" t="e">
        <f t="shared" si="21"/>
        <v>#REF!</v>
      </c>
      <c r="J126" s="71" t="e">
        <f t="shared" si="21"/>
        <v>#REF!</v>
      </c>
      <c r="K126" s="71" t="e">
        <f t="shared" si="21"/>
        <v>#REF!</v>
      </c>
    </row>
    <row r="127" spans="1:11" ht="20.149999999999999" customHeight="1" x14ac:dyDescent="0.35">
      <c r="A127" s="1" t="e">
        <f t="shared" si="23"/>
        <v>#REF!</v>
      </c>
      <c r="B127" s="34" t="s">
        <v>225</v>
      </c>
      <c r="C127" s="34" t="s">
        <v>226</v>
      </c>
      <c r="D127" s="34"/>
      <c r="E127" s="34"/>
      <c r="F127" s="61" t="s">
        <v>175</v>
      </c>
      <c r="G127" s="35" t="e">
        <f>#REF!</f>
        <v>#REF!</v>
      </c>
      <c r="I127" s="71" t="e">
        <f t="shared" si="21"/>
        <v>#REF!</v>
      </c>
      <c r="J127" s="71" t="e">
        <f t="shared" si="21"/>
        <v>#REF!</v>
      </c>
      <c r="K127" s="71" t="e">
        <f t="shared" si="21"/>
        <v>#REF!</v>
      </c>
    </row>
    <row r="128" spans="1:11" ht="20.149999999999999" customHeight="1" x14ac:dyDescent="0.35">
      <c r="A128" s="1" t="e">
        <f t="shared" si="23"/>
        <v>#REF!</v>
      </c>
      <c r="B128" s="34" t="s">
        <v>227</v>
      </c>
      <c r="C128" s="34" t="s">
        <v>228</v>
      </c>
      <c r="D128" s="34"/>
      <c r="E128" s="34"/>
      <c r="F128" s="61" t="s">
        <v>175</v>
      </c>
      <c r="G128" s="35" t="e">
        <f>#REF!</f>
        <v>#REF!</v>
      </c>
      <c r="I128" s="71" t="e">
        <f t="shared" si="21"/>
        <v>#REF!</v>
      </c>
      <c r="J128" s="71" t="e">
        <f t="shared" si="21"/>
        <v>#REF!</v>
      </c>
      <c r="K128" s="71" t="e">
        <f t="shared" si="21"/>
        <v>#REF!</v>
      </c>
    </row>
    <row r="129" spans="1:11" ht="20.149999999999999" customHeight="1" x14ac:dyDescent="0.35">
      <c r="A129" s="1" t="e">
        <f t="shared" si="23"/>
        <v>#REF!</v>
      </c>
      <c r="B129" s="34" t="s">
        <v>229</v>
      </c>
      <c r="C129" s="34" t="s">
        <v>230</v>
      </c>
      <c r="D129" s="34"/>
      <c r="E129" s="34"/>
      <c r="F129" s="61" t="s">
        <v>49</v>
      </c>
      <c r="G129" s="35" t="e">
        <f>#REF!</f>
        <v>#REF!</v>
      </c>
      <c r="I129" s="71" t="e">
        <f t="shared" si="21"/>
        <v>#REF!</v>
      </c>
      <c r="J129" s="71" t="e">
        <f t="shared" si="21"/>
        <v>#REF!</v>
      </c>
      <c r="K129" s="71" t="e">
        <f t="shared" si="21"/>
        <v>#REF!</v>
      </c>
    </row>
    <row r="130" spans="1:11" ht="20.149999999999999" customHeight="1" x14ac:dyDescent="0.35">
      <c r="B130" s="34" t="s">
        <v>231</v>
      </c>
      <c r="C130" s="34" t="s">
        <v>232</v>
      </c>
      <c r="D130" s="34"/>
      <c r="E130" s="34"/>
      <c r="F130" s="61" t="s">
        <v>49</v>
      </c>
      <c r="G130" s="35" t="e">
        <f>#REF!</f>
        <v>#REF!</v>
      </c>
      <c r="I130" s="71" t="e">
        <f t="shared" si="21"/>
        <v>#REF!</v>
      </c>
      <c r="J130" s="71" t="e">
        <f t="shared" si="21"/>
        <v>#REF!</v>
      </c>
      <c r="K130" s="71" t="e">
        <f t="shared" si="21"/>
        <v>#REF!</v>
      </c>
    </row>
    <row r="131" spans="1:11" ht="20.149999999999999" customHeight="1" x14ac:dyDescent="0.35">
      <c r="B131" s="34" t="s">
        <v>233</v>
      </c>
      <c r="C131" s="34" t="s">
        <v>234</v>
      </c>
      <c r="D131" s="34"/>
      <c r="E131" s="34"/>
      <c r="F131" s="61" t="s">
        <v>38</v>
      </c>
      <c r="G131" s="35" t="e">
        <f>#REF!</f>
        <v>#REF!</v>
      </c>
      <c r="I131" s="71" t="e">
        <f t="shared" si="21"/>
        <v>#REF!</v>
      </c>
      <c r="J131" s="71" t="e">
        <f t="shared" si="21"/>
        <v>#REF!</v>
      </c>
      <c r="K131" s="71" t="e">
        <f t="shared" si="21"/>
        <v>#REF!</v>
      </c>
    </row>
    <row r="132" spans="1:11" ht="20.149999999999999" customHeight="1" x14ac:dyDescent="0.35">
      <c r="B132" s="34" t="s">
        <v>235</v>
      </c>
      <c r="C132" s="34" t="s">
        <v>236</v>
      </c>
      <c r="D132" s="34"/>
      <c r="E132" s="34"/>
      <c r="F132" s="61" t="s">
        <v>38</v>
      </c>
      <c r="G132" s="35" t="e">
        <f>#REF!</f>
        <v>#REF!</v>
      </c>
      <c r="I132" s="71" t="e">
        <f t="shared" si="21"/>
        <v>#REF!</v>
      </c>
      <c r="J132" s="71" t="e">
        <f t="shared" si="21"/>
        <v>#REF!</v>
      </c>
      <c r="K132" s="71" t="e">
        <f t="shared" si="21"/>
        <v>#REF!</v>
      </c>
    </row>
    <row r="133" spans="1:11" ht="20.149999999999999" customHeight="1" x14ac:dyDescent="0.35">
      <c r="B133" s="34" t="s">
        <v>237</v>
      </c>
      <c r="C133" s="34" t="s">
        <v>238</v>
      </c>
      <c r="D133" s="34"/>
      <c r="E133" s="34"/>
      <c r="F133" s="61" t="s">
        <v>38</v>
      </c>
      <c r="G133" s="35" t="e">
        <f>#REF!</f>
        <v>#REF!</v>
      </c>
      <c r="I133" s="71" t="e">
        <f t="shared" si="21"/>
        <v>#REF!</v>
      </c>
      <c r="J133" s="71" t="e">
        <f t="shared" si="21"/>
        <v>#REF!</v>
      </c>
      <c r="K133" s="71" t="e">
        <f t="shared" si="21"/>
        <v>#REF!</v>
      </c>
    </row>
    <row r="134" spans="1:11" ht="20.149999999999999" customHeight="1" x14ac:dyDescent="0.35">
      <c r="B134" s="34" t="s">
        <v>239</v>
      </c>
      <c r="C134" s="34" t="s">
        <v>240</v>
      </c>
      <c r="D134" s="34"/>
      <c r="E134" s="34"/>
      <c r="F134" s="61" t="s">
        <v>49</v>
      </c>
      <c r="G134" s="35" t="e">
        <f>#REF!</f>
        <v>#REF!</v>
      </c>
      <c r="I134" s="71" t="e">
        <f t="shared" si="21"/>
        <v>#REF!</v>
      </c>
      <c r="J134" s="71" t="e">
        <f t="shared" si="21"/>
        <v>#REF!</v>
      </c>
      <c r="K134" s="71" t="e">
        <f t="shared" si="21"/>
        <v>#REF!</v>
      </c>
    </row>
    <row r="135" spans="1:11" ht="20.149999999999999" customHeight="1" x14ac:dyDescent="0.35">
      <c r="B135" s="34" t="s">
        <v>241</v>
      </c>
      <c r="C135" s="34" t="s">
        <v>242</v>
      </c>
      <c r="D135" s="34"/>
      <c r="E135" s="34"/>
      <c r="F135" s="61" t="s">
        <v>38</v>
      </c>
      <c r="G135" s="35" t="e">
        <f>#REF!</f>
        <v>#REF!</v>
      </c>
      <c r="I135" s="71" t="e">
        <f t="shared" si="21"/>
        <v>#REF!</v>
      </c>
      <c r="J135" s="71" t="e">
        <f t="shared" si="21"/>
        <v>#REF!</v>
      </c>
      <c r="K135" s="71" t="e">
        <f t="shared" si="21"/>
        <v>#REF!</v>
      </c>
    </row>
    <row r="136" spans="1:11" ht="20.149999999999999" customHeight="1" x14ac:dyDescent="0.35">
      <c r="B136" s="34" t="s">
        <v>243</v>
      </c>
      <c r="C136" s="34" t="s">
        <v>244</v>
      </c>
      <c r="D136" s="34"/>
      <c r="E136" s="34"/>
      <c r="F136" s="61" t="s">
        <v>54</v>
      </c>
      <c r="G136" s="35" t="e">
        <f>#REF!</f>
        <v>#REF!</v>
      </c>
      <c r="I136" s="71" t="e">
        <f t="shared" si="21"/>
        <v>#REF!</v>
      </c>
      <c r="J136" s="71" t="e">
        <f t="shared" si="21"/>
        <v>#REF!</v>
      </c>
      <c r="K136" s="71" t="e">
        <f t="shared" si="21"/>
        <v>#REF!</v>
      </c>
    </row>
    <row r="137" spans="1:11" ht="20.149999999999999" customHeight="1" x14ac:dyDescent="0.35">
      <c r="A137" s="1">
        <f>A91+1</f>
        <v>8</v>
      </c>
      <c r="B137" s="34" t="s">
        <v>245</v>
      </c>
      <c r="C137" s="34" t="s">
        <v>246</v>
      </c>
      <c r="D137" s="34"/>
      <c r="E137" s="34"/>
      <c r="F137" s="61" t="s">
        <v>54</v>
      </c>
      <c r="G137" s="35" t="e">
        <f>#REF!</f>
        <v>#REF!</v>
      </c>
      <c r="I137" s="71" t="e">
        <f t="shared" si="21"/>
        <v>#REF!</v>
      </c>
      <c r="J137" s="71" t="e">
        <f t="shared" si="21"/>
        <v>#REF!</v>
      </c>
      <c r="K137" s="71" t="e">
        <f t="shared" si="21"/>
        <v>#REF!</v>
      </c>
    </row>
    <row r="138" spans="1:11" ht="20.149999999999999" customHeight="1" x14ac:dyDescent="0.35">
      <c r="A138" s="1">
        <f t="shared" ref="A138:A144" si="24">A137+1</f>
        <v>9</v>
      </c>
      <c r="B138" s="34" t="s">
        <v>247</v>
      </c>
      <c r="C138" s="34" t="s">
        <v>248</v>
      </c>
      <c r="D138" s="34"/>
      <c r="E138" s="34"/>
      <c r="F138" s="61" t="s">
        <v>54</v>
      </c>
      <c r="G138" s="35" t="e">
        <f>#REF!</f>
        <v>#REF!</v>
      </c>
      <c r="I138" s="71" t="e">
        <f t="shared" ref="I138:K161" si="25">ROUNDUP($G138*100/$G$6*I$11*$K$6,0)</f>
        <v>#REF!</v>
      </c>
      <c r="J138" s="71" t="e">
        <f t="shared" si="25"/>
        <v>#REF!</v>
      </c>
      <c r="K138" s="71" t="e">
        <f t="shared" si="25"/>
        <v>#REF!</v>
      </c>
    </row>
    <row r="139" spans="1:11" ht="20.149999999999999" customHeight="1" x14ac:dyDescent="0.35">
      <c r="A139" s="1">
        <f t="shared" si="24"/>
        <v>10</v>
      </c>
      <c r="B139" s="34" t="s">
        <v>249</v>
      </c>
      <c r="C139" s="34" t="s">
        <v>250</v>
      </c>
      <c r="D139" s="34"/>
      <c r="E139" s="34"/>
      <c r="F139" s="61" t="s">
        <v>54</v>
      </c>
      <c r="G139" s="35" t="e">
        <f>#REF!</f>
        <v>#REF!</v>
      </c>
      <c r="I139" s="71" t="e">
        <f t="shared" si="25"/>
        <v>#REF!</v>
      </c>
      <c r="J139" s="71" t="e">
        <f t="shared" si="25"/>
        <v>#REF!</v>
      </c>
      <c r="K139" s="71" t="e">
        <f t="shared" si="25"/>
        <v>#REF!</v>
      </c>
    </row>
    <row r="140" spans="1:11" ht="20.149999999999999" customHeight="1" x14ac:dyDescent="0.35">
      <c r="A140" s="1">
        <f t="shared" si="24"/>
        <v>11</v>
      </c>
      <c r="B140" s="34" t="s">
        <v>251</v>
      </c>
      <c r="C140" s="34" t="s">
        <v>252</v>
      </c>
      <c r="D140" s="34"/>
      <c r="E140" s="34"/>
      <c r="F140" s="61" t="s">
        <v>54</v>
      </c>
      <c r="G140" s="35" t="e">
        <f>#REF!</f>
        <v>#REF!</v>
      </c>
      <c r="I140" s="71" t="e">
        <f t="shared" si="25"/>
        <v>#REF!</v>
      </c>
      <c r="J140" s="71" t="e">
        <f t="shared" si="25"/>
        <v>#REF!</v>
      </c>
      <c r="K140" s="71" t="e">
        <f t="shared" si="25"/>
        <v>#REF!</v>
      </c>
    </row>
    <row r="141" spans="1:11" ht="20.149999999999999" customHeight="1" x14ac:dyDescent="0.35">
      <c r="A141" s="1">
        <f t="shared" si="24"/>
        <v>12</v>
      </c>
      <c r="B141" s="34" t="s">
        <v>253</v>
      </c>
      <c r="C141" s="34" t="s">
        <v>254</v>
      </c>
      <c r="D141" s="34"/>
      <c r="E141" s="34"/>
      <c r="F141" s="61" t="s">
        <v>54</v>
      </c>
      <c r="G141" s="35" t="e">
        <f>#REF!</f>
        <v>#REF!</v>
      </c>
      <c r="I141" s="71" t="e">
        <f t="shared" si="25"/>
        <v>#REF!</v>
      </c>
      <c r="J141" s="71" t="e">
        <f t="shared" si="25"/>
        <v>#REF!</v>
      </c>
      <c r="K141" s="71" t="e">
        <f t="shared" si="25"/>
        <v>#REF!</v>
      </c>
    </row>
    <row r="142" spans="1:11" ht="20.149999999999999" customHeight="1" x14ac:dyDescent="0.35">
      <c r="A142" s="1">
        <f t="shared" si="24"/>
        <v>13</v>
      </c>
      <c r="B142" s="34" t="s">
        <v>255</v>
      </c>
      <c r="C142" s="34" t="s">
        <v>256</v>
      </c>
      <c r="D142" s="34"/>
      <c r="E142" s="34"/>
      <c r="F142" s="61" t="s">
        <v>49</v>
      </c>
      <c r="G142" s="35" t="e">
        <f>#REF!</f>
        <v>#REF!</v>
      </c>
      <c r="I142" s="71" t="e">
        <f t="shared" si="25"/>
        <v>#REF!</v>
      </c>
      <c r="J142" s="71" t="e">
        <f t="shared" si="25"/>
        <v>#REF!</v>
      </c>
      <c r="K142" s="71" t="e">
        <f t="shared" si="25"/>
        <v>#REF!</v>
      </c>
    </row>
    <row r="143" spans="1:11" ht="20.149999999999999" customHeight="1" x14ac:dyDescent="0.35">
      <c r="A143" s="1">
        <f t="shared" si="24"/>
        <v>14</v>
      </c>
      <c r="B143" s="34" t="s">
        <v>257</v>
      </c>
      <c r="C143" s="34" t="s">
        <v>258</v>
      </c>
      <c r="D143" s="34"/>
      <c r="E143" s="34"/>
      <c r="F143" s="61" t="s">
        <v>49</v>
      </c>
      <c r="G143" s="35" t="e">
        <f>#REF!</f>
        <v>#REF!</v>
      </c>
      <c r="I143" s="71" t="e">
        <f t="shared" si="25"/>
        <v>#REF!</v>
      </c>
      <c r="J143" s="71" t="e">
        <f t="shared" si="25"/>
        <v>#REF!</v>
      </c>
      <c r="K143" s="71" t="e">
        <f t="shared" si="25"/>
        <v>#REF!</v>
      </c>
    </row>
    <row r="144" spans="1:11" ht="20.149999999999999" customHeight="1" x14ac:dyDescent="0.35">
      <c r="A144" s="1">
        <f t="shared" si="24"/>
        <v>15</v>
      </c>
      <c r="B144" s="34" t="s">
        <v>259</v>
      </c>
      <c r="C144" s="34" t="s">
        <v>260</v>
      </c>
      <c r="D144" s="34"/>
      <c r="E144" s="34"/>
      <c r="F144" s="61" t="s">
        <v>49</v>
      </c>
      <c r="G144" s="35" t="e">
        <f>#REF!</f>
        <v>#REF!</v>
      </c>
      <c r="I144" s="71" t="e">
        <f t="shared" si="25"/>
        <v>#REF!</v>
      </c>
      <c r="J144" s="71" t="e">
        <f t="shared" si="25"/>
        <v>#REF!</v>
      </c>
      <c r="K144" s="71" t="e">
        <f t="shared" si="25"/>
        <v>#REF!</v>
      </c>
    </row>
    <row r="145" spans="1:11" ht="20.149999999999999" customHeight="1" x14ac:dyDescent="0.35">
      <c r="B145" s="34" t="s">
        <v>261</v>
      </c>
      <c r="C145" s="34" t="s">
        <v>262</v>
      </c>
      <c r="D145" s="34"/>
      <c r="E145" s="34"/>
      <c r="F145" s="61" t="s">
        <v>49</v>
      </c>
      <c r="G145" s="35" t="e">
        <f>#REF!</f>
        <v>#REF!</v>
      </c>
      <c r="I145" s="71" t="e">
        <f t="shared" si="25"/>
        <v>#REF!</v>
      </c>
      <c r="J145" s="71" t="e">
        <f t="shared" si="25"/>
        <v>#REF!</v>
      </c>
      <c r="K145" s="71" t="e">
        <f t="shared" si="25"/>
        <v>#REF!</v>
      </c>
    </row>
    <row r="146" spans="1:11" ht="20.149999999999999" customHeight="1" x14ac:dyDescent="0.35">
      <c r="B146" s="34" t="s">
        <v>263</v>
      </c>
      <c r="C146" s="34" t="s">
        <v>264</v>
      </c>
      <c r="D146" s="34"/>
      <c r="E146" s="34"/>
      <c r="F146" s="61" t="s">
        <v>49</v>
      </c>
      <c r="G146" s="35" t="e">
        <f>#REF!</f>
        <v>#REF!</v>
      </c>
      <c r="I146" s="71" t="e">
        <f t="shared" si="25"/>
        <v>#REF!</v>
      </c>
      <c r="J146" s="71" t="e">
        <f t="shared" si="25"/>
        <v>#REF!</v>
      </c>
      <c r="K146" s="71" t="e">
        <f t="shared" si="25"/>
        <v>#REF!</v>
      </c>
    </row>
    <row r="147" spans="1:11" ht="20.149999999999999" customHeight="1" x14ac:dyDescent="0.35">
      <c r="B147" s="34" t="s">
        <v>265</v>
      </c>
      <c r="C147" s="34" t="s">
        <v>266</v>
      </c>
      <c r="D147" s="34"/>
      <c r="E147" s="34"/>
      <c r="F147" s="61" t="s">
        <v>49</v>
      </c>
      <c r="G147" s="35" t="e">
        <f>#REF!</f>
        <v>#REF!</v>
      </c>
      <c r="I147" s="71" t="e">
        <f t="shared" si="25"/>
        <v>#REF!</v>
      </c>
      <c r="J147" s="71" t="e">
        <f t="shared" si="25"/>
        <v>#REF!</v>
      </c>
      <c r="K147" s="71" t="e">
        <f t="shared" si="25"/>
        <v>#REF!</v>
      </c>
    </row>
    <row r="148" spans="1:11" ht="20.149999999999999" customHeight="1" x14ac:dyDescent="0.35">
      <c r="B148" s="34" t="s">
        <v>267</v>
      </c>
      <c r="C148" s="34" t="s">
        <v>268</v>
      </c>
      <c r="D148" s="34"/>
      <c r="E148" s="34"/>
      <c r="F148" s="61" t="s">
        <v>49</v>
      </c>
      <c r="G148" s="35" t="e">
        <f>#REF!</f>
        <v>#REF!</v>
      </c>
      <c r="I148" s="71" t="e">
        <f t="shared" si="25"/>
        <v>#REF!</v>
      </c>
      <c r="J148" s="71" t="e">
        <f t="shared" si="25"/>
        <v>#REF!</v>
      </c>
      <c r="K148" s="71" t="e">
        <f t="shared" si="25"/>
        <v>#REF!</v>
      </c>
    </row>
    <row r="149" spans="1:11" ht="20.149999999999999" customHeight="1" x14ac:dyDescent="0.35">
      <c r="B149" s="34" t="s">
        <v>269</v>
      </c>
      <c r="C149" s="34" t="s">
        <v>270</v>
      </c>
      <c r="D149" s="34"/>
      <c r="E149" s="34"/>
      <c r="F149" s="61" t="s">
        <v>49</v>
      </c>
      <c r="G149" s="35" t="e">
        <f>#REF!</f>
        <v>#REF!</v>
      </c>
      <c r="I149" s="71" t="e">
        <f t="shared" si="25"/>
        <v>#REF!</v>
      </c>
      <c r="J149" s="71" t="e">
        <f t="shared" si="25"/>
        <v>#REF!</v>
      </c>
      <c r="K149" s="71" t="e">
        <f t="shared" si="25"/>
        <v>#REF!</v>
      </c>
    </row>
    <row r="150" spans="1:11" ht="20.149999999999999" customHeight="1" x14ac:dyDescent="0.35">
      <c r="B150" s="34" t="s">
        <v>271</v>
      </c>
      <c r="C150" s="34" t="s">
        <v>272</v>
      </c>
      <c r="D150" s="34"/>
      <c r="E150" s="34"/>
      <c r="F150" s="61" t="s">
        <v>49</v>
      </c>
      <c r="G150" s="35" t="e">
        <f>#REF!</f>
        <v>#REF!</v>
      </c>
      <c r="I150" s="71" t="e">
        <f t="shared" si="25"/>
        <v>#REF!</v>
      </c>
      <c r="J150" s="71" t="e">
        <f t="shared" si="25"/>
        <v>#REF!</v>
      </c>
      <c r="K150" s="71" t="e">
        <f t="shared" si="25"/>
        <v>#REF!</v>
      </c>
    </row>
    <row r="151" spans="1:11" ht="20.149999999999999" customHeight="1" x14ac:dyDescent="0.35">
      <c r="B151" s="34" t="s">
        <v>273</v>
      </c>
      <c r="C151" s="34" t="s">
        <v>274</v>
      </c>
      <c r="D151" s="34"/>
      <c r="E151" s="34"/>
      <c r="F151" s="61" t="s">
        <v>49</v>
      </c>
      <c r="G151" s="35" t="e">
        <f>#REF!</f>
        <v>#REF!</v>
      </c>
      <c r="I151" s="71" t="e">
        <f t="shared" si="25"/>
        <v>#REF!</v>
      </c>
      <c r="J151" s="71" t="e">
        <f t="shared" si="25"/>
        <v>#REF!</v>
      </c>
      <c r="K151" s="71" t="e">
        <f t="shared" si="25"/>
        <v>#REF!</v>
      </c>
    </row>
    <row r="152" spans="1:11" ht="20.149999999999999" customHeight="1" x14ac:dyDescent="0.35">
      <c r="A152" s="1">
        <f>A106+1</f>
        <v>2</v>
      </c>
      <c r="B152" s="34" t="s">
        <v>275</v>
      </c>
      <c r="C152" s="34" t="s">
        <v>276</v>
      </c>
      <c r="D152" s="34"/>
      <c r="E152" s="34"/>
      <c r="F152" s="61" t="s">
        <v>49</v>
      </c>
      <c r="G152" s="35" t="e">
        <f>#REF!</f>
        <v>#REF!</v>
      </c>
      <c r="I152" s="71" t="e">
        <f t="shared" si="25"/>
        <v>#REF!</v>
      </c>
      <c r="J152" s="71" t="e">
        <f t="shared" si="25"/>
        <v>#REF!</v>
      </c>
      <c r="K152" s="71" t="e">
        <f t="shared" si="25"/>
        <v>#REF!</v>
      </c>
    </row>
    <row r="153" spans="1:11" ht="20.149999999999999" customHeight="1" x14ac:dyDescent="0.35">
      <c r="A153" s="1">
        <f t="shared" ref="A153:A159" si="26">A152+1</f>
        <v>3</v>
      </c>
      <c r="B153" s="34" t="s">
        <v>277</v>
      </c>
      <c r="C153" s="34" t="s">
        <v>278</v>
      </c>
      <c r="D153" s="34"/>
      <c r="E153" s="34"/>
      <c r="F153" s="61" t="s">
        <v>49</v>
      </c>
      <c r="G153" s="35" t="e">
        <f>#REF!</f>
        <v>#REF!</v>
      </c>
      <c r="I153" s="71" t="e">
        <f t="shared" si="25"/>
        <v>#REF!</v>
      </c>
      <c r="J153" s="71" t="e">
        <f t="shared" si="25"/>
        <v>#REF!</v>
      </c>
      <c r="K153" s="71" t="e">
        <f t="shared" si="25"/>
        <v>#REF!</v>
      </c>
    </row>
    <row r="154" spans="1:11" ht="20.149999999999999" customHeight="1" x14ac:dyDescent="0.35">
      <c r="A154" s="1">
        <f t="shared" si="26"/>
        <v>4</v>
      </c>
      <c r="B154" s="34" t="s">
        <v>279</v>
      </c>
      <c r="C154" s="34" t="s">
        <v>280</v>
      </c>
      <c r="D154" s="34"/>
      <c r="E154" s="34"/>
      <c r="F154" s="61" t="s">
        <v>49</v>
      </c>
      <c r="G154" s="35" t="e">
        <f>#REF!</f>
        <v>#REF!</v>
      </c>
      <c r="I154" s="71" t="e">
        <f t="shared" si="25"/>
        <v>#REF!</v>
      </c>
      <c r="J154" s="71" t="e">
        <f t="shared" si="25"/>
        <v>#REF!</v>
      </c>
      <c r="K154" s="71" t="e">
        <f t="shared" si="25"/>
        <v>#REF!</v>
      </c>
    </row>
    <row r="155" spans="1:11" ht="20.149999999999999" customHeight="1" x14ac:dyDescent="0.35">
      <c r="A155" s="1">
        <f t="shared" si="26"/>
        <v>5</v>
      </c>
      <c r="B155" s="34" t="s">
        <v>281</v>
      </c>
      <c r="C155" s="34" t="s">
        <v>282</v>
      </c>
      <c r="D155" s="34"/>
      <c r="E155" s="34"/>
      <c r="F155" s="61" t="s">
        <v>49</v>
      </c>
      <c r="G155" s="35" t="e">
        <f>#REF!</f>
        <v>#REF!</v>
      </c>
      <c r="I155" s="71" t="e">
        <f t="shared" si="25"/>
        <v>#REF!</v>
      </c>
      <c r="J155" s="71" t="e">
        <f t="shared" si="25"/>
        <v>#REF!</v>
      </c>
      <c r="K155" s="71" t="e">
        <f t="shared" si="25"/>
        <v>#REF!</v>
      </c>
    </row>
    <row r="156" spans="1:11" ht="20.149999999999999" customHeight="1" x14ac:dyDescent="0.35">
      <c r="A156" s="1">
        <f t="shared" si="26"/>
        <v>6</v>
      </c>
      <c r="B156" s="34" t="s">
        <v>283</v>
      </c>
      <c r="C156" s="34" t="s">
        <v>284</v>
      </c>
      <c r="D156" s="34"/>
      <c r="E156" s="34"/>
      <c r="F156" s="61" t="s">
        <v>49</v>
      </c>
      <c r="G156" s="35" t="e">
        <f>#REF!</f>
        <v>#REF!</v>
      </c>
      <c r="I156" s="71" t="e">
        <f t="shared" si="25"/>
        <v>#REF!</v>
      </c>
      <c r="J156" s="71" t="e">
        <f t="shared" si="25"/>
        <v>#REF!</v>
      </c>
      <c r="K156" s="71" t="e">
        <f t="shared" si="25"/>
        <v>#REF!</v>
      </c>
    </row>
    <row r="157" spans="1:11" ht="20.149999999999999" customHeight="1" x14ac:dyDescent="0.35">
      <c r="A157" s="1">
        <f t="shared" si="26"/>
        <v>7</v>
      </c>
      <c r="B157" s="34" t="s">
        <v>285</v>
      </c>
      <c r="C157" s="34" t="s">
        <v>286</v>
      </c>
      <c r="D157" s="34"/>
      <c r="E157" s="34"/>
      <c r="F157" s="61" t="s">
        <v>49</v>
      </c>
      <c r="G157" s="35" t="e">
        <f>#REF!</f>
        <v>#REF!</v>
      </c>
      <c r="I157" s="71" t="e">
        <f t="shared" si="25"/>
        <v>#REF!</v>
      </c>
      <c r="J157" s="71" t="e">
        <f t="shared" si="25"/>
        <v>#REF!</v>
      </c>
      <c r="K157" s="71" t="e">
        <f t="shared" si="25"/>
        <v>#REF!</v>
      </c>
    </row>
    <row r="158" spans="1:11" ht="20.149999999999999" customHeight="1" x14ac:dyDescent="0.35">
      <c r="A158" s="1">
        <f t="shared" si="26"/>
        <v>8</v>
      </c>
      <c r="B158" s="34" t="s">
        <v>287</v>
      </c>
      <c r="C158" s="34" t="s">
        <v>288</v>
      </c>
      <c r="D158" s="34"/>
      <c r="E158" s="34"/>
      <c r="F158" s="61" t="s">
        <v>38</v>
      </c>
      <c r="G158" s="35" t="e">
        <f>#REF!</f>
        <v>#REF!</v>
      </c>
      <c r="I158" s="71" t="e">
        <f t="shared" si="25"/>
        <v>#REF!</v>
      </c>
      <c r="J158" s="71" t="e">
        <f t="shared" si="25"/>
        <v>#REF!</v>
      </c>
      <c r="K158" s="71" t="e">
        <f t="shared" si="25"/>
        <v>#REF!</v>
      </c>
    </row>
    <row r="159" spans="1:11" ht="20.149999999999999" customHeight="1" x14ac:dyDescent="0.35">
      <c r="A159" s="1">
        <f t="shared" si="26"/>
        <v>9</v>
      </c>
      <c r="B159" s="34" t="s">
        <v>289</v>
      </c>
      <c r="C159" s="34" t="s">
        <v>290</v>
      </c>
      <c r="D159" s="34"/>
      <c r="E159" s="34"/>
      <c r="F159" s="61" t="s">
        <v>38</v>
      </c>
      <c r="G159" s="35" t="e">
        <f>#REF!</f>
        <v>#REF!</v>
      </c>
      <c r="I159" s="71" t="e">
        <f t="shared" si="25"/>
        <v>#REF!</v>
      </c>
      <c r="J159" s="71" t="e">
        <f t="shared" si="25"/>
        <v>#REF!</v>
      </c>
      <c r="K159" s="71" t="e">
        <f t="shared" si="25"/>
        <v>#REF!</v>
      </c>
    </row>
    <row r="160" spans="1:11" ht="20.149999999999999" customHeight="1" x14ac:dyDescent="0.35">
      <c r="B160" s="34"/>
      <c r="C160" s="34"/>
      <c r="D160" s="34"/>
      <c r="E160" s="34"/>
      <c r="F160" s="61"/>
      <c r="G160" s="35" t="e">
        <f>#REF!</f>
        <v>#REF!</v>
      </c>
      <c r="I160" s="71" t="e">
        <f t="shared" si="25"/>
        <v>#REF!</v>
      </c>
      <c r="J160" s="71" t="e">
        <f t="shared" si="25"/>
        <v>#REF!</v>
      </c>
      <c r="K160" s="71" t="e">
        <f t="shared" si="25"/>
        <v>#REF!</v>
      </c>
    </row>
    <row r="161" spans="1:165" ht="20.149999999999999" customHeight="1" x14ac:dyDescent="0.35">
      <c r="B161" s="34"/>
      <c r="C161" s="34"/>
      <c r="D161" s="34"/>
      <c r="E161" s="34"/>
      <c r="F161" s="61"/>
      <c r="G161" s="35" t="e">
        <f>#REF!</f>
        <v>#REF!</v>
      </c>
      <c r="I161" s="71" t="e">
        <f t="shared" si="25"/>
        <v>#REF!</v>
      </c>
      <c r="J161" s="71" t="e">
        <f t="shared" si="25"/>
        <v>#REF!</v>
      </c>
      <c r="K161" s="71" t="e">
        <f t="shared" si="25"/>
        <v>#REF!</v>
      </c>
    </row>
    <row r="162" spans="1:165" s="18" customFormat="1" ht="20.149999999999999" customHeight="1" x14ac:dyDescent="0.35">
      <c r="B162" s="38" t="s">
        <v>17</v>
      </c>
      <c r="C162" s="56"/>
      <c r="D162" s="56"/>
      <c r="E162" s="56"/>
      <c r="F162" s="57"/>
      <c r="G162" s="58" t="e">
        <f>#REF!</f>
        <v>#REF!</v>
      </c>
      <c r="H162" s="33"/>
      <c r="I162" s="71"/>
      <c r="J162" s="71"/>
      <c r="K162" s="71"/>
    </row>
    <row r="163" spans="1:165" ht="20.149999999999999" customHeight="1" x14ac:dyDescent="0.35">
      <c r="A163" s="1">
        <v>1</v>
      </c>
      <c r="B163" s="34" t="s">
        <v>291</v>
      </c>
      <c r="C163" s="34" t="s">
        <v>292</v>
      </c>
      <c r="D163" s="34"/>
      <c r="E163" s="34"/>
      <c r="F163" s="61" t="s">
        <v>38</v>
      </c>
      <c r="G163" s="35" t="e">
        <f>#REF!</f>
        <v>#REF!</v>
      </c>
      <c r="I163" s="71" t="e">
        <f t="shared" ref="I163:K171" si="27">ROUNDUP($G163*100/$G$6*I$11*$K$6,0)</f>
        <v>#REF!</v>
      </c>
      <c r="J163" s="71" t="e">
        <f t="shared" si="27"/>
        <v>#REF!</v>
      </c>
      <c r="K163" s="71" t="e">
        <f t="shared" si="27"/>
        <v>#REF!</v>
      </c>
    </row>
    <row r="164" spans="1:165" ht="20.149999999999999" customHeight="1" x14ac:dyDescent="0.35">
      <c r="A164" s="1">
        <f>A163+1</f>
        <v>2</v>
      </c>
      <c r="B164" s="34" t="s">
        <v>293</v>
      </c>
      <c r="C164" s="34" t="s">
        <v>294</v>
      </c>
      <c r="D164" s="34"/>
      <c r="E164" s="34"/>
      <c r="F164" s="61" t="s">
        <v>38</v>
      </c>
      <c r="G164" s="35" t="e">
        <f>#REF!</f>
        <v>#REF!</v>
      </c>
      <c r="I164" s="71" t="e">
        <f t="shared" si="27"/>
        <v>#REF!</v>
      </c>
      <c r="J164" s="71" t="e">
        <f t="shared" si="27"/>
        <v>#REF!</v>
      </c>
      <c r="K164" s="71" t="e">
        <f t="shared" si="27"/>
        <v>#REF!</v>
      </c>
    </row>
    <row r="165" spans="1:165" ht="20.149999999999999" customHeight="1" x14ac:dyDescent="0.35">
      <c r="A165" s="1">
        <f t="shared" ref="A165:A171" si="28">A164+1</f>
        <v>3</v>
      </c>
      <c r="B165" s="34" t="s">
        <v>295</v>
      </c>
      <c r="C165" s="34" t="s">
        <v>296</v>
      </c>
      <c r="D165" s="34"/>
      <c r="E165" s="34"/>
      <c r="F165" s="61" t="s">
        <v>38</v>
      </c>
      <c r="G165" s="35" t="e">
        <f>#REF!</f>
        <v>#REF!</v>
      </c>
      <c r="I165" s="71" t="e">
        <f t="shared" si="27"/>
        <v>#REF!</v>
      </c>
      <c r="J165" s="71" t="e">
        <f t="shared" si="27"/>
        <v>#REF!</v>
      </c>
      <c r="K165" s="71" t="e">
        <f t="shared" si="27"/>
        <v>#REF!</v>
      </c>
    </row>
    <row r="166" spans="1:165" ht="19.899999999999999" customHeight="1" x14ac:dyDescent="0.35">
      <c r="A166" s="1">
        <f>A163+1</f>
        <v>2</v>
      </c>
      <c r="B166" s="34" t="s">
        <v>297</v>
      </c>
      <c r="C166" s="34" t="s">
        <v>298</v>
      </c>
      <c r="D166" s="34"/>
      <c r="E166" s="34"/>
      <c r="F166" s="61" t="s">
        <v>38</v>
      </c>
      <c r="G166" s="35" t="e">
        <f>#REF!</f>
        <v>#REF!</v>
      </c>
      <c r="I166" s="71" t="e">
        <f t="shared" si="27"/>
        <v>#REF!</v>
      </c>
      <c r="J166" s="71" t="e">
        <f t="shared" si="27"/>
        <v>#REF!</v>
      </c>
      <c r="K166" s="71" t="e">
        <f t="shared" si="27"/>
        <v>#REF!</v>
      </c>
    </row>
    <row r="167" spans="1:165" ht="20.149999999999999" customHeight="1" x14ac:dyDescent="0.35">
      <c r="A167" s="1">
        <f t="shared" si="28"/>
        <v>3</v>
      </c>
      <c r="B167" s="34" t="s">
        <v>299</v>
      </c>
      <c r="C167" s="34" t="s">
        <v>300</v>
      </c>
      <c r="D167" s="34"/>
      <c r="E167" s="34"/>
      <c r="F167" s="61" t="s">
        <v>59</v>
      </c>
      <c r="G167" s="35" t="e">
        <f>#REF!</f>
        <v>#REF!</v>
      </c>
      <c r="I167" s="71" t="e">
        <f t="shared" si="27"/>
        <v>#REF!</v>
      </c>
      <c r="J167" s="71" t="e">
        <f t="shared" si="27"/>
        <v>#REF!</v>
      </c>
      <c r="K167" s="71" t="e">
        <f t="shared" si="27"/>
        <v>#REF!</v>
      </c>
    </row>
    <row r="168" spans="1:165" ht="19.899999999999999" customHeight="1" x14ac:dyDescent="0.35">
      <c r="A168" s="1">
        <f>A165+1</f>
        <v>4</v>
      </c>
      <c r="B168" s="34" t="s">
        <v>301</v>
      </c>
      <c r="C168" s="34" t="s">
        <v>302</v>
      </c>
      <c r="D168" s="34"/>
      <c r="E168" s="34"/>
      <c r="F168" s="61" t="s">
        <v>38</v>
      </c>
      <c r="G168" s="35" t="e">
        <f>#REF!</f>
        <v>#REF!</v>
      </c>
      <c r="I168" s="71" t="e">
        <f t="shared" si="27"/>
        <v>#REF!</v>
      </c>
      <c r="J168" s="71" t="e">
        <f t="shared" si="27"/>
        <v>#REF!</v>
      </c>
      <c r="K168" s="71" t="e">
        <f t="shared" si="27"/>
        <v>#REF!</v>
      </c>
    </row>
    <row r="169" spans="1:165" ht="20.149999999999999" customHeight="1" x14ac:dyDescent="0.35">
      <c r="A169" s="1">
        <f t="shared" si="28"/>
        <v>5</v>
      </c>
      <c r="B169" s="34" t="s">
        <v>303</v>
      </c>
      <c r="C169" s="34" t="s">
        <v>304</v>
      </c>
      <c r="D169" s="34"/>
      <c r="E169" s="34"/>
      <c r="F169" s="61" t="s">
        <v>38</v>
      </c>
      <c r="G169" s="35" t="e">
        <f>#REF!</f>
        <v>#REF!</v>
      </c>
      <c r="I169" s="71" t="e">
        <f t="shared" si="27"/>
        <v>#REF!</v>
      </c>
      <c r="J169" s="71" t="e">
        <f t="shared" si="27"/>
        <v>#REF!</v>
      </c>
      <c r="K169" s="71" t="e">
        <f t="shared" si="27"/>
        <v>#REF!</v>
      </c>
    </row>
    <row r="170" spans="1:165" ht="19.899999999999999" customHeight="1" x14ac:dyDescent="0.35">
      <c r="A170" s="1">
        <f>A167+1</f>
        <v>4</v>
      </c>
      <c r="B170" s="34"/>
      <c r="C170" s="34"/>
      <c r="D170" s="34"/>
      <c r="E170" s="34"/>
      <c r="F170" s="61"/>
      <c r="G170" s="35" t="e">
        <f>#REF!</f>
        <v>#REF!</v>
      </c>
      <c r="I170" s="71" t="e">
        <f t="shared" si="27"/>
        <v>#REF!</v>
      </c>
      <c r="J170" s="71" t="e">
        <f t="shared" si="27"/>
        <v>#REF!</v>
      </c>
      <c r="K170" s="71" t="e">
        <f t="shared" si="27"/>
        <v>#REF!</v>
      </c>
    </row>
    <row r="171" spans="1:165" ht="20.149999999999999" customHeight="1" x14ac:dyDescent="0.35">
      <c r="A171" s="1">
        <f t="shared" si="28"/>
        <v>5</v>
      </c>
      <c r="B171" s="34"/>
      <c r="C171" s="34"/>
      <c r="D171" s="34"/>
      <c r="E171" s="34"/>
      <c r="F171" s="61"/>
      <c r="G171" s="35" t="e">
        <f>#REF!</f>
        <v>#REF!</v>
      </c>
      <c r="I171" s="71" t="e">
        <f t="shared" si="27"/>
        <v>#REF!</v>
      </c>
      <c r="J171" s="71" t="e">
        <f t="shared" si="27"/>
        <v>#REF!</v>
      </c>
      <c r="K171" s="71" t="e">
        <f t="shared" si="27"/>
        <v>#REF!</v>
      </c>
    </row>
    <row r="172" spans="1:165" s="18" customFormat="1" ht="20.149999999999999" customHeight="1" x14ac:dyDescent="0.35">
      <c r="B172" s="52" t="s">
        <v>29</v>
      </c>
      <c r="C172" s="53"/>
      <c r="D172" s="53"/>
      <c r="E172" s="53"/>
      <c r="F172" s="54"/>
      <c r="G172" s="55" t="e">
        <f>#REF!</f>
        <v>#REF!</v>
      </c>
      <c r="H172" s="33"/>
      <c r="I172" s="20"/>
      <c r="J172" s="20"/>
      <c r="K172" s="20"/>
    </row>
    <row r="173" spans="1:165" s="30" customFormat="1" ht="5.15" customHeight="1" x14ac:dyDescent="0.35">
      <c r="B173" s="49"/>
      <c r="C173" s="34"/>
      <c r="D173" s="49"/>
      <c r="E173" s="49"/>
      <c r="F173" s="50"/>
      <c r="G173" s="51" t="e">
        <f>#REF!</f>
        <v>#REF!</v>
      </c>
      <c r="H173" s="31"/>
      <c r="I173" s="20"/>
      <c r="J173" s="20"/>
      <c r="K173" s="20"/>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31"/>
      <c r="EM173" s="31"/>
      <c r="EN173" s="31"/>
      <c r="EO173" s="31"/>
      <c r="EP173" s="31"/>
      <c r="EQ173" s="31"/>
      <c r="ER173" s="31"/>
      <c r="ES173" s="31"/>
      <c r="ET173" s="31"/>
      <c r="EU173" s="31"/>
      <c r="EV173" s="31"/>
      <c r="EW173" s="31"/>
      <c r="EX173" s="31"/>
      <c r="EY173" s="31"/>
      <c r="EZ173" s="31"/>
      <c r="FA173" s="31"/>
      <c r="FB173" s="31"/>
      <c r="FC173" s="31"/>
      <c r="FD173" s="31"/>
      <c r="FE173" s="31"/>
      <c r="FF173" s="31"/>
      <c r="FG173" s="31"/>
      <c r="FH173" s="31"/>
      <c r="FI173" s="31"/>
    </row>
    <row r="174" spans="1:165" s="18" customFormat="1" ht="20.149999999999999" customHeight="1" x14ac:dyDescent="0.35">
      <c r="B174" s="38" t="s">
        <v>30</v>
      </c>
      <c r="C174" s="56"/>
      <c r="D174" s="56"/>
      <c r="E174" s="56"/>
      <c r="F174" s="57"/>
      <c r="G174" s="58" t="e">
        <f>#REF!</f>
        <v>#REF!</v>
      </c>
      <c r="H174" s="33"/>
      <c r="I174" s="71"/>
      <c r="J174" s="71"/>
      <c r="K174" s="71"/>
    </row>
    <row r="175" spans="1:165" ht="20.149999999999999" customHeight="1" x14ac:dyDescent="0.35">
      <c r="A175" s="1">
        <v>1</v>
      </c>
      <c r="B175" s="34" t="s">
        <v>305</v>
      </c>
      <c r="C175" s="34" t="s">
        <v>306</v>
      </c>
      <c r="D175" s="34"/>
      <c r="E175" s="34"/>
      <c r="F175" s="61" t="s">
        <v>307</v>
      </c>
      <c r="G175" s="35" t="e">
        <f>#REF!</f>
        <v>#REF!</v>
      </c>
      <c r="I175" s="71" t="e">
        <f t="shared" ref="I175:K182" si="29">ROUNDUP($G175*100/$G$6*I$11*$K$6,0)</f>
        <v>#REF!</v>
      </c>
      <c r="J175" s="71" t="e">
        <f t="shared" si="29"/>
        <v>#REF!</v>
      </c>
      <c r="K175" s="71" t="e">
        <f t="shared" si="29"/>
        <v>#REF!</v>
      </c>
    </row>
    <row r="176" spans="1:165" ht="20.149999999999999" customHeight="1" x14ac:dyDescent="0.35">
      <c r="A176" s="1">
        <f>A172+1</f>
        <v>1</v>
      </c>
      <c r="B176" s="34" t="s">
        <v>308</v>
      </c>
      <c r="C176" s="34" t="s">
        <v>309</v>
      </c>
      <c r="D176" s="34"/>
      <c r="E176" s="34"/>
      <c r="F176" s="61" t="s">
        <v>307</v>
      </c>
      <c r="G176" s="35" t="e">
        <f>#REF!</f>
        <v>#REF!</v>
      </c>
      <c r="I176" s="71" t="e">
        <f t="shared" si="29"/>
        <v>#REF!</v>
      </c>
      <c r="J176" s="71" t="e">
        <f t="shared" si="29"/>
        <v>#REF!</v>
      </c>
      <c r="K176" s="71" t="e">
        <f t="shared" si="29"/>
        <v>#REF!</v>
      </c>
    </row>
    <row r="177" spans="1:11" ht="20.149999999999999" customHeight="1" x14ac:dyDescent="0.35">
      <c r="A177" s="1">
        <f t="shared" ref="A177:A182" si="30">A173+1</f>
        <v>1</v>
      </c>
      <c r="B177" s="34" t="s">
        <v>310</v>
      </c>
      <c r="C177" s="34" t="s">
        <v>311</v>
      </c>
      <c r="D177" s="34"/>
      <c r="E177" s="34"/>
      <c r="F177" s="61" t="s">
        <v>307</v>
      </c>
      <c r="G177" s="35" t="e">
        <f>#REF!</f>
        <v>#REF!</v>
      </c>
      <c r="I177" s="71" t="e">
        <f t="shared" si="29"/>
        <v>#REF!</v>
      </c>
      <c r="J177" s="71" t="e">
        <f t="shared" si="29"/>
        <v>#REF!</v>
      </c>
      <c r="K177" s="71" t="e">
        <f t="shared" si="29"/>
        <v>#REF!</v>
      </c>
    </row>
    <row r="178" spans="1:11" ht="20.149999999999999" customHeight="1" x14ac:dyDescent="0.35">
      <c r="A178" s="1">
        <f t="shared" si="30"/>
        <v>1</v>
      </c>
      <c r="B178" s="34" t="s">
        <v>312</v>
      </c>
      <c r="C178" s="34" t="s">
        <v>313</v>
      </c>
      <c r="D178" s="34"/>
      <c r="E178" s="34"/>
      <c r="F178" s="61" t="s">
        <v>307</v>
      </c>
      <c r="G178" s="35" t="e">
        <f>#REF!</f>
        <v>#REF!</v>
      </c>
      <c r="I178" s="71" t="e">
        <f t="shared" si="29"/>
        <v>#REF!</v>
      </c>
      <c r="J178" s="71" t="e">
        <f t="shared" si="29"/>
        <v>#REF!</v>
      </c>
      <c r="K178" s="71" t="e">
        <f t="shared" si="29"/>
        <v>#REF!</v>
      </c>
    </row>
    <row r="179" spans="1:11" ht="20.149999999999999" customHeight="1" x14ac:dyDescent="0.35">
      <c r="A179" s="1">
        <f t="shared" si="30"/>
        <v>2</v>
      </c>
      <c r="B179" s="34" t="s">
        <v>314</v>
      </c>
      <c r="C179" s="34" t="s">
        <v>315</v>
      </c>
      <c r="D179" s="34"/>
      <c r="E179" s="34"/>
      <c r="F179" s="61" t="s">
        <v>307</v>
      </c>
      <c r="G179" s="35" t="e">
        <f>#REF!</f>
        <v>#REF!</v>
      </c>
      <c r="I179" s="71" t="e">
        <f t="shared" si="29"/>
        <v>#REF!</v>
      </c>
      <c r="J179" s="71" t="e">
        <f t="shared" si="29"/>
        <v>#REF!</v>
      </c>
      <c r="K179" s="71" t="e">
        <f t="shared" si="29"/>
        <v>#REF!</v>
      </c>
    </row>
    <row r="180" spans="1:11" ht="20.149999999999999" customHeight="1" x14ac:dyDescent="0.35">
      <c r="A180" s="1">
        <f t="shared" si="30"/>
        <v>2</v>
      </c>
      <c r="B180" s="34" t="s">
        <v>316</v>
      </c>
      <c r="C180" s="34" t="s">
        <v>317</v>
      </c>
      <c r="D180" s="34"/>
      <c r="E180" s="34"/>
      <c r="F180" s="61" t="s">
        <v>307</v>
      </c>
      <c r="G180" s="35" t="e">
        <f>#REF!</f>
        <v>#REF!</v>
      </c>
      <c r="I180" s="71" t="e">
        <f t="shared" si="29"/>
        <v>#REF!</v>
      </c>
      <c r="J180" s="71" t="e">
        <f t="shared" si="29"/>
        <v>#REF!</v>
      </c>
      <c r="K180" s="71" t="e">
        <f t="shared" si="29"/>
        <v>#REF!</v>
      </c>
    </row>
    <row r="181" spans="1:11" ht="20.149999999999999" customHeight="1" x14ac:dyDescent="0.35">
      <c r="A181" s="1">
        <f t="shared" si="30"/>
        <v>2</v>
      </c>
      <c r="B181" s="34"/>
      <c r="C181" s="34"/>
      <c r="D181" s="34"/>
      <c r="E181" s="34"/>
      <c r="F181" s="61"/>
      <c r="G181" s="35" t="e">
        <f>#REF!</f>
        <v>#REF!</v>
      </c>
      <c r="I181" s="71" t="e">
        <f t="shared" si="29"/>
        <v>#REF!</v>
      </c>
      <c r="J181" s="71" t="e">
        <f t="shared" si="29"/>
        <v>#REF!</v>
      </c>
      <c r="K181" s="71" t="e">
        <f t="shared" si="29"/>
        <v>#REF!</v>
      </c>
    </row>
    <row r="182" spans="1:11" ht="20.149999999999999" customHeight="1" x14ac:dyDescent="0.35">
      <c r="A182" s="1">
        <f t="shared" si="30"/>
        <v>2</v>
      </c>
      <c r="B182" s="34"/>
      <c r="C182" s="34"/>
      <c r="D182" s="34"/>
      <c r="E182" s="34"/>
      <c r="F182" s="61"/>
      <c r="G182" s="35" t="e">
        <f>#REF!</f>
        <v>#REF!</v>
      </c>
      <c r="I182" s="71" t="e">
        <f t="shared" si="29"/>
        <v>#REF!</v>
      </c>
      <c r="J182" s="71" t="e">
        <f t="shared" si="29"/>
        <v>#REF!</v>
      </c>
      <c r="K182" s="71" t="e">
        <f t="shared" si="29"/>
        <v>#REF!</v>
      </c>
    </row>
    <row r="183" spans="1:11" s="18" customFormat="1" ht="20.149999999999999" customHeight="1" x14ac:dyDescent="0.35">
      <c r="B183" s="38" t="s">
        <v>31</v>
      </c>
      <c r="C183" s="56"/>
      <c r="D183" s="56"/>
      <c r="E183" s="56"/>
      <c r="F183" s="57"/>
      <c r="G183" s="58" t="e">
        <f>#REF!</f>
        <v>#REF!</v>
      </c>
      <c r="H183" s="33"/>
      <c r="I183" s="71"/>
      <c r="J183" s="71"/>
      <c r="K183" s="71"/>
    </row>
    <row r="184" spans="1:11" ht="20.149999999999999" customHeight="1" x14ac:dyDescent="0.35">
      <c r="A184" s="1">
        <v>1</v>
      </c>
      <c r="B184" s="34" t="s">
        <v>318</v>
      </c>
      <c r="C184" s="34" t="s">
        <v>319</v>
      </c>
      <c r="D184" s="34"/>
      <c r="E184" s="34"/>
      <c r="F184" s="61" t="s">
        <v>320</v>
      </c>
      <c r="G184" s="35" t="e">
        <f>#REF!</f>
        <v>#REF!</v>
      </c>
      <c r="I184" s="71" t="e">
        <f t="shared" ref="I184:K192" si="31">ROUNDUP($G184*100/$G$6*I$11*$K$6,0)</f>
        <v>#REF!</v>
      </c>
      <c r="J184" s="71" t="e">
        <f t="shared" si="31"/>
        <v>#REF!</v>
      </c>
      <c r="K184" s="71" t="e">
        <f t="shared" si="31"/>
        <v>#REF!</v>
      </c>
    </row>
    <row r="185" spans="1:11" ht="20.149999999999999" customHeight="1" x14ac:dyDescent="0.35">
      <c r="A185" s="1">
        <f>A181+1</f>
        <v>3</v>
      </c>
      <c r="B185" s="34" t="s">
        <v>321</v>
      </c>
      <c r="C185" s="34" t="s">
        <v>322</v>
      </c>
      <c r="D185" s="34"/>
      <c r="E185" s="34"/>
      <c r="F185" s="61" t="s">
        <v>320</v>
      </c>
      <c r="G185" s="35" t="e">
        <f>#REF!</f>
        <v>#REF!</v>
      </c>
      <c r="I185" s="71" t="e">
        <f t="shared" si="31"/>
        <v>#REF!</v>
      </c>
      <c r="J185" s="71" t="e">
        <f t="shared" si="31"/>
        <v>#REF!</v>
      </c>
      <c r="K185" s="71" t="e">
        <f t="shared" si="31"/>
        <v>#REF!</v>
      </c>
    </row>
    <row r="186" spans="1:11" ht="20.149999999999999" customHeight="1" x14ac:dyDescent="0.35">
      <c r="A186" s="1">
        <f t="shared" ref="A186:A187" si="32">A185+1</f>
        <v>4</v>
      </c>
      <c r="B186" s="34" t="s">
        <v>323</v>
      </c>
      <c r="C186" s="34" t="s">
        <v>324</v>
      </c>
      <c r="D186" s="34"/>
      <c r="E186" s="34"/>
      <c r="F186" s="61" t="s">
        <v>320</v>
      </c>
      <c r="G186" s="35" t="e">
        <f>#REF!</f>
        <v>#REF!</v>
      </c>
      <c r="I186" s="71" t="e">
        <f t="shared" si="31"/>
        <v>#REF!</v>
      </c>
      <c r="J186" s="71" t="e">
        <f t="shared" si="31"/>
        <v>#REF!</v>
      </c>
      <c r="K186" s="71" t="e">
        <f t="shared" si="31"/>
        <v>#REF!</v>
      </c>
    </row>
    <row r="187" spans="1:11" ht="20.149999999999999" customHeight="1" x14ac:dyDescent="0.35">
      <c r="A187" s="1">
        <f t="shared" si="32"/>
        <v>5</v>
      </c>
      <c r="B187" s="34" t="s">
        <v>325</v>
      </c>
      <c r="C187" s="34" t="s">
        <v>326</v>
      </c>
      <c r="D187" s="34"/>
      <c r="E187" s="34"/>
      <c r="F187" s="61" t="s">
        <v>320</v>
      </c>
      <c r="G187" s="35" t="e">
        <f>#REF!</f>
        <v>#REF!</v>
      </c>
      <c r="I187" s="71" t="e">
        <f t="shared" si="31"/>
        <v>#REF!</v>
      </c>
      <c r="J187" s="71" t="e">
        <f t="shared" si="31"/>
        <v>#REF!</v>
      </c>
      <c r="K187" s="71" t="e">
        <f t="shared" si="31"/>
        <v>#REF!</v>
      </c>
    </row>
    <row r="188" spans="1:11" ht="20.149999999999999" customHeight="1" x14ac:dyDescent="0.35">
      <c r="A188" s="1">
        <f>A184+1</f>
        <v>2</v>
      </c>
      <c r="B188" s="34" t="s">
        <v>327</v>
      </c>
      <c r="C188" s="34" t="s">
        <v>328</v>
      </c>
      <c r="D188" s="34"/>
      <c r="E188" s="34"/>
      <c r="F188" s="61" t="s">
        <v>320</v>
      </c>
      <c r="G188" s="35" t="e">
        <f>#REF!</f>
        <v>#REF!</v>
      </c>
      <c r="I188" s="71" t="e">
        <f t="shared" si="31"/>
        <v>#REF!</v>
      </c>
      <c r="J188" s="71" t="e">
        <f t="shared" si="31"/>
        <v>#REF!</v>
      </c>
      <c r="K188" s="71" t="e">
        <f t="shared" si="31"/>
        <v>#REF!</v>
      </c>
    </row>
    <row r="189" spans="1:11" ht="20.149999999999999" customHeight="1" x14ac:dyDescent="0.35">
      <c r="A189" s="1">
        <f t="shared" ref="A189:A190" si="33">A188+1</f>
        <v>3</v>
      </c>
      <c r="B189" s="34" t="s">
        <v>329</v>
      </c>
      <c r="C189" s="34" t="s">
        <v>330</v>
      </c>
      <c r="D189" s="34"/>
      <c r="E189" s="34"/>
      <c r="F189" s="61" t="s">
        <v>320</v>
      </c>
      <c r="G189" s="35" t="e">
        <f>#REF!</f>
        <v>#REF!</v>
      </c>
      <c r="I189" s="71" t="e">
        <f t="shared" si="31"/>
        <v>#REF!</v>
      </c>
      <c r="J189" s="71" t="e">
        <f t="shared" si="31"/>
        <v>#REF!</v>
      </c>
      <c r="K189" s="71" t="e">
        <f t="shared" si="31"/>
        <v>#REF!</v>
      </c>
    </row>
    <row r="190" spans="1:11" ht="20.149999999999999" customHeight="1" x14ac:dyDescent="0.35">
      <c r="A190" s="1">
        <f t="shared" si="33"/>
        <v>4</v>
      </c>
      <c r="B190" s="34" t="s">
        <v>331</v>
      </c>
      <c r="C190" s="34" t="s">
        <v>332</v>
      </c>
      <c r="D190" s="34"/>
      <c r="E190" s="34"/>
      <c r="F190" s="61" t="s">
        <v>320</v>
      </c>
      <c r="G190" s="35" t="e">
        <f>#REF!</f>
        <v>#REF!</v>
      </c>
      <c r="I190" s="71" t="e">
        <f t="shared" si="31"/>
        <v>#REF!</v>
      </c>
      <c r="J190" s="71" t="e">
        <f t="shared" si="31"/>
        <v>#REF!</v>
      </c>
      <c r="K190" s="71" t="e">
        <f t="shared" si="31"/>
        <v>#REF!</v>
      </c>
    </row>
    <row r="191" spans="1:11" ht="20.149999999999999" customHeight="1" x14ac:dyDescent="0.35">
      <c r="A191" s="1">
        <f>A189+1</f>
        <v>4</v>
      </c>
      <c r="B191" s="34"/>
      <c r="C191" s="34"/>
      <c r="D191" s="34"/>
      <c r="E191" s="34"/>
      <c r="F191" s="61"/>
      <c r="G191" s="35" t="e">
        <f>#REF!</f>
        <v>#REF!</v>
      </c>
      <c r="I191" s="71" t="e">
        <f t="shared" si="31"/>
        <v>#REF!</v>
      </c>
      <c r="J191" s="71" t="e">
        <f t="shared" si="31"/>
        <v>#REF!</v>
      </c>
      <c r="K191" s="71" t="e">
        <f t="shared" si="31"/>
        <v>#REF!</v>
      </c>
    </row>
    <row r="192" spans="1:11" ht="20.149999999999999" customHeight="1" x14ac:dyDescent="0.35">
      <c r="A192" s="1">
        <f>A190+1</f>
        <v>5</v>
      </c>
      <c r="B192" s="34"/>
      <c r="C192" s="34"/>
      <c r="D192" s="34"/>
      <c r="E192" s="34"/>
      <c r="F192" s="61"/>
      <c r="G192" s="35" t="e">
        <f>#REF!</f>
        <v>#REF!</v>
      </c>
      <c r="I192" s="71" t="e">
        <f t="shared" si="31"/>
        <v>#REF!</v>
      </c>
      <c r="J192" s="71" t="e">
        <f t="shared" si="31"/>
        <v>#REF!</v>
      </c>
      <c r="K192" s="71" t="e">
        <f t="shared" si="31"/>
        <v>#REF!</v>
      </c>
    </row>
    <row r="193" spans="1:11" s="18" customFormat="1" ht="20.149999999999999" customHeight="1" x14ac:dyDescent="0.35">
      <c r="B193" s="38" t="s">
        <v>32</v>
      </c>
      <c r="C193" s="56"/>
      <c r="D193" s="56"/>
      <c r="E193" s="56"/>
      <c r="F193" s="57"/>
      <c r="G193" s="58" t="e">
        <f>#REF!</f>
        <v>#REF!</v>
      </c>
      <c r="H193" s="33"/>
      <c r="I193" s="71"/>
      <c r="J193" s="71"/>
      <c r="K193" s="71"/>
    </row>
    <row r="194" spans="1:11" ht="20.149999999999999" customHeight="1" x14ac:dyDescent="0.35">
      <c r="A194" s="1">
        <v>1</v>
      </c>
      <c r="B194" s="34" t="s">
        <v>333</v>
      </c>
      <c r="C194" s="34" t="s">
        <v>334</v>
      </c>
      <c r="D194" s="34"/>
      <c r="E194" s="34"/>
      <c r="F194" s="61" t="s">
        <v>320</v>
      </c>
      <c r="G194" s="35" t="e">
        <f>#REF!</f>
        <v>#REF!</v>
      </c>
      <c r="I194" s="71" t="e">
        <f t="shared" ref="I194:K199" si="34">ROUNDUP($G194*100/$G$6*I$11*$K$6,0)</f>
        <v>#REF!</v>
      </c>
      <c r="J194" s="71" t="e">
        <f t="shared" si="34"/>
        <v>#REF!</v>
      </c>
      <c r="K194" s="71" t="e">
        <f t="shared" si="34"/>
        <v>#REF!</v>
      </c>
    </row>
    <row r="195" spans="1:11" ht="20.149999999999999" customHeight="1" x14ac:dyDescent="0.35">
      <c r="A195" s="1" t="e">
        <f>#REF!+1</f>
        <v>#REF!</v>
      </c>
      <c r="B195" s="34" t="s">
        <v>338</v>
      </c>
      <c r="C195" s="34" t="s">
        <v>339</v>
      </c>
      <c r="D195" s="34"/>
      <c r="E195" s="34"/>
      <c r="F195" s="61" t="s">
        <v>320</v>
      </c>
      <c r="G195" s="35" t="e">
        <f>#REF!</f>
        <v>#REF!</v>
      </c>
      <c r="I195" s="71" t="e">
        <f t="shared" si="34"/>
        <v>#REF!</v>
      </c>
      <c r="J195" s="71" t="e">
        <f t="shared" si="34"/>
        <v>#REF!</v>
      </c>
      <c r="K195" s="71" t="e">
        <f t="shared" si="34"/>
        <v>#REF!</v>
      </c>
    </row>
    <row r="196" spans="1:11" ht="20.149999999999999" customHeight="1" x14ac:dyDescent="0.35">
      <c r="A196" s="1" t="e">
        <f t="shared" ref="A196" si="35">A195+1</f>
        <v>#REF!</v>
      </c>
      <c r="B196" s="34" t="s">
        <v>340</v>
      </c>
      <c r="C196" s="34" t="s">
        <v>341</v>
      </c>
      <c r="D196" s="34"/>
      <c r="E196" s="34"/>
      <c r="F196" s="61" t="s">
        <v>307</v>
      </c>
      <c r="G196" s="35" t="e">
        <f>#REF!</f>
        <v>#REF!</v>
      </c>
      <c r="I196" s="71" t="e">
        <f t="shared" si="34"/>
        <v>#REF!</v>
      </c>
      <c r="J196" s="71" t="e">
        <f t="shared" si="34"/>
        <v>#REF!</v>
      </c>
      <c r="K196" s="71" t="e">
        <f t="shared" si="34"/>
        <v>#REF!</v>
      </c>
    </row>
    <row r="197" spans="1:11" ht="20.149999999999999" customHeight="1" x14ac:dyDescent="0.35">
      <c r="A197" s="1">
        <f>A194+1</f>
        <v>2</v>
      </c>
      <c r="B197" s="34" t="s">
        <v>342</v>
      </c>
      <c r="C197" s="34" t="s">
        <v>343</v>
      </c>
      <c r="D197" s="34"/>
      <c r="E197" s="34"/>
      <c r="F197" s="61" t="s">
        <v>320</v>
      </c>
      <c r="G197" s="35" t="e">
        <f>#REF!</f>
        <v>#REF!</v>
      </c>
      <c r="I197" s="71" t="e">
        <f t="shared" si="34"/>
        <v>#REF!</v>
      </c>
      <c r="J197" s="71" t="e">
        <f t="shared" si="34"/>
        <v>#REF!</v>
      </c>
      <c r="K197" s="71" t="e">
        <f t="shared" si="34"/>
        <v>#REF!</v>
      </c>
    </row>
    <row r="198" spans="1:11" ht="20.149999999999999" customHeight="1" x14ac:dyDescent="0.35">
      <c r="A198" s="1">
        <f t="shared" ref="A198:A199" si="36">A197+1</f>
        <v>3</v>
      </c>
      <c r="B198" s="34"/>
      <c r="C198" s="34"/>
      <c r="D198" s="34"/>
      <c r="E198" s="34"/>
      <c r="F198" s="61"/>
      <c r="G198" s="35" t="e">
        <f>#REF!</f>
        <v>#REF!</v>
      </c>
      <c r="I198" s="71" t="e">
        <f t="shared" si="34"/>
        <v>#REF!</v>
      </c>
      <c r="J198" s="71" t="e">
        <f t="shared" si="34"/>
        <v>#REF!</v>
      </c>
      <c r="K198" s="71" t="e">
        <f t="shared" si="34"/>
        <v>#REF!</v>
      </c>
    </row>
    <row r="199" spans="1:11" ht="20.149999999999999" customHeight="1" x14ac:dyDescent="0.35">
      <c r="A199" s="1">
        <f t="shared" si="36"/>
        <v>4</v>
      </c>
      <c r="B199" s="34"/>
      <c r="C199" s="34"/>
      <c r="D199" s="34"/>
      <c r="E199" s="34"/>
      <c r="F199" s="61"/>
      <c r="G199" s="35" t="e">
        <f>#REF!</f>
        <v>#REF!</v>
      </c>
      <c r="I199" s="71" t="e">
        <f t="shared" si="34"/>
        <v>#REF!</v>
      </c>
      <c r="J199" s="71" t="e">
        <f t="shared" si="34"/>
        <v>#REF!</v>
      </c>
      <c r="K199" s="71" t="e">
        <f t="shared" si="34"/>
        <v>#REF!</v>
      </c>
    </row>
    <row r="200" spans="1:11" s="18" customFormat="1" ht="20.149999999999999" customHeight="1" x14ac:dyDescent="0.35">
      <c r="B200" s="38" t="s">
        <v>33</v>
      </c>
      <c r="C200" s="56"/>
      <c r="D200" s="56"/>
      <c r="E200" s="56"/>
      <c r="F200" s="57"/>
      <c r="G200" s="58" t="e">
        <f>#REF!</f>
        <v>#REF!</v>
      </c>
      <c r="H200" s="33"/>
      <c r="I200" s="71"/>
      <c r="J200" s="71"/>
      <c r="K200" s="71"/>
    </row>
    <row r="201" spans="1:11" ht="20.149999999999999" customHeight="1" x14ac:dyDescent="0.35">
      <c r="A201" s="1">
        <v>1</v>
      </c>
      <c r="B201" s="34" t="s">
        <v>344</v>
      </c>
      <c r="C201" s="34" t="s">
        <v>345</v>
      </c>
      <c r="D201" s="34"/>
      <c r="E201" s="34"/>
      <c r="F201" s="61" t="s">
        <v>346</v>
      </c>
      <c r="G201" s="35" t="e">
        <f>#REF!</f>
        <v>#REF!</v>
      </c>
      <c r="I201" s="71" t="e">
        <f t="shared" ref="I201:K206" si="37">ROUNDUP($G201*100/$G$6*I$11*$K$6,0)</f>
        <v>#REF!</v>
      </c>
      <c r="J201" s="71" t="e">
        <f t="shared" si="37"/>
        <v>#REF!</v>
      </c>
      <c r="K201" s="71" t="e">
        <f t="shared" si="37"/>
        <v>#REF!</v>
      </c>
    </row>
    <row r="202" spans="1:11" ht="20.149999999999999" customHeight="1" x14ac:dyDescent="0.35">
      <c r="A202" s="1" t="e">
        <f>#REF!+1</f>
        <v>#REF!</v>
      </c>
      <c r="B202" s="34" t="s">
        <v>347</v>
      </c>
      <c r="C202" s="34" t="s">
        <v>348</v>
      </c>
      <c r="D202" s="34"/>
      <c r="E202" s="34"/>
      <c r="F202" s="61" t="s">
        <v>346</v>
      </c>
      <c r="G202" s="35" t="e">
        <f>#REF!</f>
        <v>#REF!</v>
      </c>
      <c r="I202" s="71" t="e">
        <f t="shared" si="37"/>
        <v>#REF!</v>
      </c>
      <c r="J202" s="71" t="e">
        <f t="shared" si="37"/>
        <v>#REF!</v>
      </c>
      <c r="K202" s="71" t="e">
        <f t="shared" si="37"/>
        <v>#REF!</v>
      </c>
    </row>
    <row r="203" spans="1:11" ht="20.149999999999999" customHeight="1" x14ac:dyDescent="0.35">
      <c r="A203" s="1" t="e">
        <f t="shared" ref="A203:A204" si="38">A202+1</f>
        <v>#REF!</v>
      </c>
      <c r="B203" s="34" t="s">
        <v>349</v>
      </c>
      <c r="C203" s="34" t="s">
        <v>350</v>
      </c>
      <c r="D203" s="34"/>
      <c r="E203" s="34"/>
      <c r="F203" s="61" t="s">
        <v>346</v>
      </c>
      <c r="G203" s="35" t="e">
        <f>#REF!</f>
        <v>#REF!</v>
      </c>
      <c r="I203" s="71" t="e">
        <f t="shared" si="37"/>
        <v>#REF!</v>
      </c>
      <c r="J203" s="71" t="e">
        <f t="shared" si="37"/>
        <v>#REF!</v>
      </c>
      <c r="K203" s="71" t="e">
        <f t="shared" si="37"/>
        <v>#REF!</v>
      </c>
    </row>
    <row r="204" spans="1:11" ht="20.149999999999999" customHeight="1" x14ac:dyDescent="0.35">
      <c r="A204" s="1" t="e">
        <f t="shared" si="38"/>
        <v>#REF!</v>
      </c>
      <c r="B204" s="34" t="s">
        <v>351</v>
      </c>
      <c r="C204" s="34" t="s">
        <v>352</v>
      </c>
      <c r="D204" s="34"/>
      <c r="E204" s="34"/>
      <c r="F204" s="61" t="s">
        <v>346</v>
      </c>
      <c r="G204" s="35" t="e">
        <f>#REF!</f>
        <v>#REF!</v>
      </c>
      <c r="I204" s="71" t="e">
        <f t="shared" si="37"/>
        <v>#REF!</v>
      </c>
      <c r="J204" s="71" t="e">
        <f t="shared" si="37"/>
        <v>#REF!</v>
      </c>
      <c r="K204" s="71" t="e">
        <f t="shared" si="37"/>
        <v>#REF!</v>
      </c>
    </row>
    <row r="205" spans="1:11" ht="20.149999999999999" customHeight="1" x14ac:dyDescent="0.35">
      <c r="A205" s="1">
        <f>A201+1</f>
        <v>2</v>
      </c>
      <c r="B205" s="34"/>
      <c r="C205" s="34"/>
      <c r="D205" s="34"/>
      <c r="E205" s="34"/>
      <c r="F205" s="61"/>
      <c r="G205" s="35" t="e">
        <f>#REF!</f>
        <v>#REF!</v>
      </c>
      <c r="I205" s="71" t="e">
        <f t="shared" si="37"/>
        <v>#REF!</v>
      </c>
      <c r="J205" s="71" t="e">
        <f t="shared" si="37"/>
        <v>#REF!</v>
      </c>
      <c r="K205" s="71" t="e">
        <f t="shared" si="37"/>
        <v>#REF!</v>
      </c>
    </row>
    <row r="206" spans="1:11" ht="20.149999999999999" customHeight="1" x14ac:dyDescent="0.35">
      <c r="A206" s="1">
        <f t="shared" ref="A206" si="39">A205+1</f>
        <v>3</v>
      </c>
      <c r="B206" s="34"/>
      <c r="C206" s="34"/>
      <c r="D206" s="34"/>
      <c r="E206" s="34"/>
      <c r="F206" s="61"/>
      <c r="G206" s="35" t="e">
        <f>#REF!</f>
        <v>#REF!</v>
      </c>
      <c r="I206" s="71" t="e">
        <f t="shared" si="37"/>
        <v>#REF!</v>
      </c>
      <c r="J206" s="71" t="e">
        <f t="shared" si="37"/>
        <v>#REF!</v>
      </c>
      <c r="K206" s="71" t="e">
        <f t="shared" si="37"/>
        <v>#REF!</v>
      </c>
    </row>
    <row r="207" spans="1:11" s="18" customFormat="1" ht="20.149999999999999" customHeight="1" x14ac:dyDescent="0.35">
      <c r="B207" s="38" t="s">
        <v>34</v>
      </c>
      <c r="C207" s="56"/>
      <c r="D207" s="56"/>
      <c r="E207" s="56"/>
      <c r="F207" s="57"/>
      <c r="G207" s="58" t="e">
        <f>#REF!</f>
        <v>#REF!</v>
      </c>
      <c r="H207" s="33"/>
      <c r="I207" s="71"/>
      <c r="J207" s="71"/>
      <c r="K207" s="71"/>
    </row>
    <row r="208" spans="1:11" ht="20.149999999999999" hidden="1" customHeight="1" x14ac:dyDescent="0.35">
      <c r="A208" s="1">
        <v>1</v>
      </c>
      <c r="B208" s="34"/>
      <c r="C208" s="34"/>
      <c r="D208" s="34"/>
      <c r="E208" s="34"/>
      <c r="F208" s="61"/>
      <c r="G208" s="35" t="e">
        <f>#REF!</f>
        <v>#REF!</v>
      </c>
      <c r="I208" s="71" t="e">
        <f t="shared" ref="I208:K224" si="40">$G208*100/$G$6*I$11*$K$6</f>
        <v>#REF!</v>
      </c>
      <c r="J208" s="71" t="e">
        <f t="shared" si="40"/>
        <v>#REF!</v>
      </c>
      <c r="K208" s="71" t="e">
        <f t="shared" si="40"/>
        <v>#REF!</v>
      </c>
    </row>
    <row r="209" spans="1:11" ht="20.149999999999999" hidden="1" customHeight="1" x14ac:dyDescent="0.35">
      <c r="A209" s="1">
        <f>A200+1</f>
        <v>1</v>
      </c>
      <c r="B209" s="34"/>
      <c r="C209" s="34"/>
      <c r="D209" s="34"/>
      <c r="E209" s="34"/>
      <c r="F209" s="61"/>
      <c r="G209" s="35" t="e">
        <f>#REF!</f>
        <v>#REF!</v>
      </c>
      <c r="I209" s="71" t="e">
        <f t="shared" si="40"/>
        <v>#REF!</v>
      </c>
      <c r="J209" s="71" t="e">
        <f t="shared" si="40"/>
        <v>#REF!</v>
      </c>
      <c r="K209" s="71" t="e">
        <f t="shared" si="40"/>
        <v>#REF!</v>
      </c>
    </row>
    <row r="210" spans="1:11" ht="20.149999999999999" hidden="1" customHeight="1" x14ac:dyDescent="0.35">
      <c r="A210" s="1">
        <f t="shared" ref="A210:A211" si="41">A209+1</f>
        <v>2</v>
      </c>
      <c r="B210" s="34"/>
      <c r="C210" s="34"/>
      <c r="D210" s="34"/>
      <c r="E210" s="34"/>
      <c r="F210" s="61"/>
      <c r="G210" s="35" t="e">
        <f>#REF!</f>
        <v>#REF!</v>
      </c>
      <c r="I210" s="71" t="e">
        <f t="shared" si="40"/>
        <v>#REF!</v>
      </c>
      <c r="J210" s="71" t="e">
        <f t="shared" si="40"/>
        <v>#REF!</v>
      </c>
      <c r="K210" s="71" t="e">
        <f t="shared" si="40"/>
        <v>#REF!</v>
      </c>
    </row>
    <row r="211" spans="1:11" ht="20.149999999999999" hidden="1" customHeight="1" x14ac:dyDescent="0.35">
      <c r="A211" s="1">
        <f t="shared" si="41"/>
        <v>3</v>
      </c>
      <c r="B211" s="34"/>
      <c r="C211" s="34"/>
      <c r="D211" s="34"/>
      <c r="E211" s="34"/>
      <c r="F211" s="61"/>
      <c r="G211" s="35" t="e">
        <f>#REF!</f>
        <v>#REF!</v>
      </c>
      <c r="I211" s="71" t="e">
        <f t="shared" si="40"/>
        <v>#REF!</v>
      </c>
      <c r="J211" s="71" t="e">
        <f t="shared" si="40"/>
        <v>#REF!</v>
      </c>
      <c r="K211" s="71" t="e">
        <f t="shared" si="40"/>
        <v>#REF!</v>
      </c>
    </row>
    <row r="212" spans="1:11" ht="20.149999999999999" hidden="1" customHeight="1" x14ac:dyDescent="0.35">
      <c r="A212" s="1" t="e">
        <f>A203+1</f>
        <v>#REF!</v>
      </c>
      <c r="B212" s="34"/>
      <c r="C212" s="34"/>
      <c r="D212" s="34"/>
      <c r="E212" s="34"/>
      <c r="F212" s="61"/>
      <c r="G212" s="35" t="e">
        <f>#REF!</f>
        <v>#REF!</v>
      </c>
      <c r="I212" s="71" t="e">
        <f t="shared" si="40"/>
        <v>#REF!</v>
      </c>
      <c r="J212" s="71" t="e">
        <f t="shared" si="40"/>
        <v>#REF!</v>
      </c>
      <c r="K212" s="71" t="e">
        <f t="shared" si="40"/>
        <v>#REF!</v>
      </c>
    </row>
    <row r="213" spans="1:11" ht="20.149999999999999" hidden="1" customHeight="1" x14ac:dyDescent="0.35">
      <c r="A213" s="1" t="e">
        <f t="shared" ref="A213:A214" si="42">A212+1</f>
        <v>#REF!</v>
      </c>
      <c r="B213" s="34"/>
      <c r="C213" s="34"/>
      <c r="D213" s="34"/>
      <c r="E213" s="34"/>
      <c r="F213" s="61"/>
      <c r="G213" s="35" t="e">
        <f>#REF!</f>
        <v>#REF!</v>
      </c>
      <c r="I213" s="71" t="e">
        <f t="shared" si="40"/>
        <v>#REF!</v>
      </c>
      <c r="J213" s="71" t="e">
        <f t="shared" si="40"/>
        <v>#REF!</v>
      </c>
      <c r="K213" s="71" t="e">
        <f t="shared" si="40"/>
        <v>#REF!</v>
      </c>
    </row>
    <row r="214" spans="1:11" ht="20.149999999999999" hidden="1" customHeight="1" x14ac:dyDescent="0.35">
      <c r="A214" s="1" t="e">
        <f t="shared" si="42"/>
        <v>#REF!</v>
      </c>
      <c r="B214" s="34"/>
      <c r="C214" s="34"/>
      <c r="D214" s="34"/>
      <c r="E214" s="34"/>
      <c r="F214" s="61"/>
      <c r="G214" s="35" t="e">
        <f>#REF!</f>
        <v>#REF!</v>
      </c>
      <c r="I214" s="71" t="e">
        <f t="shared" si="40"/>
        <v>#REF!</v>
      </c>
      <c r="J214" s="71" t="e">
        <f t="shared" si="40"/>
        <v>#REF!</v>
      </c>
      <c r="K214" s="71" t="e">
        <f t="shared" si="40"/>
        <v>#REF!</v>
      </c>
    </row>
    <row r="215" spans="1:11" ht="20.149999999999999" hidden="1" customHeight="1" x14ac:dyDescent="0.35">
      <c r="A215" s="1" t="e">
        <f>A213+1</f>
        <v>#REF!</v>
      </c>
      <c r="B215" s="34"/>
      <c r="C215" s="34"/>
      <c r="D215" s="34"/>
      <c r="E215" s="34"/>
      <c r="F215" s="61"/>
      <c r="G215" s="35" t="e">
        <f>#REF!</f>
        <v>#REF!</v>
      </c>
      <c r="I215" s="71" t="e">
        <f t="shared" si="40"/>
        <v>#REF!</v>
      </c>
      <c r="J215" s="71" t="e">
        <f t="shared" si="40"/>
        <v>#REF!</v>
      </c>
      <c r="K215" s="71" t="e">
        <f t="shared" si="40"/>
        <v>#REF!</v>
      </c>
    </row>
    <row r="216" spans="1:11" ht="20.149999999999999" hidden="1" customHeight="1" x14ac:dyDescent="0.35">
      <c r="A216" s="1" t="e">
        <f>A214+1</f>
        <v>#REF!</v>
      </c>
      <c r="B216" s="34"/>
      <c r="C216" s="34"/>
      <c r="D216" s="34"/>
      <c r="E216" s="34"/>
      <c r="F216" s="61"/>
      <c r="G216" s="35" t="e">
        <f>#REF!</f>
        <v>#REF!</v>
      </c>
      <c r="I216" s="71" t="e">
        <f t="shared" si="40"/>
        <v>#REF!</v>
      </c>
      <c r="J216" s="71" t="e">
        <f t="shared" si="40"/>
        <v>#REF!</v>
      </c>
      <c r="K216" s="71" t="e">
        <f t="shared" si="40"/>
        <v>#REF!</v>
      </c>
    </row>
    <row r="217" spans="1:11" ht="20.149999999999999" hidden="1" customHeight="1" x14ac:dyDescent="0.35">
      <c r="A217" s="1" t="e">
        <f>#REF!+1</f>
        <v>#REF!</v>
      </c>
      <c r="B217" s="34"/>
      <c r="C217" s="34"/>
      <c r="D217" s="34"/>
      <c r="E217" s="34"/>
      <c r="F217" s="61"/>
      <c r="G217" s="35" t="e">
        <f>#REF!</f>
        <v>#REF!</v>
      </c>
      <c r="I217" s="71" t="e">
        <f t="shared" si="40"/>
        <v>#REF!</v>
      </c>
      <c r="J217" s="71" t="e">
        <f t="shared" si="40"/>
        <v>#REF!</v>
      </c>
      <c r="K217" s="71" t="e">
        <f t="shared" si="40"/>
        <v>#REF!</v>
      </c>
    </row>
    <row r="218" spans="1:11" ht="20.149999999999999" hidden="1" customHeight="1" x14ac:dyDescent="0.35">
      <c r="A218" s="1" t="e">
        <f t="shared" ref="A218:A219" si="43">A217+1</f>
        <v>#REF!</v>
      </c>
      <c r="B218" s="34"/>
      <c r="C218" s="34"/>
      <c r="D218" s="34"/>
      <c r="E218" s="34"/>
      <c r="F218" s="61"/>
      <c r="G218" s="35" t="e">
        <f>#REF!</f>
        <v>#REF!</v>
      </c>
      <c r="I218" s="71" t="e">
        <f t="shared" si="40"/>
        <v>#REF!</v>
      </c>
      <c r="J218" s="71" t="e">
        <f t="shared" si="40"/>
        <v>#REF!</v>
      </c>
      <c r="K218" s="71" t="e">
        <f t="shared" si="40"/>
        <v>#REF!</v>
      </c>
    </row>
    <row r="219" spans="1:11" ht="20.149999999999999" hidden="1" customHeight="1" x14ac:dyDescent="0.35">
      <c r="A219" s="1" t="e">
        <f t="shared" si="43"/>
        <v>#REF!</v>
      </c>
      <c r="B219" s="34"/>
      <c r="C219" s="34"/>
      <c r="D219" s="34"/>
      <c r="E219" s="34"/>
      <c r="F219" s="61"/>
      <c r="G219" s="35" t="e">
        <f>#REF!</f>
        <v>#REF!</v>
      </c>
      <c r="I219" s="71" t="e">
        <f t="shared" si="40"/>
        <v>#REF!</v>
      </c>
      <c r="J219" s="71" t="e">
        <f t="shared" si="40"/>
        <v>#REF!</v>
      </c>
      <c r="K219" s="71" t="e">
        <f t="shared" si="40"/>
        <v>#REF!</v>
      </c>
    </row>
    <row r="220" spans="1:11" ht="20.149999999999999" hidden="1" customHeight="1" x14ac:dyDescent="0.35">
      <c r="A220" s="1">
        <f>A208+1</f>
        <v>2</v>
      </c>
      <c r="B220" s="34"/>
      <c r="C220" s="34"/>
      <c r="D220" s="34"/>
      <c r="E220" s="34"/>
      <c r="F220" s="61"/>
      <c r="G220" s="35" t="e">
        <f>#REF!</f>
        <v>#REF!</v>
      </c>
      <c r="I220" s="71" t="e">
        <f t="shared" si="40"/>
        <v>#REF!</v>
      </c>
      <c r="J220" s="71" t="e">
        <f t="shared" si="40"/>
        <v>#REF!</v>
      </c>
      <c r="K220" s="71" t="e">
        <f t="shared" si="40"/>
        <v>#REF!</v>
      </c>
    </row>
    <row r="221" spans="1:11" ht="20.149999999999999" hidden="1" customHeight="1" x14ac:dyDescent="0.35">
      <c r="A221" s="1">
        <f t="shared" ref="A221:A222" si="44">A220+1</f>
        <v>3</v>
      </c>
      <c r="B221" s="34"/>
      <c r="C221" s="34"/>
      <c r="D221" s="34"/>
      <c r="E221" s="34"/>
      <c r="F221" s="61"/>
      <c r="G221" s="35" t="e">
        <f>#REF!</f>
        <v>#REF!</v>
      </c>
      <c r="I221" s="71" t="e">
        <f t="shared" si="40"/>
        <v>#REF!</v>
      </c>
      <c r="J221" s="71" t="e">
        <f t="shared" si="40"/>
        <v>#REF!</v>
      </c>
      <c r="K221" s="71" t="e">
        <f t="shared" si="40"/>
        <v>#REF!</v>
      </c>
    </row>
    <row r="222" spans="1:11" ht="20.149999999999999" hidden="1" customHeight="1" x14ac:dyDescent="0.35">
      <c r="A222" s="1">
        <f t="shared" si="44"/>
        <v>4</v>
      </c>
      <c r="B222" s="34"/>
      <c r="C222" s="34"/>
      <c r="D222" s="34"/>
      <c r="E222" s="34"/>
      <c r="F222" s="61"/>
      <c r="G222" s="35" t="e">
        <f>#REF!</f>
        <v>#REF!</v>
      </c>
      <c r="I222" s="71" t="e">
        <f t="shared" si="40"/>
        <v>#REF!</v>
      </c>
      <c r="J222" s="71" t="e">
        <f t="shared" si="40"/>
        <v>#REF!</v>
      </c>
      <c r="K222" s="71" t="e">
        <f t="shared" si="40"/>
        <v>#REF!</v>
      </c>
    </row>
    <row r="223" spans="1:11" ht="20.149999999999999" hidden="1" customHeight="1" x14ac:dyDescent="0.35">
      <c r="A223" s="1">
        <f>A221+1</f>
        <v>4</v>
      </c>
      <c r="B223" s="34"/>
      <c r="C223" s="34"/>
      <c r="D223" s="34"/>
      <c r="E223" s="34"/>
      <c r="F223" s="61"/>
      <c r="G223" s="35" t="e">
        <f>#REF!</f>
        <v>#REF!</v>
      </c>
      <c r="I223" s="71" t="e">
        <f t="shared" si="40"/>
        <v>#REF!</v>
      </c>
      <c r="J223" s="71" t="e">
        <f t="shared" si="40"/>
        <v>#REF!</v>
      </c>
      <c r="K223" s="71" t="e">
        <f t="shared" si="40"/>
        <v>#REF!</v>
      </c>
    </row>
    <row r="224" spans="1:11" ht="20.149999999999999" hidden="1" customHeight="1" x14ac:dyDescent="0.35">
      <c r="A224" s="1">
        <f>A222+1</f>
        <v>5</v>
      </c>
      <c r="B224" s="34"/>
      <c r="C224" s="34"/>
      <c r="D224" s="34"/>
      <c r="E224" s="34"/>
      <c r="F224" s="61"/>
      <c r="G224" s="35" t="e">
        <f>#REF!</f>
        <v>#REF!</v>
      </c>
      <c r="I224" s="71" t="e">
        <f t="shared" si="40"/>
        <v>#REF!</v>
      </c>
      <c r="J224" s="71" t="e">
        <f t="shared" si="40"/>
        <v>#REF!</v>
      </c>
      <c r="K224" s="71" t="e">
        <f t="shared" si="40"/>
        <v>#REF!</v>
      </c>
    </row>
    <row r="225" spans="1:11" s="18" customFormat="1" ht="20.149999999999999" customHeight="1" x14ac:dyDescent="0.35">
      <c r="B225" s="52" t="s">
        <v>35</v>
      </c>
      <c r="C225" s="53"/>
      <c r="D225" s="53"/>
      <c r="E225" s="53"/>
      <c r="F225" s="54"/>
      <c r="G225" s="55" t="e">
        <f>#REF!</f>
        <v>#REF!</v>
      </c>
      <c r="H225" s="33"/>
      <c r="I225" s="20"/>
      <c r="J225" s="20"/>
      <c r="K225" s="20"/>
    </row>
    <row r="226" spans="1:11" ht="20.149999999999999" customHeight="1" x14ac:dyDescent="0.35">
      <c r="A226" s="1">
        <f>A222+1</f>
        <v>5</v>
      </c>
      <c r="B226" s="34" t="s">
        <v>335</v>
      </c>
      <c r="C226" s="34" t="s">
        <v>336</v>
      </c>
      <c r="D226" s="34"/>
      <c r="E226" s="34"/>
      <c r="F226" s="61" t="s">
        <v>337</v>
      </c>
      <c r="G226" s="35" t="e">
        <f>#REF!</f>
        <v>#REF!</v>
      </c>
      <c r="I226" s="71" t="e">
        <f t="shared" ref="I226:K228" si="45">ROUNDUP($G226*100/$G$6*I$11*$K$6,0)</f>
        <v>#REF!</v>
      </c>
      <c r="J226" s="71" t="e">
        <f t="shared" si="45"/>
        <v>#REF!</v>
      </c>
      <c r="K226" s="71" t="e">
        <f t="shared" si="45"/>
        <v>#REF!</v>
      </c>
    </row>
    <row r="227" spans="1:11" ht="20.149999999999999" customHeight="1" x14ac:dyDescent="0.35">
      <c r="A227" s="1">
        <f>A226+1</f>
        <v>6</v>
      </c>
      <c r="B227" s="34"/>
      <c r="C227" s="34"/>
      <c r="D227" s="34"/>
      <c r="E227" s="34"/>
      <c r="F227" s="61"/>
      <c r="G227" s="35" t="e">
        <f>#REF!</f>
        <v>#REF!</v>
      </c>
      <c r="I227" s="71" t="e">
        <f t="shared" si="45"/>
        <v>#REF!</v>
      </c>
      <c r="J227" s="71" t="e">
        <f t="shared" si="45"/>
        <v>#REF!</v>
      </c>
      <c r="K227" s="71" t="e">
        <f t="shared" si="45"/>
        <v>#REF!</v>
      </c>
    </row>
    <row r="228" spans="1:11" ht="20.149999999999999" customHeight="1" x14ac:dyDescent="0.35">
      <c r="B228" s="36"/>
      <c r="C228" s="36"/>
      <c r="D228" s="36"/>
      <c r="E228" s="36"/>
      <c r="F228" s="62"/>
      <c r="G228" s="37" t="e">
        <f>#REF!</f>
        <v>#REF!</v>
      </c>
      <c r="I228" s="75" t="e">
        <f t="shared" si="45"/>
        <v>#REF!</v>
      </c>
      <c r="J228" s="75" t="e">
        <f t="shared" si="45"/>
        <v>#REF!</v>
      </c>
      <c r="K228" s="75" t="e">
        <f t="shared" si="45"/>
        <v>#REF!</v>
      </c>
    </row>
    <row r="229" spans="1:11" ht="4.9000000000000004" customHeight="1" x14ac:dyDescent="0.35"/>
  </sheetData>
  <mergeCells count="7">
    <mergeCell ref="I6:J6"/>
    <mergeCell ref="D8:D9"/>
    <mergeCell ref="G8:G9"/>
    <mergeCell ref="B8:B9"/>
    <mergeCell ref="C8:C9"/>
    <mergeCell ref="E8:E9"/>
    <mergeCell ref="F8:F9"/>
  </mergeCells>
  <conditionalFormatting sqref="B13">
    <cfRule type="duplicateValues" dxfId="153" priority="170"/>
  </conditionalFormatting>
  <conditionalFormatting sqref="B15">
    <cfRule type="duplicateValues" dxfId="152" priority="259"/>
  </conditionalFormatting>
  <conditionalFormatting sqref="B20">
    <cfRule type="duplicateValues" dxfId="151" priority="769"/>
  </conditionalFormatting>
  <conditionalFormatting sqref="B23">
    <cfRule type="duplicateValues" dxfId="150" priority="203"/>
  </conditionalFormatting>
  <conditionalFormatting sqref="B24">
    <cfRule type="duplicateValues" dxfId="149" priority="261"/>
  </conditionalFormatting>
  <conditionalFormatting sqref="B25">
    <cfRule type="duplicateValues" dxfId="148" priority="263"/>
  </conditionalFormatting>
  <conditionalFormatting sqref="B26">
    <cfRule type="duplicateValues" dxfId="147" priority="265"/>
  </conditionalFormatting>
  <conditionalFormatting sqref="B27">
    <cfRule type="duplicateValues" dxfId="146" priority="255"/>
    <cfRule type="duplicateValues" dxfId="145" priority="257"/>
  </conditionalFormatting>
  <conditionalFormatting sqref="B28:B29">
    <cfRule type="duplicateValues" dxfId="144" priority="113"/>
    <cfRule type="duplicateValues" dxfId="143" priority="114"/>
  </conditionalFormatting>
  <conditionalFormatting sqref="B32">
    <cfRule type="duplicateValues" dxfId="142" priority="253"/>
  </conditionalFormatting>
  <conditionalFormatting sqref="B41">
    <cfRule type="duplicateValues" dxfId="141" priority="252"/>
  </conditionalFormatting>
  <conditionalFormatting sqref="B42 B30:B31 B33:B40">
    <cfRule type="duplicateValues" dxfId="140" priority="269"/>
  </conditionalFormatting>
  <conditionalFormatting sqref="B43:B46">
    <cfRule type="duplicateValues" dxfId="139" priority="92"/>
  </conditionalFormatting>
  <conditionalFormatting sqref="B47:B50">
    <cfRule type="duplicateValues" dxfId="138" priority="90"/>
    <cfRule type="duplicateValues" dxfId="137" priority="91"/>
  </conditionalFormatting>
  <conditionalFormatting sqref="B51:B54">
    <cfRule type="duplicateValues" dxfId="136" priority="97"/>
  </conditionalFormatting>
  <conditionalFormatting sqref="B55:B56">
    <cfRule type="duplicateValues" dxfId="135" priority="95"/>
    <cfRule type="duplicateValues" dxfId="134" priority="96"/>
  </conditionalFormatting>
  <conditionalFormatting sqref="B57:B60">
    <cfRule type="duplicateValues" dxfId="133" priority="102"/>
  </conditionalFormatting>
  <conditionalFormatting sqref="B61:B64">
    <cfRule type="duplicateValues" dxfId="132" priority="100"/>
    <cfRule type="duplicateValues" dxfId="131" priority="101"/>
  </conditionalFormatting>
  <conditionalFormatting sqref="B65:B68">
    <cfRule type="duplicateValues" dxfId="130" priority="107"/>
  </conditionalFormatting>
  <conditionalFormatting sqref="B69:B72">
    <cfRule type="duplicateValues" dxfId="129" priority="105"/>
    <cfRule type="duplicateValues" dxfId="128" priority="106"/>
  </conditionalFormatting>
  <conditionalFormatting sqref="B73:B76">
    <cfRule type="duplicateValues" dxfId="127" priority="110"/>
  </conditionalFormatting>
  <conditionalFormatting sqref="B77">
    <cfRule type="duplicateValues" dxfId="126" priority="270"/>
  </conditionalFormatting>
  <conditionalFormatting sqref="B78">
    <cfRule type="duplicateValues" dxfId="125" priority="250"/>
  </conditionalFormatting>
  <conditionalFormatting sqref="B81">
    <cfRule type="duplicateValues" dxfId="124" priority="118"/>
  </conditionalFormatting>
  <conditionalFormatting sqref="B82">
    <cfRule type="duplicateValues" dxfId="123" priority="116"/>
  </conditionalFormatting>
  <conditionalFormatting sqref="B83 B80">
    <cfRule type="duplicateValues" dxfId="122" priority="120"/>
  </conditionalFormatting>
  <conditionalFormatting sqref="B85">
    <cfRule type="duplicateValues" dxfId="121" priority="249"/>
  </conditionalFormatting>
  <conditionalFormatting sqref="B86">
    <cfRule type="duplicateValues" dxfId="120" priority="247"/>
  </conditionalFormatting>
  <conditionalFormatting sqref="B88">
    <cfRule type="duplicateValues" dxfId="119" priority="87"/>
  </conditionalFormatting>
  <conditionalFormatting sqref="B90">
    <cfRule type="duplicateValues" dxfId="118" priority="121"/>
  </conditionalFormatting>
  <conditionalFormatting sqref="B93">
    <cfRule type="duplicateValues" dxfId="117" priority="245"/>
  </conditionalFormatting>
  <conditionalFormatting sqref="B95">
    <cfRule type="duplicateValues" dxfId="116" priority="193"/>
  </conditionalFormatting>
  <conditionalFormatting sqref="B96">
    <cfRule type="duplicateValues" dxfId="115" priority="195"/>
  </conditionalFormatting>
  <conditionalFormatting sqref="B97">
    <cfRule type="duplicateValues" dxfId="114" priority="242"/>
  </conditionalFormatting>
  <conditionalFormatting sqref="B98">
    <cfRule type="duplicateValues" dxfId="113" priority="240"/>
    <cfRule type="duplicateValues" dxfId="112" priority="241"/>
  </conditionalFormatting>
  <conditionalFormatting sqref="B99:B100">
    <cfRule type="duplicateValues" dxfId="111" priority="238"/>
    <cfRule type="duplicateValues" dxfId="110" priority="272"/>
  </conditionalFormatting>
  <conditionalFormatting sqref="B101">
    <cfRule type="duplicateValues" dxfId="109" priority="232"/>
    <cfRule type="duplicateValues" dxfId="108" priority="233"/>
  </conditionalFormatting>
  <conditionalFormatting sqref="B102">
    <cfRule type="duplicateValues" dxfId="107" priority="235"/>
    <cfRule type="duplicateValues" dxfId="106" priority="236"/>
  </conditionalFormatting>
  <conditionalFormatting sqref="B103">
    <cfRule type="duplicateValues" dxfId="105" priority="198"/>
  </conditionalFormatting>
  <conditionalFormatting sqref="B104">
    <cfRule type="duplicateValues" dxfId="104" priority="79"/>
  </conditionalFormatting>
  <conditionalFormatting sqref="B105">
    <cfRule type="duplicateValues" dxfId="103" priority="201"/>
  </conditionalFormatting>
  <conditionalFormatting sqref="B106 B152">
    <cfRule type="duplicateValues" dxfId="102" priority="230"/>
  </conditionalFormatting>
  <conditionalFormatting sqref="B106 B155:B157 B152">
    <cfRule type="duplicateValues" dxfId="101" priority="229"/>
  </conditionalFormatting>
  <conditionalFormatting sqref="B107">
    <cfRule type="duplicateValues" dxfId="100" priority="44"/>
  </conditionalFormatting>
  <conditionalFormatting sqref="B108">
    <cfRule type="duplicateValues" dxfId="99" priority="36"/>
    <cfRule type="duplicateValues" dxfId="98" priority="37"/>
  </conditionalFormatting>
  <conditionalFormatting sqref="B109">
    <cfRule type="duplicateValues" dxfId="97" priority="39"/>
    <cfRule type="duplicateValues" dxfId="96" priority="40"/>
  </conditionalFormatting>
  <conditionalFormatting sqref="B110:B112 B107">
    <cfRule type="duplicateValues" dxfId="95" priority="43"/>
  </conditionalFormatting>
  <conditionalFormatting sqref="B113">
    <cfRule type="duplicateValues" dxfId="94" priority="33"/>
    <cfRule type="duplicateValues" dxfId="93" priority="34"/>
  </conditionalFormatting>
  <conditionalFormatting sqref="B114:B121">
    <cfRule type="duplicateValues" dxfId="92" priority="31"/>
    <cfRule type="duplicateValues" dxfId="91" priority="46"/>
  </conditionalFormatting>
  <conditionalFormatting sqref="B122">
    <cfRule type="duplicateValues" dxfId="90" priority="60"/>
  </conditionalFormatting>
  <conditionalFormatting sqref="B123">
    <cfRule type="duplicateValues" dxfId="89" priority="52"/>
    <cfRule type="duplicateValues" dxfId="88" priority="53"/>
  </conditionalFormatting>
  <conditionalFormatting sqref="B124">
    <cfRule type="duplicateValues" dxfId="87" priority="55"/>
    <cfRule type="duplicateValues" dxfId="86" priority="56"/>
  </conditionalFormatting>
  <conditionalFormatting sqref="B125:B127 B122">
    <cfRule type="duplicateValues" dxfId="85" priority="59"/>
  </conditionalFormatting>
  <conditionalFormatting sqref="B128">
    <cfRule type="duplicateValues" dxfId="84" priority="49"/>
    <cfRule type="duplicateValues" dxfId="83" priority="50"/>
  </conditionalFormatting>
  <conditionalFormatting sqref="B129:B136">
    <cfRule type="duplicateValues" dxfId="82" priority="47"/>
    <cfRule type="duplicateValues" dxfId="81" priority="62"/>
  </conditionalFormatting>
  <conditionalFormatting sqref="B137">
    <cfRule type="duplicateValues" dxfId="80" priority="76"/>
  </conditionalFormatting>
  <conditionalFormatting sqref="B138">
    <cfRule type="duplicateValues" dxfId="79" priority="68"/>
    <cfRule type="duplicateValues" dxfId="78" priority="69"/>
  </conditionalFormatting>
  <conditionalFormatting sqref="B139">
    <cfRule type="duplicateValues" dxfId="77" priority="71"/>
    <cfRule type="duplicateValues" dxfId="76" priority="72"/>
  </conditionalFormatting>
  <conditionalFormatting sqref="B140:B142 B137">
    <cfRule type="duplicateValues" dxfId="75" priority="75"/>
  </conditionalFormatting>
  <conditionalFormatting sqref="B143">
    <cfRule type="duplicateValues" dxfId="74" priority="65"/>
    <cfRule type="duplicateValues" dxfId="73" priority="66"/>
  </conditionalFormatting>
  <conditionalFormatting sqref="B144:B151">
    <cfRule type="duplicateValues" dxfId="72" priority="63"/>
    <cfRule type="duplicateValues" dxfId="71" priority="78"/>
  </conditionalFormatting>
  <conditionalFormatting sqref="B153">
    <cfRule type="duplicateValues" dxfId="70" priority="222"/>
    <cfRule type="duplicateValues" dxfId="69" priority="223"/>
  </conditionalFormatting>
  <conditionalFormatting sqref="B154">
    <cfRule type="duplicateValues" dxfId="68" priority="225"/>
    <cfRule type="duplicateValues" dxfId="67" priority="226"/>
  </conditionalFormatting>
  <conditionalFormatting sqref="B158">
    <cfRule type="duplicateValues" dxfId="66" priority="219"/>
    <cfRule type="duplicateValues" dxfId="65" priority="220"/>
  </conditionalFormatting>
  <conditionalFormatting sqref="B159:B161">
    <cfRule type="duplicateValues" dxfId="64" priority="273"/>
  </conditionalFormatting>
  <conditionalFormatting sqref="B162">
    <cfRule type="duplicateValues" dxfId="63" priority="199"/>
  </conditionalFormatting>
  <conditionalFormatting sqref="B163">
    <cfRule type="duplicateValues" dxfId="62" priority="213"/>
    <cfRule type="duplicateValues" dxfId="61" priority="214"/>
  </conditionalFormatting>
  <conditionalFormatting sqref="B164:B165 B159:B161 B168">
    <cfRule type="duplicateValues" dxfId="60" priority="217"/>
  </conditionalFormatting>
  <conditionalFormatting sqref="B166">
    <cfRule type="duplicateValues" dxfId="59" priority="28"/>
  </conditionalFormatting>
  <conditionalFormatting sqref="B167">
    <cfRule type="duplicateValues" dxfId="58" priority="30"/>
  </conditionalFormatting>
  <conditionalFormatting sqref="B169 B33:B40 B30:B31 B16:B19 B42 B79 B87 B94 B24:B26 B91:B92 B84 B89 B21:B22">
    <cfRule type="duplicateValues" dxfId="57" priority="268"/>
  </conditionalFormatting>
  <conditionalFormatting sqref="B170">
    <cfRule type="duplicateValues" dxfId="56" priority="24"/>
  </conditionalFormatting>
  <conditionalFormatting sqref="B171">
    <cfRule type="duplicateValues" dxfId="55" priority="26"/>
  </conditionalFormatting>
  <conditionalFormatting sqref="B172">
    <cfRule type="duplicateValues" dxfId="54" priority="167"/>
  </conditionalFormatting>
  <conditionalFormatting sqref="B174">
    <cfRule type="duplicateValues" dxfId="53" priority="210"/>
  </conditionalFormatting>
  <conditionalFormatting sqref="B175">
    <cfRule type="duplicateValues" dxfId="52" priority="209"/>
  </conditionalFormatting>
  <conditionalFormatting sqref="B176">
    <cfRule type="duplicateValues" dxfId="51" priority="22"/>
  </conditionalFormatting>
  <conditionalFormatting sqref="B177:B182">
    <cfRule type="duplicateValues" dxfId="50" priority="20"/>
  </conditionalFormatting>
  <conditionalFormatting sqref="B183">
    <cfRule type="duplicateValues" dxfId="49" priority="188"/>
  </conditionalFormatting>
  <conditionalFormatting sqref="B184">
    <cfRule type="duplicateValues" dxfId="48" priority="183"/>
  </conditionalFormatting>
  <conditionalFormatting sqref="B185:B186">
    <cfRule type="duplicateValues" dxfId="47" priority="165"/>
  </conditionalFormatting>
  <conditionalFormatting sqref="B187">
    <cfRule type="duplicateValues" dxfId="46" priority="163"/>
  </conditionalFormatting>
  <conditionalFormatting sqref="B188:B189">
    <cfRule type="duplicateValues" dxfId="45" priority="191"/>
  </conditionalFormatting>
  <conditionalFormatting sqref="B190">
    <cfRule type="duplicateValues" dxfId="44" priority="187"/>
  </conditionalFormatting>
  <conditionalFormatting sqref="B191">
    <cfRule type="duplicateValues" dxfId="43" priority="161"/>
  </conditionalFormatting>
  <conditionalFormatting sqref="B192">
    <cfRule type="duplicateValues" dxfId="42" priority="185"/>
  </conditionalFormatting>
  <conditionalFormatting sqref="B193">
    <cfRule type="duplicateValues" dxfId="41" priority="156"/>
  </conditionalFormatting>
  <conditionalFormatting sqref="B194">
    <cfRule type="duplicateValues" dxfId="40" priority="153"/>
  </conditionalFormatting>
  <conditionalFormatting sqref="B195">
    <cfRule type="duplicateValues" dxfId="39" priority="274"/>
  </conditionalFormatting>
  <conditionalFormatting sqref="B196">
    <cfRule type="duplicateValues" dxfId="38" priority="151"/>
  </conditionalFormatting>
  <conditionalFormatting sqref="B197:B198">
    <cfRule type="duplicateValues" dxfId="37" priority="159"/>
  </conditionalFormatting>
  <conditionalFormatting sqref="B199">
    <cfRule type="duplicateValues" dxfId="36" priority="155"/>
  </conditionalFormatting>
  <conditionalFormatting sqref="B200">
    <cfRule type="duplicateValues" dxfId="35" priority="146"/>
  </conditionalFormatting>
  <conditionalFormatting sqref="B201">
    <cfRule type="duplicateValues" dxfId="34" priority="145"/>
  </conditionalFormatting>
  <conditionalFormatting sqref="B202:B203">
    <cfRule type="duplicateValues" dxfId="33" priority="143"/>
  </conditionalFormatting>
  <conditionalFormatting sqref="B204">
    <cfRule type="duplicateValues" dxfId="32" priority="141"/>
  </conditionalFormatting>
  <conditionalFormatting sqref="B205:B206">
    <cfRule type="duplicateValues" dxfId="31" priority="149"/>
  </conditionalFormatting>
  <conditionalFormatting sqref="B207">
    <cfRule type="duplicateValues" dxfId="30" priority="178"/>
  </conditionalFormatting>
  <conditionalFormatting sqref="B208">
    <cfRule type="duplicateValues" dxfId="29" priority="173"/>
  </conditionalFormatting>
  <conditionalFormatting sqref="B209:B210">
    <cfRule type="duplicateValues" dxfId="28" priority="129"/>
  </conditionalFormatting>
  <conditionalFormatting sqref="B211">
    <cfRule type="duplicateValues" dxfId="27" priority="127"/>
  </conditionalFormatting>
  <conditionalFormatting sqref="B212:B213">
    <cfRule type="duplicateValues" dxfId="26" priority="135"/>
  </conditionalFormatting>
  <conditionalFormatting sqref="B214">
    <cfRule type="duplicateValues" dxfId="25" priority="133"/>
  </conditionalFormatting>
  <conditionalFormatting sqref="B215">
    <cfRule type="duplicateValues" dxfId="24" priority="125"/>
  </conditionalFormatting>
  <conditionalFormatting sqref="B216">
    <cfRule type="duplicateValues" dxfId="23" priority="131"/>
  </conditionalFormatting>
  <conditionalFormatting sqref="B217:B218">
    <cfRule type="duplicateValues" dxfId="22" priority="139"/>
  </conditionalFormatting>
  <conditionalFormatting sqref="B219">
    <cfRule type="duplicateValues" dxfId="21" priority="137"/>
  </conditionalFormatting>
  <conditionalFormatting sqref="B220:B221">
    <cfRule type="duplicateValues" dxfId="20" priority="181"/>
  </conditionalFormatting>
  <conditionalFormatting sqref="B222">
    <cfRule type="duplicateValues" dxfId="19" priority="177"/>
  </conditionalFormatting>
  <conditionalFormatting sqref="B223">
    <cfRule type="duplicateValues" dxfId="18" priority="123"/>
  </conditionalFormatting>
  <conditionalFormatting sqref="B224">
    <cfRule type="duplicateValues" dxfId="17" priority="175"/>
  </conditionalFormatting>
  <conditionalFormatting sqref="B225">
    <cfRule type="duplicateValues" dxfId="16" priority="196"/>
  </conditionalFormatting>
  <conditionalFormatting sqref="B226">
    <cfRule type="duplicateValues" dxfId="15" priority="18"/>
  </conditionalFormatting>
  <conditionalFormatting sqref="B227">
    <cfRule type="duplicateValues" dxfId="14" priority="207"/>
  </conditionalFormatting>
  <conditionalFormatting sqref="B228">
    <cfRule type="duplicateValues" dxfId="13" priority="206"/>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FI63"/>
  <sheetViews>
    <sheetView zoomScale="88" zoomScaleNormal="88" workbookViewId="0">
      <pane xSplit="3" ySplit="11" topLeftCell="D12" activePane="bottomRight" state="frozen"/>
      <selection pane="topRight" activeCell="D1" sqref="D1"/>
      <selection pane="bottomLeft" activeCell="A12" sqref="A12"/>
      <selection pane="bottomRight" activeCell="G15" sqref="G15"/>
    </sheetView>
  </sheetViews>
  <sheetFormatPr defaultColWidth="8.7265625" defaultRowHeight="12.5" outlineLevelCol="1" x14ac:dyDescent="0.35"/>
  <cols>
    <col min="1" max="1" width="1.7265625" style="1" customWidth="1"/>
    <col min="2" max="2" width="12.7265625" style="1" customWidth="1"/>
    <col min="3" max="3" width="35.7265625" style="1" customWidth="1"/>
    <col min="4" max="5" width="20.7265625" style="1" customWidth="1"/>
    <col min="6" max="6" width="9" style="2" customWidth="1"/>
    <col min="7" max="7" width="19.1796875" style="3" customWidth="1" outlineLevel="1"/>
    <col min="8" max="8" width="1.54296875" style="4" customWidth="1"/>
    <col min="9" max="11" width="15.7265625" style="20" customWidth="1"/>
    <col min="12" max="12" width="1.7265625" style="1" customWidth="1"/>
    <col min="13" max="16384" width="8.7265625" style="1"/>
  </cols>
  <sheetData>
    <row r="1" spans="1:165" ht="5.15" customHeight="1" x14ac:dyDescent="0.35"/>
    <row r="2" spans="1:165" s="5" customFormat="1" ht="25.15" customHeight="1" x14ac:dyDescent="0.35">
      <c r="B2" s="6" t="s">
        <v>372</v>
      </c>
      <c r="C2" s="7"/>
      <c r="F2" s="8"/>
      <c r="G2" s="9"/>
      <c r="H2" s="10"/>
      <c r="I2" s="73"/>
      <c r="J2" s="73"/>
      <c r="K2" s="73"/>
    </row>
    <row r="3" spans="1:165" s="11" customFormat="1" ht="35.15" customHeight="1" x14ac:dyDescent="0.35">
      <c r="B3" s="12" t="s">
        <v>0</v>
      </c>
      <c r="C3" s="13"/>
      <c r="F3" s="14"/>
      <c r="G3" s="9"/>
      <c r="H3" s="15"/>
      <c r="I3" s="74"/>
      <c r="J3" s="74"/>
      <c r="K3" s="74"/>
    </row>
    <row r="4" spans="1:165" s="11" customFormat="1" ht="10.15" customHeight="1" x14ac:dyDescent="0.35">
      <c r="B4" s="12"/>
      <c r="C4" s="13"/>
      <c r="F4" s="14"/>
      <c r="G4" s="9"/>
      <c r="H4" s="15"/>
      <c r="I4" s="74"/>
      <c r="J4" s="74"/>
      <c r="K4" s="74"/>
    </row>
    <row r="5" spans="1:165" ht="30" customHeight="1" x14ac:dyDescent="0.35">
      <c r="B5" s="64" t="s">
        <v>366</v>
      </c>
      <c r="C5" s="66">
        <v>45073</v>
      </c>
      <c r="D5" s="17"/>
      <c r="E5" s="17"/>
      <c r="F5" s="65" t="s">
        <v>367</v>
      </c>
      <c r="G5" s="68" t="s">
        <v>374</v>
      </c>
      <c r="I5" s="16"/>
    </row>
    <row r="6" spans="1:165" ht="30" customHeight="1" x14ac:dyDescent="0.35">
      <c r="B6" s="64" t="s">
        <v>19</v>
      </c>
      <c r="C6" s="67">
        <v>150000000</v>
      </c>
      <c r="D6" s="17"/>
      <c r="E6" s="17"/>
      <c r="F6" s="65" t="s">
        <v>18</v>
      </c>
      <c r="G6" s="68">
        <f>C6/310000</f>
        <v>483.87096774193549</v>
      </c>
      <c r="I6" s="717" t="s">
        <v>373</v>
      </c>
      <c r="J6" s="718"/>
      <c r="K6" s="69">
        <v>1.2</v>
      </c>
    </row>
    <row r="7" spans="1:165" ht="5.15" customHeight="1" x14ac:dyDescent="0.35"/>
    <row r="8" spans="1:165" s="19" customFormat="1" ht="20.149999999999999" customHeight="1" x14ac:dyDescent="0.35">
      <c r="B8" s="722" t="s">
        <v>3</v>
      </c>
      <c r="C8" s="724" t="s">
        <v>4</v>
      </c>
      <c r="D8" s="719" t="s">
        <v>375</v>
      </c>
      <c r="E8" s="719" t="s">
        <v>368</v>
      </c>
      <c r="F8" s="719" t="s">
        <v>5</v>
      </c>
      <c r="G8" s="721" t="s">
        <v>11</v>
      </c>
      <c r="H8" s="21"/>
      <c r="I8" s="63"/>
      <c r="J8" s="63"/>
      <c r="K8" s="63"/>
    </row>
    <row r="9" spans="1:165" s="25" customFormat="1" ht="30" customHeight="1" x14ac:dyDescent="0.35">
      <c r="A9" s="22"/>
      <c r="B9" s="723"/>
      <c r="C9" s="725"/>
      <c r="D9" s="720"/>
      <c r="E9" s="720"/>
      <c r="F9" s="720"/>
      <c r="G9" s="721"/>
      <c r="H9" s="24"/>
      <c r="I9" s="23" t="s">
        <v>369</v>
      </c>
      <c r="J9" s="23" t="s">
        <v>370</v>
      </c>
      <c r="K9" s="23" t="s">
        <v>371</v>
      </c>
    </row>
    <row r="10" spans="1:165" s="19" customFormat="1" ht="5.15" customHeight="1" x14ac:dyDescent="0.35">
      <c r="B10" s="26"/>
      <c r="C10" s="27"/>
      <c r="D10" s="26"/>
      <c r="E10" s="26"/>
      <c r="F10" s="26"/>
      <c r="G10" s="28"/>
      <c r="H10" s="29"/>
      <c r="I10" s="63"/>
      <c r="J10" s="63"/>
      <c r="K10" s="63"/>
    </row>
    <row r="11" spans="1:165" s="30" customFormat="1" ht="20.149999999999999" customHeight="1" x14ac:dyDescent="0.35">
      <c r="B11" s="45" t="s">
        <v>16</v>
      </c>
      <c r="C11" s="46"/>
      <c r="D11" s="45"/>
      <c r="E11" s="45"/>
      <c r="F11" s="47"/>
      <c r="G11" s="47"/>
      <c r="H11" s="31"/>
      <c r="I11" s="72">
        <v>0.37</v>
      </c>
      <c r="J11" s="72"/>
      <c r="K11" s="72">
        <v>0.63</v>
      </c>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row>
    <row r="12" spans="1:165" s="30" customFormat="1" ht="5.15" customHeight="1" x14ac:dyDescent="0.35">
      <c r="B12" s="49"/>
      <c r="C12" s="34"/>
      <c r="D12" s="49"/>
      <c r="E12" s="49"/>
      <c r="F12" s="50"/>
      <c r="G12" s="51"/>
      <c r="H12" s="31"/>
      <c r="I12" s="32"/>
      <c r="J12" s="32"/>
      <c r="K12" s="32"/>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row>
    <row r="13" spans="1:165" s="18" customFormat="1" ht="20.149999999999999" customHeight="1" x14ac:dyDescent="0.35">
      <c r="B13" s="52" t="s">
        <v>28</v>
      </c>
      <c r="C13" s="53"/>
      <c r="D13" s="53"/>
      <c r="E13" s="53"/>
      <c r="F13" s="54"/>
      <c r="G13" s="55">
        <f>SUM(G14:G52)</f>
        <v>0</v>
      </c>
      <c r="H13" s="33"/>
      <c r="I13" s="20"/>
      <c r="J13" s="20"/>
      <c r="K13" s="20"/>
    </row>
    <row r="14" spans="1:165" s="30" customFormat="1" ht="5.15" customHeight="1" x14ac:dyDescent="0.35">
      <c r="B14" s="49"/>
      <c r="C14" s="34"/>
      <c r="D14" s="49"/>
      <c r="E14" s="49"/>
      <c r="F14" s="50"/>
      <c r="G14" s="51"/>
      <c r="H14" s="31"/>
      <c r="I14" s="32"/>
      <c r="J14" s="32"/>
      <c r="K14" s="32"/>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row>
    <row r="15" spans="1:165" ht="20.149999999999999" customHeight="1" x14ac:dyDescent="0.35">
      <c r="A15" s="1">
        <v>1</v>
      </c>
      <c r="B15" s="34"/>
      <c r="C15" s="34" t="s">
        <v>376</v>
      </c>
      <c r="D15" s="34"/>
      <c r="E15" s="34"/>
      <c r="F15" s="59"/>
      <c r="G15" s="35"/>
      <c r="I15" s="71">
        <f t="shared" ref="I15:K52" si="0">ROUNDUP($G15*100/$G$6*I$11*$K$6,0)</f>
        <v>0</v>
      </c>
      <c r="J15" s="71">
        <f t="shared" si="0"/>
        <v>0</v>
      </c>
      <c r="K15" s="71">
        <f t="shared" si="0"/>
        <v>0</v>
      </c>
    </row>
    <row r="16" spans="1:165" ht="20.149999999999999" customHeight="1" x14ac:dyDescent="0.35">
      <c r="A16" s="1" t="e">
        <f>#REF!+1</f>
        <v>#REF!</v>
      </c>
      <c r="B16" s="34"/>
      <c r="C16" s="34" t="s">
        <v>377</v>
      </c>
      <c r="D16" s="60"/>
      <c r="E16" s="60"/>
      <c r="F16" s="59"/>
      <c r="G16" s="35"/>
      <c r="I16" s="71">
        <f t="shared" ref="I16:K48" si="1">ROUNDUP($G16*100/$G$6*I$11*$K$6,0)</f>
        <v>0</v>
      </c>
      <c r="J16" s="71">
        <f t="shared" si="1"/>
        <v>0</v>
      </c>
      <c r="K16" s="71">
        <f t="shared" si="1"/>
        <v>0</v>
      </c>
    </row>
    <row r="17" spans="1:11" ht="20.149999999999999" customHeight="1" x14ac:dyDescent="0.35">
      <c r="A17" s="1" t="e">
        <f t="shared" ref="A17:A21" si="2">A16+1</f>
        <v>#REF!</v>
      </c>
      <c r="B17" s="34"/>
      <c r="C17" s="34" t="s">
        <v>378</v>
      </c>
      <c r="D17" s="60"/>
      <c r="E17" s="60"/>
      <c r="F17" s="59"/>
      <c r="G17" s="35"/>
      <c r="I17" s="71">
        <f t="shared" si="1"/>
        <v>0</v>
      </c>
      <c r="J17" s="71">
        <f t="shared" si="1"/>
        <v>0</v>
      </c>
      <c r="K17" s="71">
        <f t="shared" si="1"/>
        <v>0</v>
      </c>
    </row>
    <row r="18" spans="1:11" ht="20.149999999999999" customHeight="1" x14ac:dyDescent="0.35">
      <c r="A18" s="1" t="e">
        <f t="shared" si="2"/>
        <v>#REF!</v>
      </c>
      <c r="B18" s="34"/>
      <c r="C18" s="34" t="s">
        <v>379</v>
      </c>
      <c r="D18" s="34"/>
      <c r="E18" s="34"/>
      <c r="F18" s="61"/>
      <c r="G18" s="35"/>
      <c r="I18" s="71">
        <f t="shared" si="1"/>
        <v>0</v>
      </c>
      <c r="J18" s="71">
        <f t="shared" si="1"/>
        <v>0</v>
      </c>
      <c r="K18" s="71">
        <f t="shared" si="1"/>
        <v>0</v>
      </c>
    </row>
    <row r="19" spans="1:11" ht="20.149999999999999" customHeight="1" x14ac:dyDescent="0.35">
      <c r="A19" s="1" t="e">
        <f>#REF!+1</f>
        <v>#REF!</v>
      </c>
      <c r="B19" s="34"/>
      <c r="C19" s="34" t="s">
        <v>380</v>
      </c>
      <c r="D19" s="34"/>
      <c r="E19" s="34"/>
      <c r="F19" s="61"/>
      <c r="G19" s="35"/>
      <c r="I19" s="71">
        <f t="shared" si="1"/>
        <v>0</v>
      </c>
      <c r="J19" s="71">
        <f t="shared" si="1"/>
        <v>0</v>
      </c>
      <c r="K19" s="71">
        <f t="shared" si="1"/>
        <v>0</v>
      </c>
    </row>
    <row r="20" spans="1:11" ht="20.149999999999999" customHeight="1" x14ac:dyDescent="0.35">
      <c r="A20" s="1" t="e">
        <f>A18+1</f>
        <v>#REF!</v>
      </c>
      <c r="B20" s="34"/>
      <c r="C20" s="34" t="s">
        <v>381</v>
      </c>
      <c r="D20" s="34"/>
      <c r="E20" s="34"/>
      <c r="F20" s="61"/>
      <c r="G20" s="35"/>
      <c r="I20" s="71">
        <f t="shared" si="1"/>
        <v>0</v>
      </c>
      <c r="J20" s="71">
        <f t="shared" si="1"/>
        <v>0</v>
      </c>
      <c r="K20" s="71">
        <f t="shared" si="1"/>
        <v>0</v>
      </c>
    </row>
    <row r="21" spans="1:11" ht="20.149999999999999" customHeight="1" x14ac:dyDescent="0.35">
      <c r="A21" s="1" t="e">
        <f t="shared" si="2"/>
        <v>#REF!</v>
      </c>
      <c r="B21" s="34"/>
      <c r="C21" s="34" t="s">
        <v>382</v>
      </c>
      <c r="D21" s="34"/>
      <c r="E21" s="34"/>
      <c r="F21" s="61"/>
      <c r="G21" s="35"/>
      <c r="I21" s="71">
        <f t="shared" si="1"/>
        <v>0</v>
      </c>
      <c r="J21" s="71">
        <f t="shared" si="1"/>
        <v>0</v>
      </c>
      <c r="K21" s="71">
        <f t="shared" si="1"/>
        <v>0</v>
      </c>
    </row>
    <row r="22" spans="1:11" ht="20.149999999999999" customHeight="1" x14ac:dyDescent="0.35">
      <c r="A22" s="1" t="e">
        <f>#REF!+1</f>
        <v>#REF!</v>
      </c>
      <c r="B22" s="34"/>
      <c r="C22" s="34" t="s">
        <v>383</v>
      </c>
      <c r="D22" s="60"/>
      <c r="E22" s="60"/>
      <c r="F22" s="59"/>
      <c r="G22" s="35"/>
      <c r="I22" s="71">
        <f t="shared" si="1"/>
        <v>0</v>
      </c>
      <c r="J22" s="71">
        <f t="shared" si="1"/>
        <v>0</v>
      </c>
      <c r="K22" s="71">
        <f t="shared" si="1"/>
        <v>0</v>
      </c>
    </row>
    <row r="23" spans="1:11" ht="20.149999999999999" customHeight="1" x14ac:dyDescent="0.35">
      <c r="A23" s="1" t="e">
        <f t="shared" ref="A23:A27" si="3">A22+1</f>
        <v>#REF!</v>
      </c>
      <c r="B23" s="34"/>
      <c r="C23" s="34" t="s">
        <v>384</v>
      </c>
      <c r="D23" s="60"/>
      <c r="E23" s="60"/>
      <c r="F23" s="59"/>
      <c r="G23" s="35"/>
      <c r="I23" s="71">
        <f t="shared" si="1"/>
        <v>0</v>
      </c>
      <c r="J23" s="71">
        <f t="shared" si="1"/>
        <v>0</v>
      </c>
      <c r="K23" s="71">
        <f t="shared" si="1"/>
        <v>0</v>
      </c>
    </row>
    <row r="24" spans="1:11" ht="20.149999999999999" customHeight="1" x14ac:dyDescent="0.35">
      <c r="A24" s="1" t="e">
        <f t="shared" si="3"/>
        <v>#REF!</v>
      </c>
      <c r="B24" s="34"/>
      <c r="C24" s="34" t="s">
        <v>385</v>
      </c>
      <c r="D24" s="34"/>
      <c r="E24" s="34"/>
      <c r="F24" s="61"/>
      <c r="G24" s="35"/>
      <c r="I24" s="71">
        <f t="shared" si="1"/>
        <v>0</v>
      </c>
      <c r="J24" s="71">
        <f t="shared" si="1"/>
        <v>0</v>
      </c>
      <c r="K24" s="71">
        <f t="shared" si="1"/>
        <v>0</v>
      </c>
    </row>
    <row r="25" spans="1:11" ht="20.149999999999999" customHeight="1" x14ac:dyDescent="0.35">
      <c r="A25" s="1" t="e">
        <f>#REF!+1</f>
        <v>#REF!</v>
      </c>
      <c r="B25" s="34"/>
      <c r="C25" s="34" t="s">
        <v>386</v>
      </c>
      <c r="D25" s="34"/>
      <c r="E25" s="34"/>
      <c r="F25" s="61"/>
      <c r="G25" s="35"/>
      <c r="I25" s="71">
        <f t="shared" si="1"/>
        <v>0</v>
      </c>
      <c r="J25" s="71">
        <f t="shared" si="1"/>
        <v>0</v>
      </c>
      <c r="K25" s="71">
        <f t="shared" si="1"/>
        <v>0</v>
      </c>
    </row>
    <row r="26" spans="1:11" ht="20.149999999999999" customHeight="1" x14ac:dyDescent="0.35">
      <c r="A26" s="1" t="e">
        <f>A24+1</f>
        <v>#REF!</v>
      </c>
      <c r="B26" s="34"/>
      <c r="C26" s="34" t="s">
        <v>387</v>
      </c>
      <c r="D26" s="34"/>
      <c r="E26" s="34"/>
      <c r="F26" s="61"/>
      <c r="G26" s="35"/>
      <c r="I26" s="71">
        <f t="shared" si="1"/>
        <v>0</v>
      </c>
      <c r="J26" s="71">
        <f t="shared" si="1"/>
        <v>0</v>
      </c>
      <c r="K26" s="71">
        <f t="shared" si="1"/>
        <v>0</v>
      </c>
    </row>
    <row r="27" spans="1:11" ht="20.149999999999999" customHeight="1" x14ac:dyDescent="0.35">
      <c r="A27" s="1" t="e">
        <f t="shared" si="3"/>
        <v>#REF!</v>
      </c>
      <c r="B27" s="34"/>
      <c r="C27" s="34" t="s">
        <v>388</v>
      </c>
      <c r="D27" s="34"/>
      <c r="E27" s="34"/>
      <c r="F27" s="61"/>
      <c r="G27" s="35"/>
      <c r="I27" s="71">
        <f t="shared" si="1"/>
        <v>0</v>
      </c>
      <c r="J27" s="71">
        <f t="shared" si="1"/>
        <v>0</v>
      </c>
      <c r="K27" s="71">
        <f t="shared" si="1"/>
        <v>0</v>
      </c>
    </row>
    <row r="28" spans="1:11" ht="20.149999999999999" customHeight="1" x14ac:dyDescent="0.35">
      <c r="A28" s="1" t="e">
        <f>#REF!+1</f>
        <v>#REF!</v>
      </c>
      <c r="B28" s="34"/>
      <c r="C28" s="34" t="s">
        <v>389</v>
      </c>
      <c r="D28" s="60"/>
      <c r="E28" s="60"/>
      <c r="F28" s="59"/>
      <c r="G28" s="35"/>
      <c r="I28" s="71">
        <f t="shared" si="1"/>
        <v>0</v>
      </c>
      <c r="J28" s="71">
        <f t="shared" si="1"/>
        <v>0</v>
      </c>
      <c r="K28" s="71">
        <f t="shared" si="1"/>
        <v>0</v>
      </c>
    </row>
    <row r="29" spans="1:11" ht="20.149999999999999" customHeight="1" x14ac:dyDescent="0.35">
      <c r="A29" s="1" t="e">
        <f t="shared" ref="A29:A33" si="4">A28+1</f>
        <v>#REF!</v>
      </c>
      <c r="B29" s="34"/>
      <c r="C29" s="34" t="s">
        <v>390</v>
      </c>
      <c r="D29" s="60"/>
      <c r="E29" s="60"/>
      <c r="F29" s="59"/>
      <c r="G29" s="35"/>
      <c r="I29" s="71">
        <f t="shared" si="1"/>
        <v>0</v>
      </c>
      <c r="J29" s="71">
        <f t="shared" si="1"/>
        <v>0</v>
      </c>
      <c r="K29" s="71">
        <f t="shared" si="1"/>
        <v>0</v>
      </c>
    </row>
    <row r="30" spans="1:11" ht="20.149999999999999" customHeight="1" x14ac:dyDescent="0.35">
      <c r="A30" s="1" t="e">
        <f t="shared" si="4"/>
        <v>#REF!</v>
      </c>
      <c r="B30" s="34"/>
      <c r="C30" s="34" t="s">
        <v>391</v>
      </c>
      <c r="D30" s="34"/>
      <c r="E30" s="34"/>
      <c r="F30" s="61"/>
      <c r="G30" s="35"/>
      <c r="I30" s="71">
        <f t="shared" si="1"/>
        <v>0</v>
      </c>
      <c r="J30" s="71">
        <f t="shared" si="1"/>
        <v>0</v>
      </c>
      <c r="K30" s="71">
        <f t="shared" si="1"/>
        <v>0</v>
      </c>
    </row>
    <row r="31" spans="1:11" ht="20.149999999999999" customHeight="1" x14ac:dyDescent="0.35">
      <c r="A31" s="1" t="e">
        <f>#REF!+1</f>
        <v>#REF!</v>
      </c>
      <c r="B31" s="34"/>
      <c r="C31" s="34" t="s">
        <v>392</v>
      </c>
      <c r="D31" s="34"/>
      <c r="E31" s="34"/>
      <c r="F31" s="61"/>
      <c r="G31" s="35"/>
      <c r="I31" s="71">
        <f t="shared" si="1"/>
        <v>0</v>
      </c>
      <c r="J31" s="71">
        <f t="shared" si="1"/>
        <v>0</v>
      </c>
      <c r="K31" s="71">
        <f t="shared" si="1"/>
        <v>0</v>
      </c>
    </row>
    <row r="32" spans="1:11" ht="20.149999999999999" customHeight="1" x14ac:dyDescent="0.35">
      <c r="A32" s="1" t="e">
        <f>A30+1</f>
        <v>#REF!</v>
      </c>
      <c r="B32" s="34"/>
      <c r="C32" s="34" t="s">
        <v>393</v>
      </c>
      <c r="D32" s="34"/>
      <c r="E32" s="34"/>
      <c r="F32" s="61"/>
      <c r="G32" s="35"/>
      <c r="I32" s="71">
        <f t="shared" si="1"/>
        <v>0</v>
      </c>
      <c r="J32" s="71">
        <f t="shared" si="1"/>
        <v>0</v>
      </c>
      <c r="K32" s="71">
        <f t="shared" si="1"/>
        <v>0</v>
      </c>
    </row>
    <row r="33" spans="1:11" ht="20.149999999999999" customHeight="1" x14ac:dyDescent="0.35">
      <c r="A33" s="1" t="e">
        <f t="shared" si="4"/>
        <v>#REF!</v>
      </c>
      <c r="B33" s="34"/>
      <c r="C33" s="34" t="s">
        <v>394</v>
      </c>
      <c r="D33" s="34"/>
      <c r="E33" s="34"/>
      <c r="F33" s="61"/>
      <c r="G33" s="35"/>
      <c r="I33" s="71">
        <f t="shared" si="1"/>
        <v>0</v>
      </c>
      <c r="J33" s="71">
        <f t="shared" si="1"/>
        <v>0</v>
      </c>
      <c r="K33" s="71">
        <f t="shared" si="1"/>
        <v>0</v>
      </c>
    </row>
    <row r="34" spans="1:11" ht="20.149999999999999" customHeight="1" x14ac:dyDescent="0.35">
      <c r="A34" s="1" t="e">
        <f>#REF!+1</f>
        <v>#REF!</v>
      </c>
      <c r="B34" s="34"/>
      <c r="C34" s="34" t="s">
        <v>395</v>
      </c>
      <c r="D34" s="60"/>
      <c r="E34" s="60"/>
      <c r="F34" s="59"/>
      <c r="G34" s="35"/>
      <c r="I34" s="71">
        <f t="shared" si="1"/>
        <v>0</v>
      </c>
      <c r="J34" s="71">
        <f t="shared" si="1"/>
        <v>0</v>
      </c>
      <c r="K34" s="71">
        <f t="shared" si="1"/>
        <v>0</v>
      </c>
    </row>
    <row r="35" spans="1:11" ht="20.149999999999999" customHeight="1" x14ac:dyDescent="0.35">
      <c r="A35" s="1" t="e">
        <f t="shared" ref="A35:A39" si="5">A34+1</f>
        <v>#REF!</v>
      </c>
      <c r="B35" s="34"/>
      <c r="C35" s="34" t="s">
        <v>396</v>
      </c>
      <c r="D35" s="60"/>
      <c r="E35" s="60"/>
      <c r="F35" s="59"/>
      <c r="G35" s="35"/>
      <c r="I35" s="71">
        <f t="shared" si="1"/>
        <v>0</v>
      </c>
      <c r="J35" s="71">
        <f t="shared" si="1"/>
        <v>0</v>
      </c>
      <c r="K35" s="71">
        <f t="shared" si="1"/>
        <v>0</v>
      </c>
    </row>
    <row r="36" spans="1:11" ht="20.149999999999999" customHeight="1" x14ac:dyDescent="0.35">
      <c r="A36" s="1" t="e">
        <f t="shared" si="5"/>
        <v>#REF!</v>
      </c>
      <c r="B36" s="34"/>
      <c r="C36" s="34" t="s">
        <v>397</v>
      </c>
      <c r="D36" s="34"/>
      <c r="E36" s="34"/>
      <c r="F36" s="61"/>
      <c r="G36" s="35"/>
      <c r="I36" s="71">
        <f t="shared" si="1"/>
        <v>0</v>
      </c>
      <c r="J36" s="71">
        <f t="shared" si="1"/>
        <v>0</v>
      </c>
      <c r="K36" s="71">
        <f t="shared" si="1"/>
        <v>0</v>
      </c>
    </row>
    <row r="37" spans="1:11" ht="20.149999999999999" customHeight="1" x14ac:dyDescent="0.35">
      <c r="A37" s="1" t="e">
        <f>#REF!+1</f>
        <v>#REF!</v>
      </c>
      <c r="B37" s="34"/>
      <c r="C37" s="34" t="s">
        <v>398</v>
      </c>
      <c r="D37" s="34"/>
      <c r="E37" s="34"/>
      <c r="F37" s="61"/>
      <c r="G37" s="35"/>
      <c r="I37" s="71">
        <f t="shared" si="1"/>
        <v>0</v>
      </c>
      <c r="J37" s="71">
        <f t="shared" si="1"/>
        <v>0</v>
      </c>
      <c r="K37" s="71">
        <f t="shared" si="1"/>
        <v>0</v>
      </c>
    </row>
    <row r="38" spans="1:11" ht="20.149999999999999" customHeight="1" x14ac:dyDescent="0.35">
      <c r="A38" s="1" t="e">
        <f>A36+1</f>
        <v>#REF!</v>
      </c>
      <c r="B38" s="34"/>
      <c r="C38" s="34" t="s">
        <v>399</v>
      </c>
      <c r="D38" s="34"/>
      <c r="E38" s="34"/>
      <c r="F38" s="61"/>
      <c r="G38" s="35"/>
      <c r="I38" s="71">
        <f t="shared" si="1"/>
        <v>0</v>
      </c>
      <c r="J38" s="71">
        <f t="shared" si="1"/>
        <v>0</v>
      </c>
      <c r="K38" s="71">
        <f t="shared" si="1"/>
        <v>0</v>
      </c>
    </row>
    <row r="39" spans="1:11" ht="20.149999999999999" customHeight="1" x14ac:dyDescent="0.35">
      <c r="A39" s="1" t="e">
        <f t="shared" si="5"/>
        <v>#REF!</v>
      </c>
      <c r="B39" s="34"/>
      <c r="C39" s="34" t="s">
        <v>400</v>
      </c>
      <c r="D39" s="34"/>
      <c r="E39" s="34"/>
      <c r="F39" s="61"/>
      <c r="G39" s="35"/>
      <c r="I39" s="71">
        <f t="shared" si="1"/>
        <v>0</v>
      </c>
      <c r="J39" s="71">
        <f t="shared" si="1"/>
        <v>0</v>
      </c>
      <c r="K39" s="71">
        <f t="shared" si="1"/>
        <v>0</v>
      </c>
    </row>
    <row r="40" spans="1:11" ht="20.149999999999999" customHeight="1" x14ac:dyDescent="0.35">
      <c r="A40" s="1" t="e">
        <f>#REF!+1</f>
        <v>#REF!</v>
      </c>
      <c r="B40" s="34"/>
      <c r="C40" s="34" t="s">
        <v>401</v>
      </c>
      <c r="D40" s="60"/>
      <c r="E40" s="60"/>
      <c r="F40" s="59"/>
      <c r="G40" s="35"/>
      <c r="I40" s="71">
        <f t="shared" si="1"/>
        <v>0</v>
      </c>
      <c r="J40" s="71">
        <f t="shared" si="1"/>
        <v>0</v>
      </c>
      <c r="K40" s="71">
        <f t="shared" si="1"/>
        <v>0</v>
      </c>
    </row>
    <row r="41" spans="1:11" ht="20.149999999999999" customHeight="1" x14ac:dyDescent="0.35">
      <c r="A41" s="1" t="e">
        <f t="shared" ref="A41:A45" si="6">A40+1</f>
        <v>#REF!</v>
      </c>
      <c r="B41" s="34"/>
      <c r="C41" s="34" t="s">
        <v>402</v>
      </c>
      <c r="D41" s="60"/>
      <c r="E41" s="60"/>
      <c r="F41" s="59"/>
      <c r="G41" s="35"/>
      <c r="I41" s="71">
        <f t="shared" si="1"/>
        <v>0</v>
      </c>
      <c r="J41" s="71">
        <f t="shared" si="1"/>
        <v>0</v>
      </c>
      <c r="K41" s="71">
        <f t="shared" si="1"/>
        <v>0</v>
      </c>
    </row>
    <row r="42" spans="1:11" ht="20.149999999999999" customHeight="1" x14ac:dyDescent="0.35">
      <c r="A42" s="1" t="e">
        <f t="shared" si="6"/>
        <v>#REF!</v>
      </c>
      <c r="B42" s="34"/>
      <c r="C42" s="34" t="s">
        <v>403</v>
      </c>
      <c r="D42" s="34"/>
      <c r="E42" s="34"/>
      <c r="F42" s="61"/>
      <c r="G42" s="35"/>
      <c r="I42" s="71">
        <f t="shared" si="1"/>
        <v>0</v>
      </c>
      <c r="J42" s="71">
        <f t="shared" si="1"/>
        <v>0</v>
      </c>
      <c r="K42" s="71">
        <f t="shared" si="1"/>
        <v>0</v>
      </c>
    </row>
    <row r="43" spans="1:11" ht="20.149999999999999" customHeight="1" x14ac:dyDescent="0.35">
      <c r="A43" s="1" t="e">
        <f>#REF!+1</f>
        <v>#REF!</v>
      </c>
      <c r="B43" s="34"/>
      <c r="C43" s="34" t="s">
        <v>404</v>
      </c>
      <c r="D43" s="34"/>
      <c r="E43" s="34"/>
      <c r="F43" s="61"/>
      <c r="G43" s="35"/>
      <c r="I43" s="71">
        <f t="shared" si="1"/>
        <v>0</v>
      </c>
      <c r="J43" s="71">
        <f t="shared" si="1"/>
        <v>0</v>
      </c>
      <c r="K43" s="71">
        <f t="shared" si="1"/>
        <v>0</v>
      </c>
    </row>
    <row r="44" spans="1:11" ht="20.149999999999999" customHeight="1" x14ac:dyDescent="0.35">
      <c r="A44" s="1" t="e">
        <f>A42+1</f>
        <v>#REF!</v>
      </c>
      <c r="B44" s="34"/>
      <c r="C44" s="34" t="s">
        <v>405</v>
      </c>
      <c r="D44" s="34"/>
      <c r="E44" s="34"/>
      <c r="F44" s="61"/>
      <c r="G44" s="35"/>
      <c r="I44" s="71">
        <f t="shared" si="1"/>
        <v>0</v>
      </c>
      <c r="J44" s="71">
        <f t="shared" si="1"/>
        <v>0</v>
      </c>
      <c r="K44" s="71">
        <f t="shared" si="1"/>
        <v>0</v>
      </c>
    </row>
    <row r="45" spans="1:11" ht="20.149999999999999" customHeight="1" x14ac:dyDescent="0.35">
      <c r="A45" s="1" t="e">
        <f t="shared" si="6"/>
        <v>#REF!</v>
      </c>
      <c r="B45" s="34"/>
      <c r="C45" s="34" t="s">
        <v>406</v>
      </c>
      <c r="D45" s="34"/>
      <c r="E45" s="34"/>
      <c r="F45" s="61"/>
      <c r="G45" s="35"/>
      <c r="I45" s="71">
        <f t="shared" si="1"/>
        <v>0</v>
      </c>
      <c r="J45" s="71">
        <f t="shared" si="1"/>
        <v>0</v>
      </c>
      <c r="K45" s="71">
        <f t="shared" si="1"/>
        <v>0</v>
      </c>
    </row>
    <row r="46" spans="1:11" ht="20.149999999999999" customHeight="1" x14ac:dyDescent="0.35">
      <c r="A46" s="1" t="e">
        <f>#REF!+1</f>
        <v>#REF!</v>
      </c>
      <c r="B46" s="34"/>
      <c r="C46" s="34" t="s">
        <v>407</v>
      </c>
      <c r="D46" s="60"/>
      <c r="E46" s="60"/>
      <c r="F46" s="59"/>
      <c r="G46" s="35"/>
      <c r="I46" s="71">
        <f t="shared" si="1"/>
        <v>0</v>
      </c>
      <c r="J46" s="71">
        <f t="shared" si="1"/>
        <v>0</v>
      </c>
      <c r="K46" s="71">
        <f t="shared" si="1"/>
        <v>0</v>
      </c>
    </row>
    <row r="47" spans="1:11" ht="20.149999999999999" customHeight="1" x14ac:dyDescent="0.35">
      <c r="A47" s="1" t="e">
        <f t="shared" ref="A47:A48" si="7">A46+1</f>
        <v>#REF!</v>
      </c>
      <c r="B47" s="34"/>
      <c r="C47" s="34" t="s">
        <v>408</v>
      </c>
      <c r="D47" s="60"/>
      <c r="E47" s="60"/>
      <c r="F47" s="59"/>
      <c r="G47" s="35"/>
      <c r="I47" s="71">
        <f t="shared" si="1"/>
        <v>0</v>
      </c>
      <c r="J47" s="71">
        <f t="shared" si="1"/>
        <v>0</v>
      </c>
      <c r="K47" s="71">
        <f t="shared" si="1"/>
        <v>0</v>
      </c>
    </row>
    <row r="48" spans="1:11" ht="20.149999999999999" customHeight="1" x14ac:dyDescent="0.35">
      <c r="A48" s="1" t="e">
        <f t="shared" si="7"/>
        <v>#REF!</v>
      </c>
      <c r="B48" s="34"/>
      <c r="C48" s="34" t="s">
        <v>409</v>
      </c>
      <c r="D48" s="34"/>
      <c r="E48" s="34"/>
      <c r="F48" s="61"/>
      <c r="G48" s="35"/>
      <c r="I48" s="71">
        <f t="shared" si="1"/>
        <v>0</v>
      </c>
      <c r="J48" s="71">
        <f t="shared" si="1"/>
        <v>0</v>
      </c>
      <c r="K48" s="71">
        <f t="shared" si="1"/>
        <v>0</v>
      </c>
    </row>
    <row r="49" spans="1:165" ht="20.149999999999999" customHeight="1" x14ac:dyDescent="0.35">
      <c r="A49" s="1">
        <f>A13+1</f>
        <v>1</v>
      </c>
      <c r="B49" s="34"/>
      <c r="C49" s="34"/>
      <c r="D49" s="34"/>
      <c r="E49" s="34"/>
      <c r="F49" s="61"/>
      <c r="G49" s="35"/>
      <c r="I49" s="71">
        <f t="shared" si="0"/>
        <v>0</v>
      </c>
      <c r="J49" s="71">
        <f t="shared" si="0"/>
        <v>0</v>
      </c>
      <c r="K49" s="71">
        <f t="shared" si="0"/>
        <v>0</v>
      </c>
    </row>
    <row r="50" spans="1:165" ht="20.149999999999999" customHeight="1" x14ac:dyDescent="0.35">
      <c r="A50" s="1" t="e">
        <f>#REF!+1</f>
        <v>#REF!</v>
      </c>
      <c r="B50" s="34"/>
      <c r="C50" s="34"/>
      <c r="D50" s="34"/>
      <c r="E50" s="34"/>
      <c r="F50" s="61"/>
      <c r="G50" s="35"/>
      <c r="I50" s="71">
        <f t="shared" ref="I50:K50" si="8">ROUNDUP($G50*100/$G$6*I$11*$K$6,0)</f>
        <v>0</v>
      </c>
      <c r="J50" s="71">
        <f t="shared" si="8"/>
        <v>0</v>
      </c>
      <c r="K50" s="71">
        <f t="shared" si="8"/>
        <v>0</v>
      </c>
    </row>
    <row r="51" spans="1:165" ht="20.149999999999999" customHeight="1" x14ac:dyDescent="0.35">
      <c r="A51" s="1" t="e">
        <f>#REF!+1</f>
        <v>#REF!</v>
      </c>
      <c r="B51" s="34"/>
      <c r="C51" s="34"/>
      <c r="D51" s="34"/>
      <c r="E51" s="34"/>
      <c r="F51" s="61"/>
      <c r="G51" s="35"/>
      <c r="I51" s="71">
        <f t="shared" si="0"/>
        <v>0</v>
      </c>
      <c r="J51" s="71">
        <f t="shared" si="0"/>
        <v>0</v>
      </c>
      <c r="K51" s="71">
        <f t="shared" si="0"/>
        <v>0</v>
      </c>
    </row>
    <row r="52" spans="1:165" ht="20.149999999999999" customHeight="1" x14ac:dyDescent="0.35">
      <c r="A52" s="1" t="e">
        <f t="shared" ref="A52" si="9">A51+1</f>
        <v>#REF!</v>
      </c>
      <c r="B52" s="34"/>
      <c r="C52" s="34"/>
      <c r="D52" s="34"/>
      <c r="E52" s="34"/>
      <c r="F52" s="61"/>
      <c r="G52" s="35"/>
      <c r="I52" s="71">
        <f t="shared" si="0"/>
        <v>0</v>
      </c>
      <c r="J52" s="71">
        <f t="shared" si="0"/>
        <v>0</v>
      </c>
      <c r="K52" s="71">
        <f t="shared" si="0"/>
        <v>0</v>
      </c>
    </row>
    <row r="53" spans="1:165" s="18" customFormat="1" ht="20.149999999999999" customHeight="1" x14ac:dyDescent="0.35">
      <c r="B53" s="52" t="s">
        <v>29</v>
      </c>
      <c r="C53" s="53"/>
      <c r="D53" s="53"/>
      <c r="E53" s="53"/>
      <c r="F53" s="54"/>
      <c r="G53" s="55">
        <f>SUM(G54:G62)</f>
        <v>0</v>
      </c>
      <c r="H53" s="33"/>
      <c r="I53" s="20"/>
      <c r="J53" s="20"/>
      <c r="K53" s="20"/>
    </row>
    <row r="54" spans="1:165" s="30" customFormat="1" ht="5.15" customHeight="1" x14ac:dyDescent="0.35">
      <c r="B54" s="49"/>
      <c r="C54" s="34"/>
      <c r="D54" s="49"/>
      <c r="E54" s="49"/>
      <c r="F54" s="50"/>
      <c r="G54" s="51"/>
      <c r="H54" s="31"/>
      <c r="I54" s="20"/>
      <c r="J54" s="20"/>
      <c r="K54" s="20"/>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row>
    <row r="55" spans="1:165" ht="20.149999999999999" customHeight="1" x14ac:dyDescent="0.35">
      <c r="A55" s="1">
        <v>1</v>
      </c>
      <c r="B55" s="34"/>
      <c r="C55" s="34" t="s">
        <v>410</v>
      </c>
      <c r="D55" s="34"/>
      <c r="E55" s="34"/>
      <c r="F55" s="61" t="s">
        <v>307</v>
      </c>
      <c r="G55" s="35"/>
      <c r="I55" s="71">
        <f t="shared" ref="I55:K61" si="10">ROUNDUP($G55*100/$G$6*I$11*$K$6,0)</f>
        <v>0</v>
      </c>
      <c r="J55" s="71">
        <f t="shared" si="10"/>
        <v>0</v>
      </c>
      <c r="K55" s="71">
        <f t="shared" si="10"/>
        <v>0</v>
      </c>
    </row>
    <row r="56" spans="1:165" ht="20.149999999999999" customHeight="1" x14ac:dyDescent="0.35">
      <c r="A56" s="1">
        <f>A53+1</f>
        <v>1</v>
      </c>
      <c r="B56" s="34"/>
      <c r="C56" s="34" t="s">
        <v>411</v>
      </c>
      <c r="D56" s="34"/>
      <c r="E56" s="34"/>
      <c r="F56" s="61" t="s">
        <v>307</v>
      </c>
      <c r="G56" s="35"/>
      <c r="I56" s="71">
        <f t="shared" si="10"/>
        <v>0</v>
      </c>
      <c r="J56" s="71">
        <f t="shared" si="10"/>
        <v>0</v>
      </c>
      <c r="K56" s="71">
        <f t="shared" si="10"/>
        <v>0</v>
      </c>
    </row>
    <row r="57" spans="1:165" ht="20.149999999999999" customHeight="1" x14ac:dyDescent="0.35">
      <c r="A57" s="1">
        <f>A54+1</f>
        <v>1</v>
      </c>
      <c r="B57" s="34"/>
      <c r="C57" s="34" t="s">
        <v>412</v>
      </c>
      <c r="D57" s="34"/>
      <c r="E57" s="34"/>
      <c r="F57" s="61" t="s">
        <v>307</v>
      </c>
      <c r="G57" s="35"/>
      <c r="I57" s="71">
        <f t="shared" si="10"/>
        <v>0</v>
      </c>
      <c r="J57" s="71">
        <f t="shared" si="10"/>
        <v>0</v>
      </c>
      <c r="K57" s="71">
        <f t="shared" si="10"/>
        <v>0</v>
      </c>
    </row>
    <row r="58" spans="1:165" ht="20.149999999999999" customHeight="1" x14ac:dyDescent="0.35">
      <c r="A58" s="1" t="e">
        <f>#REF!+1</f>
        <v>#REF!</v>
      </c>
      <c r="B58" s="34"/>
      <c r="C58" s="34" t="s">
        <v>413</v>
      </c>
      <c r="D58" s="34"/>
      <c r="E58" s="34"/>
      <c r="F58" s="61" t="s">
        <v>307</v>
      </c>
      <c r="G58" s="35"/>
      <c r="I58" s="71">
        <f t="shared" si="10"/>
        <v>0</v>
      </c>
      <c r="J58" s="71">
        <f t="shared" si="10"/>
        <v>0</v>
      </c>
      <c r="K58" s="71">
        <f t="shared" si="10"/>
        <v>0</v>
      </c>
    </row>
    <row r="59" spans="1:165" ht="20.149999999999999" customHeight="1" x14ac:dyDescent="0.35">
      <c r="A59" s="1">
        <f t="shared" ref="A59" si="11">A55+1</f>
        <v>2</v>
      </c>
      <c r="B59" s="34"/>
      <c r="C59" s="34"/>
      <c r="D59" s="34"/>
      <c r="E59" s="34"/>
      <c r="F59" s="61"/>
      <c r="G59" s="35"/>
      <c r="I59" s="71">
        <f t="shared" si="10"/>
        <v>0</v>
      </c>
      <c r="J59" s="71">
        <f t="shared" si="10"/>
        <v>0</v>
      </c>
      <c r="K59" s="71">
        <f t="shared" si="10"/>
        <v>0</v>
      </c>
    </row>
    <row r="60" spans="1:165" ht="20.149999999999999" customHeight="1" x14ac:dyDescent="0.35">
      <c r="A60" s="1">
        <f>A57+1</f>
        <v>2</v>
      </c>
      <c r="B60" s="34"/>
      <c r="C60" s="34"/>
      <c r="D60" s="34"/>
      <c r="E60" s="34"/>
      <c r="F60" s="61"/>
      <c r="G60" s="35"/>
      <c r="I60" s="71">
        <f t="shared" si="10"/>
        <v>0</v>
      </c>
      <c r="J60" s="71">
        <f t="shared" si="10"/>
        <v>0</v>
      </c>
      <c r="K60" s="71">
        <f t="shared" si="10"/>
        <v>0</v>
      </c>
    </row>
    <row r="61" spans="1:165" ht="20.149999999999999" customHeight="1" x14ac:dyDescent="0.35">
      <c r="A61" s="1" t="e">
        <f>A58+1</f>
        <v>#REF!</v>
      </c>
      <c r="B61" s="34"/>
      <c r="C61" s="34"/>
      <c r="D61" s="34"/>
      <c r="E61" s="34"/>
      <c r="F61" s="61"/>
      <c r="G61" s="35"/>
      <c r="I61" s="71">
        <f t="shared" si="10"/>
        <v>0</v>
      </c>
      <c r="J61" s="71">
        <f t="shared" si="10"/>
        <v>0</v>
      </c>
      <c r="K61" s="71">
        <f t="shared" si="10"/>
        <v>0</v>
      </c>
    </row>
    <row r="62" spans="1:165" ht="20.149999999999999" customHeight="1" x14ac:dyDescent="0.35">
      <c r="B62" s="36"/>
      <c r="C62" s="36"/>
      <c r="D62" s="36"/>
      <c r="E62" s="36"/>
      <c r="F62" s="62"/>
      <c r="G62" s="37"/>
      <c r="I62" s="75">
        <f t="shared" ref="I62:K62" si="12">ROUNDUP($G62*100/$G$6*I$11*$K$6,0)</f>
        <v>0</v>
      </c>
      <c r="J62" s="75">
        <f t="shared" si="12"/>
        <v>0</v>
      </c>
      <c r="K62" s="75">
        <f t="shared" si="12"/>
        <v>0</v>
      </c>
    </row>
    <row r="63" spans="1:165" ht="4.9000000000000004" customHeight="1" x14ac:dyDescent="0.35"/>
  </sheetData>
  <mergeCells count="7">
    <mergeCell ref="I6:J6"/>
    <mergeCell ref="B8:B9"/>
    <mergeCell ref="C8:C9"/>
    <mergeCell ref="D8:D9"/>
    <mergeCell ref="E8:E9"/>
    <mergeCell ref="F8:F9"/>
    <mergeCell ref="G8:G9"/>
  </mergeCells>
  <conditionalFormatting sqref="B13">
    <cfRule type="duplicateValues" dxfId="12" priority="108"/>
  </conditionalFormatting>
  <conditionalFormatting sqref="B19">
    <cfRule type="duplicateValues" dxfId="11" priority="1"/>
  </conditionalFormatting>
  <conditionalFormatting sqref="B25">
    <cfRule type="duplicateValues" dxfId="10" priority="2"/>
  </conditionalFormatting>
  <conditionalFormatting sqref="B31">
    <cfRule type="duplicateValues" dxfId="9" priority="3"/>
  </conditionalFormatting>
  <conditionalFormatting sqref="B37">
    <cfRule type="duplicateValues" dxfId="8" priority="4"/>
  </conditionalFormatting>
  <conditionalFormatting sqref="B43">
    <cfRule type="duplicateValues" dxfId="7" priority="5"/>
  </conditionalFormatting>
  <conditionalFormatting sqref="B44:B48 B38:B42 B32:B36 B26:B30 B15:B18 B20:B24 B50:B52">
    <cfRule type="duplicateValues" dxfId="6" priority="770"/>
  </conditionalFormatting>
  <conditionalFormatting sqref="B49">
    <cfRule type="duplicateValues" dxfId="5" priority="167"/>
  </conditionalFormatting>
  <conditionalFormatting sqref="B53">
    <cfRule type="duplicateValues" dxfId="4" priority="107"/>
  </conditionalFormatting>
  <conditionalFormatting sqref="B55">
    <cfRule type="duplicateValues" dxfId="3" priority="128"/>
  </conditionalFormatting>
  <conditionalFormatting sqref="B56">
    <cfRule type="duplicateValues" dxfId="2" priority="29"/>
  </conditionalFormatting>
  <conditionalFormatting sqref="B57:B61">
    <cfRule type="duplicateValues" dxfId="1" priority="771"/>
  </conditionalFormatting>
  <conditionalFormatting sqref="B62">
    <cfRule type="duplicateValues" dxfId="0" priority="12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15</vt:i4>
      </vt:variant>
    </vt:vector>
  </HeadingPairs>
  <TitlesOfParts>
    <vt:vector size="34" baseType="lpstr">
      <vt:lpstr>Control</vt:lpstr>
      <vt:lpstr>MENU MIX GMSG T09.2026</vt:lpstr>
      <vt:lpstr>SG01</vt:lpstr>
      <vt:lpstr>SG02</vt:lpstr>
      <vt:lpstr>SG03</vt:lpstr>
      <vt:lpstr>SG04</vt:lpstr>
      <vt:lpstr>SG05</vt:lpstr>
      <vt:lpstr>SG06</vt:lpstr>
      <vt:lpstr>SG07</vt:lpstr>
      <vt:lpstr>SG08</vt:lpstr>
      <vt:lpstr>SG09</vt:lpstr>
      <vt:lpstr>SG10</vt:lpstr>
      <vt:lpstr>SG11</vt:lpstr>
      <vt:lpstr>SG12</vt:lpstr>
      <vt:lpstr>SG13</vt:lpstr>
      <vt:lpstr>SG14</vt:lpstr>
      <vt:lpstr>SG15</vt:lpstr>
      <vt:lpstr>Menu Projection</vt:lpstr>
      <vt:lpstr>Chuẩn Bị Đầu Ca</vt:lpstr>
      <vt:lpstr>SG01_</vt:lpstr>
      <vt:lpstr>SG02_</vt:lpstr>
      <vt:lpstr>SG03_</vt:lpstr>
      <vt:lpstr>SG04_</vt:lpstr>
      <vt:lpstr>SG05_</vt:lpstr>
      <vt:lpstr>SG06_</vt:lpstr>
      <vt:lpstr>SG07_</vt:lpstr>
      <vt:lpstr>SG08_</vt:lpstr>
      <vt:lpstr>SG09_</vt:lpstr>
      <vt:lpstr>SG10_</vt:lpstr>
      <vt:lpstr>SG11_</vt:lpstr>
      <vt:lpstr>SG12_</vt:lpstr>
      <vt:lpstr>SG13_</vt:lpstr>
      <vt:lpstr>SG14_</vt:lpstr>
      <vt:lpstr>SG15_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lamhong.bac</cp:lastModifiedBy>
  <dcterms:created xsi:type="dcterms:W3CDTF">2023-02-22T17:18:09Z</dcterms:created>
  <dcterms:modified xsi:type="dcterms:W3CDTF">2026-10-07T07:37:54Z</dcterms:modified>
</cp:coreProperties>
</file>